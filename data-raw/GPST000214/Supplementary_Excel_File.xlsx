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10121_leiden\Constantin_glycomics_drive\AML4\manuscript\for_submission\To Manfred and Tao\submitted\"/>
    </mc:Choice>
  </mc:AlternateContent>
  <bookViews>
    <workbookView xWindow="0" yWindow="0" windowWidth="28800" windowHeight="12300"/>
  </bookViews>
  <sheets>
    <sheet name="_" sheetId="6" r:id="rId1"/>
    <sheet name="Glycan features" sheetId="5" r:id="rId2"/>
    <sheet name="N-glycans" sheetId="1" r:id="rId3"/>
    <sheet name="O-glycans" sheetId="2" r:id="rId4"/>
    <sheet name="RSD_MOLM-14" sheetId="3" r:id="rId5"/>
    <sheet name="TFs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3" l="1"/>
  <c r="F58" i="3"/>
  <c r="E58" i="3"/>
  <c r="G57" i="3"/>
  <c r="F57" i="3"/>
  <c r="E57" i="3"/>
  <c r="F56" i="3"/>
  <c r="G56" i="3" s="1"/>
  <c r="E56" i="3"/>
  <c r="F55" i="3"/>
  <c r="G55" i="3" s="1"/>
  <c r="E55" i="3"/>
  <c r="F54" i="3"/>
  <c r="E54" i="3"/>
  <c r="G54" i="3" s="1"/>
  <c r="G53" i="3"/>
  <c r="F53" i="3"/>
  <c r="E53" i="3"/>
  <c r="F52" i="3"/>
  <c r="G52" i="3" s="1"/>
  <c r="E52" i="3"/>
  <c r="F51" i="3"/>
  <c r="G51" i="3" s="1"/>
  <c r="E51" i="3"/>
  <c r="G50" i="3"/>
  <c r="F50" i="3"/>
  <c r="E50" i="3"/>
  <c r="G49" i="3"/>
  <c r="F49" i="3"/>
  <c r="E49" i="3"/>
  <c r="F48" i="3"/>
  <c r="G48" i="3" s="1"/>
  <c r="E48" i="3"/>
  <c r="F47" i="3"/>
  <c r="G47" i="3" s="1"/>
  <c r="E47" i="3"/>
  <c r="F46" i="3"/>
  <c r="E46" i="3"/>
  <c r="G46" i="3" s="1"/>
  <c r="G45" i="3"/>
  <c r="F45" i="3"/>
  <c r="E45" i="3"/>
  <c r="F44" i="3"/>
  <c r="G44" i="3" s="1"/>
  <c r="E44" i="3"/>
  <c r="F43" i="3"/>
  <c r="G43" i="3" s="1"/>
  <c r="E43" i="3"/>
  <c r="G42" i="3"/>
  <c r="F42" i="3"/>
  <c r="E42" i="3"/>
  <c r="G41" i="3"/>
  <c r="F41" i="3"/>
  <c r="E41" i="3"/>
  <c r="F40" i="3"/>
  <c r="G40" i="3" s="1"/>
  <c r="E40" i="3"/>
  <c r="F39" i="3"/>
  <c r="G39" i="3" s="1"/>
  <c r="E39" i="3"/>
  <c r="F38" i="3"/>
  <c r="E38" i="3"/>
  <c r="G38" i="3" s="1"/>
  <c r="G37" i="3"/>
  <c r="F37" i="3"/>
  <c r="E37" i="3"/>
  <c r="F36" i="3"/>
  <c r="G36" i="3" s="1"/>
  <c r="E36" i="3"/>
  <c r="F35" i="3"/>
  <c r="G35" i="3" s="1"/>
  <c r="E35" i="3"/>
  <c r="G34" i="3"/>
  <c r="F34" i="3"/>
  <c r="E34" i="3"/>
  <c r="G33" i="3"/>
  <c r="F33" i="3"/>
  <c r="E33" i="3"/>
  <c r="F32" i="3"/>
  <c r="G32" i="3" s="1"/>
  <c r="E32" i="3"/>
  <c r="F31" i="3"/>
  <c r="G31" i="3" s="1"/>
  <c r="E31" i="3"/>
  <c r="F30" i="3"/>
  <c r="E30" i="3"/>
  <c r="G30" i="3" s="1"/>
  <c r="E63" i="3"/>
  <c r="F63" i="3"/>
  <c r="G63" i="3" s="1"/>
  <c r="E64" i="3"/>
  <c r="F64" i="3"/>
  <c r="G64" i="3" s="1"/>
  <c r="E65" i="3"/>
  <c r="F65" i="3"/>
  <c r="G65" i="3"/>
  <c r="E66" i="3"/>
  <c r="G66" i="3" s="1"/>
  <c r="F66" i="3"/>
  <c r="E67" i="3"/>
  <c r="G67" i="3" s="1"/>
  <c r="F67" i="3"/>
  <c r="E68" i="3"/>
  <c r="F68" i="3"/>
  <c r="G68" i="3"/>
  <c r="E69" i="3"/>
  <c r="F69" i="3"/>
  <c r="G69" i="3" s="1"/>
  <c r="E70" i="3"/>
  <c r="F70" i="3"/>
  <c r="G70" i="3"/>
  <c r="E71" i="3"/>
  <c r="F71" i="3"/>
  <c r="G71" i="3" s="1"/>
  <c r="E72" i="3"/>
  <c r="F72" i="3"/>
  <c r="G72" i="3" s="1"/>
  <c r="E73" i="3"/>
  <c r="F73" i="3"/>
  <c r="G73" i="3"/>
  <c r="E74" i="3"/>
  <c r="G74" i="3" s="1"/>
  <c r="F74" i="3"/>
  <c r="E75" i="3"/>
  <c r="G75" i="3" s="1"/>
  <c r="F75" i="3"/>
  <c r="E76" i="3"/>
  <c r="F76" i="3"/>
  <c r="G76" i="3"/>
  <c r="E77" i="3"/>
  <c r="F77" i="3"/>
  <c r="G77" i="3"/>
  <c r="E78" i="3"/>
  <c r="F78" i="3"/>
  <c r="G78" i="3"/>
  <c r="E79" i="3"/>
  <c r="F79" i="3"/>
  <c r="G79" i="3" s="1"/>
  <c r="E80" i="3"/>
  <c r="F80" i="3"/>
  <c r="G80" i="3" s="1"/>
  <c r="E81" i="3"/>
  <c r="F81" i="3"/>
  <c r="G81" i="3"/>
  <c r="E82" i="3"/>
  <c r="G82" i="3" s="1"/>
  <c r="F82" i="3"/>
  <c r="E83" i="3"/>
  <c r="G83" i="3" s="1"/>
  <c r="F83" i="3"/>
  <c r="E84" i="3"/>
  <c r="F84" i="3"/>
  <c r="G84" i="3"/>
  <c r="E85" i="3"/>
  <c r="F85" i="3"/>
  <c r="G85" i="3"/>
  <c r="E86" i="3"/>
  <c r="F86" i="3"/>
  <c r="G86" i="3"/>
  <c r="E87" i="3"/>
  <c r="F87" i="3"/>
  <c r="G87" i="3" s="1"/>
  <c r="G62" i="3"/>
  <c r="F62" i="3"/>
  <c r="E62" i="3"/>
  <c r="F26" i="3"/>
  <c r="G26" i="3" s="1"/>
  <c r="E26" i="3"/>
  <c r="F25" i="3"/>
  <c r="E25" i="3"/>
  <c r="G25" i="3" s="1"/>
  <c r="F24" i="3"/>
  <c r="G24" i="3" s="1"/>
  <c r="E24" i="3"/>
  <c r="F23" i="3"/>
  <c r="G23" i="3" s="1"/>
  <c r="E23" i="3"/>
  <c r="F22" i="3"/>
  <c r="G22" i="3" s="1"/>
  <c r="E22" i="3"/>
  <c r="F21" i="3"/>
  <c r="G21" i="3" s="1"/>
  <c r="E21" i="3"/>
  <c r="F20" i="3"/>
  <c r="E20" i="3"/>
  <c r="F19" i="3"/>
  <c r="E19" i="3"/>
  <c r="F18" i="3"/>
  <c r="G18" i="3" s="1"/>
  <c r="E18" i="3"/>
  <c r="F17" i="3"/>
  <c r="E17" i="3"/>
  <c r="F13" i="3"/>
  <c r="G13" i="3" s="1"/>
  <c r="E13" i="3"/>
  <c r="F12" i="3"/>
  <c r="G12" i="3" s="1"/>
  <c r="E12" i="3"/>
  <c r="F11" i="3"/>
  <c r="E11" i="3"/>
  <c r="F10" i="3"/>
  <c r="G10" i="3" s="1"/>
  <c r="E10" i="3"/>
  <c r="F9" i="3"/>
  <c r="E9" i="3"/>
  <c r="F8" i="3"/>
  <c r="E8" i="3"/>
  <c r="G8" i="3" s="1"/>
  <c r="F7" i="3"/>
  <c r="E7" i="3"/>
  <c r="F6" i="3"/>
  <c r="E6" i="3"/>
  <c r="F5" i="3"/>
  <c r="E5" i="3"/>
  <c r="F4" i="3"/>
  <c r="E4" i="3"/>
  <c r="G17" i="3" l="1"/>
  <c r="G20" i="3"/>
  <c r="G7" i="3"/>
  <c r="G11" i="3"/>
  <c r="G4" i="3"/>
  <c r="G9" i="3"/>
  <c r="G19" i="3"/>
  <c r="G5" i="3"/>
  <c r="G6" i="3"/>
</calcChain>
</file>

<file path=xl/sharedStrings.xml><?xml version="1.0" encoding="utf-8"?>
<sst xmlns="http://schemas.openxmlformats.org/spreadsheetml/2006/main" count="489" uniqueCount="249">
  <si>
    <t>H1N1</t>
  </si>
  <si>
    <t>H1N2</t>
  </si>
  <si>
    <t>H1N2Su1</t>
  </si>
  <si>
    <t>H1N1S1a</t>
  </si>
  <si>
    <t>H1N1S1b</t>
  </si>
  <si>
    <t>H2N2</t>
  </si>
  <si>
    <t>H2N2Su1</t>
  </si>
  <si>
    <t>H1N2S1</t>
  </si>
  <si>
    <t>H2N2F1</t>
  </si>
  <si>
    <t>H1N1S2</t>
  </si>
  <si>
    <t>H2N2S1a</t>
  </si>
  <si>
    <t>H2N2S1b</t>
  </si>
  <si>
    <t>H3N3</t>
  </si>
  <si>
    <t>H2N2F1S1a</t>
  </si>
  <si>
    <t>H2N2F1S1b</t>
  </si>
  <si>
    <t>H1N1S3</t>
  </si>
  <si>
    <t>H2N2S2</t>
  </si>
  <si>
    <t>H2N2S2Su1</t>
  </si>
  <si>
    <t>H2N2F1S2</t>
  </si>
  <si>
    <t>H2N2F1S2Su1</t>
  </si>
  <si>
    <t>H3N3S2a</t>
  </si>
  <si>
    <t>H3N3S2b</t>
  </si>
  <si>
    <t>H3N3F1S2</t>
  </si>
  <si>
    <t>Core 1</t>
  </si>
  <si>
    <t>Core 2</t>
  </si>
  <si>
    <t>(Sialyl) Lewis x/a</t>
  </si>
  <si>
    <t>Lewis x/a</t>
  </si>
  <si>
    <t>Sialyl Lewis x/a</t>
  </si>
  <si>
    <t>2-3 Sialylation</t>
  </si>
  <si>
    <t>2-6 Sialylation</t>
  </si>
  <si>
    <t>2-8 Sialylation</t>
  </si>
  <si>
    <t>Glycan</t>
  </si>
  <si>
    <t>Glycan Features</t>
  </si>
  <si>
    <t>Mean [%]</t>
  </si>
  <si>
    <t>RSD</t>
  </si>
  <si>
    <t>SD [%]</t>
  </si>
  <si>
    <t>MOLM-14_bio_rep_1_tech_rep_1 [%]</t>
  </si>
  <si>
    <t>MOLM-14_bio_rep_1_tech_rep_2 [%</t>
  </si>
  <si>
    <t>MOLM-14_bio_rep_1_tech_rep_3 [%]</t>
  </si>
  <si>
    <t>MOLM-14_bio_rep_3 [%]</t>
  </si>
  <si>
    <t>MOLM-14_bio_rep_1 [%]</t>
  </si>
  <si>
    <t>MOLM-14_bio_rep_2 [%]</t>
  </si>
  <si>
    <t>H3N2</t>
  </si>
  <si>
    <t>H3N2F1</t>
  </si>
  <si>
    <t>H4N2</t>
  </si>
  <si>
    <t>H5N2a</t>
  </si>
  <si>
    <t>H5N2b</t>
  </si>
  <si>
    <t>H6N2</t>
  </si>
  <si>
    <t>H7N2</t>
  </si>
  <si>
    <t>H8N2</t>
  </si>
  <si>
    <t>H9N2</t>
  </si>
  <si>
    <t>H6N2P1a</t>
  </si>
  <si>
    <t>H7N2P1</t>
  </si>
  <si>
    <t>H5N4S1a</t>
  </si>
  <si>
    <t>H5N4F1S1b</t>
  </si>
  <si>
    <t>H5N4S2a</t>
  </si>
  <si>
    <t>H5N4S2b</t>
  </si>
  <si>
    <t>H5N4F2S1</t>
  </si>
  <si>
    <t>H5N4F1S2a</t>
  </si>
  <si>
    <t>H5N4F1S2b</t>
  </si>
  <si>
    <t>H5N4F2S2a</t>
  </si>
  <si>
    <t>H6N5S2b</t>
  </si>
  <si>
    <t>H6N5F1S2a</t>
  </si>
  <si>
    <t>H6N5S3a</t>
  </si>
  <si>
    <t>H6N5S3b</t>
  </si>
  <si>
    <t>H4N3F1S1a</t>
  </si>
  <si>
    <t>H6N3S1a</t>
  </si>
  <si>
    <t>H6N2P1b</t>
  </si>
  <si>
    <t>H7N2P2</t>
  </si>
  <si>
    <t>H5N4F1S1a</t>
  </si>
  <si>
    <t>H5N2P1a</t>
  </si>
  <si>
    <t>H5N2P1b</t>
  </si>
  <si>
    <t>H3N4F1</t>
  </si>
  <si>
    <t>H4N4F1</t>
  </si>
  <si>
    <t>H5N4F1</t>
  </si>
  <si>
    <t>H5N4S1b</t>
  </si>
  <si>
    <t>H5N4F1S1c</t>
  </si>
  <si>
    <t>H6N5F1</t>
  </si>
  <si>
    <t>H5N4S2c</t>
  </si>
  <si>
    <t>H5N4F1S2c</t>
  </si>
  <si>
    <t>H6N5F1S1</t>
  </si>
  <si>
    <t>H5N4F2S2b</t>
  </si>
  <si>
    <t>H5N4F2S2c</t>
  </si>
  <si>
    <t>H7N6F1</t>
  </si>
  <si>
    <t>H6N5S2a</t>
  </si>
  <si>
    <t>H6N5S2c</t>
  </si>
  <si>
    <t>H6N5F1S2c</t>
  </si>
  <si>
    <t>H6N5F1S2b</t>
  </si>
  <si>
    <t>H6N6F1S2a</t>
  </si>
  <si>
    <t>H6N6F1S2b</t>
  </si>
  <si>
    <t>H6N5F1S3a</t>
  </si>
  <si>
    <t>H6N5F1S3b</t>
  </si>
  <si>
    <t>H6N5S4a</t>
  </si>
  <si>
    <t>H6N5S4b</t>
  </si>
  <si>
    <t>H6N6F1S3</t>
  </si>
  <si>
    <t>H7N6F1S4a</t>
  </si>
  <si>
    <t>H7N6F1S4b</t>
  </si>
  <si>
    <t>H5N5F1S1a</t>
  </si>
  <si>
    <t>H5N5F1S1b</t>
  </si>
  <si>
    <t>H5N5F1S2a</t>
  </si>
  <si>
    <t>H5N5F1S2b</t>
  </si>
  <si>
    <t>H5N5F1S2c</t>
  </si>
  <si>
    <t>H3N3F1a</t>
  </si>
  <si>
    <t>H3N3F1b</t>
  </si>
  <si>
    <t>H6N3</t>
  </si>
  <si>
    <t>H6N3P1</t>
  </si>
  <si>
    <t>H4N3F1S1b</t>
  </si>
  <si>
    <t>H4N3F1S1c</t>
  </si>
  <si>
    <t>H6N3S1b</t>
  </si>
  <si>
    <t>Paucimannose</t>
  </si>
  <si>
    <t>Oligomannose</t>
  </si>
  <si>
    <t>Phosphorylation</t>
  </si>
  <si>
    <t>Sialylation</t>
  </si>
  <si>
    <t>Bisection</t>
  </si>
  <si>
    <t>Antennae</t>
  </si>
  <si>
    <t>OCI-AML3 - Fract. Abund. [%]</t>
  </si>
  <si>
    <t>OCI-AML2 - Fract. Abund. [%]</t>
  </si>
  <si>
    <t>KG-1 - Fract. Abund. [%]</t>
  </si>
  <si>
    <t>NB-4 - Fract. Abund. [%]</t>
  </si>
  <si>
    <t>U-937 - Fract. Abund. [%]</t>
  </si>
  <si>
    <t>MV4-11 - Fract. Abund. [%]</t>
  </si>
  <si>
    <t>HL-60 - Fract. Abund. [%]</t>
  </si>
  <si>
    <t>ME-1 - Fract. Abund. [%]</t>
  </si>
  <si>
    <t>HEL - Fract. Abund. [%]</t>
  </si>
  <si>
    <t>AML-193 - Fract. Abund. [%]</t>
  </si>
  <si>
    <t>HEL92.1 - Fract. Abund. [%]</t>
  </si>
  <si>
    <t>MOLM-13 - Fract. Abund. [%]</t>
  </si>
  <si>
    <t>TF-1 - Fract. Abund. [%]</t>
  </si>
  <si>
    <t>Kasumi-1 - Fract. Abund. [%]</t>
  </si>
  <si>
    <t>PLB-985 - Fract. Abund. [%]</t>
  </si>
  <si>
    <t>EOL-1 - Fract. Abund. [%]</t>
  </si>
  <si>
    <t>KG-1a - Fract. Abund. [%]</t>
  </si>
  <si>
    <t>M07e - Fract. Abund. [%]</t>
  </si>
  <si>
    <t>ML-1 - Fract. Abund. [%]</t>
  </si>
  <si>
    <t>THP-1 - Fract. Abund. [%]</t>
  </si>
  <si>
    <t>Molm-14 - Fract. Abund. [%]</t>
  </si>
  <si>
    <t>Glycans</t>
  </si>
  <si>
    <r>
      <rPr>
        <b/>
        <i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-Glycans - Technical Variability</t>
    </r>
  </si>
  <si>
    <r>
      <rPr>
        <b/>
        <i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-Glycans - Biological Variability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</si>
  <si>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-Glycans - Technical Variability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</si>
  <si>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-Glycans - Biological Variability</t>
    </r>
  </si>
  <si>
    <t>CBFA2T3</t>
  </si>
  <si>
    <t>CEBPA</t>
  </si>
  <si>
    <t>TAL1</t>
  </si>
  <si>
    <t>GATA1</t>
  </si>
  <si>
    <t>GATA2</t>
  </si>
  <si>
    <t>GATA3</t>
  </si>
  <si>
    <t>SPI1</t>
  </si>
  <si>
    <t>AML193</t>
  </si>
  <si>
    <t>EOL1</t>
  </si>
  <si>
    <t>HEL</t>
  </si>
  <si>
    <t>HEL9217</t>
  </si>
  <si>
    <t>HL60</t>
  </si>
  <si>
    <t>KASUMI1</t>
  </si>
  <si>
    <t>KG1</t>
  </si>
  <si>
    <t>M07E</t>
  </si>
  <si>
    <t>ME1</t>
  </si>
  <si>
    <t>MOLM13</t>
  </si>
  <si>
    <t>MOLM14</t>
  </si>
  <si>
    <t>MV411</t>
  </si>
  <si>
    <t>NB4</t>
  </si>
  <si>
    <t>OCIAML2</t>
  </si>
  <si>
    <t>OCIAML3</t>
  </si>
  <si>
    <t>PLB985</t>
  </si>
  <si>
    <t>TF1</t>
  </si>
  <si>
    <t>THP1</t>
  </si>
  <si>
    <t>U937</t>
  </si>
  <si>
    <t>Cell Line</t>
  </si>
  <si>
    <t>Abbreviation</t>
  </si>
  <si>
    <t>Structure</t>
  </si>
  <si>
    <t>5a</t>
  </si>
  <si>
    <t>5b</t>
  </si>
  <si>
    <t>10a</t>
  </si>
  <si>
    <t>10b</t>
  </si>
  <si>
    <t>11a</t>
  </si>
  <si>
    <t>11b</t>
  </si>
  <si>
    <t>17a</t>
  </si>
  <si>
    <t>17b</t>
  </si>
  <si>
    <t>18a</t>
  </si>
  <si>
    <t>18b</t>
  </si>
  <si>
    <t>18c</t>
  </si>
  <si>
    <t>20a</t>
  </si>
  <si>
    <t>20b</t>
  </si>
  <si>
    <t>20c</t>
  </si>
  <si>
    <t>22a</t>
  </si>
  <si>
    <t>22b</t>
  </si>
  <si>
    <t>22c</t>
  </si>
  <si>
    <t>24a</t>
  </si>
  <si>
    <t>26c</t>
  </si>
  <si>
    <t>28a</t>
  </si>
  <si>
    <t>28b</t>
  </si>
  <si>
    <t>24b</t>
  </si>
  <si>
    <t>24c</t>
  </si>
  <si>
    <t>26a</t>
  </si>
  <si>
    <t>26b</t>
  </si>
  <si>
    <t>27a</t>
  </si>
  <si>
    <t>27b</t>
  </si>
  <si>
    <t>27c</t>
  </si>
  <si>
    <t>29a</t>
  </si>
  <si>
    <t>29b</t>
  </si>
  <si>
    <t>30a</t>
  </si>
  <si>
    <t>30b</t>
  </si>
  <si>
    <t>31a</t>
  </si>
  <si>
    <t>31b</t>
  </si>
  <si>
    <t>33a</t>
  </si>
  <si>
    <t>33b</t>
  </si>
  <si>
    <t>34a</t>
  </si>
  <si>
    <t>40b</t>
  </si>
  <si>
    <t>40a</t>
  </si>
  <si>
    <t>39c</t>
  </si>
  <si>
    <t>39b</t>
  </si>
  <si>
    <t>39a</t>
  </si>
  <si>
    <t>34b</t>
  </si>
  <si>
    <t>35a</t>
  </si>
  <si>
    <t>35b</t>
  </si>
  <si>
    <t>35c</t>
  </si>
  <si>
    <t>36a</t>
  </si>
  <si>
    <t>36b</t>
  </si>
  <si>
    <t>4a</t>
  </si>
  <si>
    <t>4b</t>
  </si>
  <si>
    <t>5</t>
  </si>
  <si>
    <t>6</t>
  </si>
  <si>
    <t>7</t>
  </si>
  <si>
    <t>8</t>
  </si>
  <si>
    <t>9</t>
  </si>
  <si>
    <t>11</t>
  </si>
  <si>
    <t>12a</t>
  </si>
  <si>
    <t>12b</t>
  </si>
  <si>
    <t>13</t>
  </si>
  <si>
    <t>14</t>
  </si>
  <si>
    <t>15</t>
  </si>
  <si>
    <t>16</t>
  </si>
  <si>
    <t>17</t>
  </si>
  <si>
    <t>19</t>
  </si>
  <si>
    <t>Glycan Number</t>
  </si>
  <si>
    <t>Complex type</t>
  </si>
  <si>
    <t>Hybrid type</t>
  </si>
  <si>
    <t>Core fucosylation</t>
  </si>
  <si>
    <t>Antennarity</t>
  </si>
  <si>
    <t>LacNAc repeats</t>
  </si>
  <si>
    <t>Sulfation</t>
  </si>
  <si>
    <t>T Antigen</t>
  </si>
  <si>
    <t>H Antigen</t>
  </si>
  <si>
    <r>
      <rPr>
        <b/>
        <sz val="11"/>
        <color theme="1"/>
        <rFont val="Calibri"/>
        <family val="2"/>
        <scheme val="minor"/>
      </rPr>
      <t>Supplementary Excel Table 5:</t>
    </r>
    <r>
      <rPr>
        <sz val="11"/>
        <color theme="1"/>
        <rFont val="Calibri"/>
        <family val="2"/>
        <scheme val="minor"/>
      </rPr>
      <t xml:space="preserve"> Transcriptomics data of selected hematopoietic transcription factors. Expression values were obtained from the “Expression Public 21Q1” dataset accessed</t>
    </r>
    <r>
      <rPr>
        <i/>
        <sz val="11"/>
        <color theme="1"/>
        <rFont val="Calibri"/>
        <family val="2"/>
        <scheme val="minor"/>
      </rPr>
      <t xml:space="preserve"> via </t>
    </r>
    <r>
      <rPr>
        <sz val="11"/>
        <color theme="1"/>
        <rFont val="Calibri"/>
        <family val="2"/>
        <scheme val="minor"/>
      </rPr>
      <t>the depmap portal (Broad Institute, Cambridge, MA, USA).</t>
    </r>
  </si>
  <si>
    <t>MOLM-14_bio_rep_1_tech_rep_2 [%]</t>
  </si>
  <si>
    <r>
      <rPr>
        <b/>
        <sz val="11"/>
        <color theme="1"/>
        <rFont val="Calibri"/>
        <family val="2"/>
        <scheme val="minor"/>
      </rPr>
      <t>Supplementary Excel Table 4:</t>
    </r>
    <r>
      <rPr>
        <sz val="11"/>
        <color theme="1"/>
        <rFont val="Calibri"/>
        <family val="2"/>
        <scheme val="minor"/>
      </rPr>
      <t xml:space="preserve"> Technical and biological variability of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 and </t>
    </r>
    <r>
      <rPr>
        <i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-glycans exemplarily assessed for the MOLM-14 cell line. Fractional abundances of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 and </t>
    </r>
    <r>
      <rPr>
        <i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-glycans as well as corresponding mean values, standard deviations (SD), and relative standard deviations (RSD) determined for technical and biological triplicates are depicted. Displayed values correspond to Supplementary Figure 2.</t>
    </r>
  </si>
  <si>
    <r>
      <rPr>
        <b/>
        <sz val="11"/>
        <color theme="1"/>
        <rFont val="Calibri"/>
        <family val="2"/>
        <scheme val="minor"/>
      </rPr>
      <t xml:space="preserve">Supplementary Excel Table 1: </t>
    </r>
    <r>
      <rPr>
        <sz val="11"/>
        <color theme="1"/>
        <rFont val="Calibri"/>
        <family val="2"/>
        <scheme val="minor"/>
      </rPr>
      <t xml:space="preserve">Identified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 and </t>
    </r>
    <r>
      <rPr>
        <i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-glycan structures and their contributions to specific glycan features. Glycan numbers correspond to the structural elucidation shown in Supplementary Information 1 and 2. Glycans are abbreviated according to their monosaccharide composition: hexose (H),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-acetylhexosamine (N), fucose (F),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-acetylneuraminic acid (S), phosphorylation (P), and sulfation (Su). Green numbers denote contributions of a specific glycan to a glycan type or a derived trait. In essence, the observed fractional abundance of a specific glycan was multiplied by the displayed number to calaculate its contribution to a specific glycan feature. </t>
    </r>
  </si>
  <si>
    <r>
      <rPr>
        <b/>
        <sz val="11"/>
        <color theme="1"/>
        <rFont val="Calibri"/>
        <family val="2"/>
        <scheme val="minor"/>
      </rPr>
      <t>Supplementary Excel Table 2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-glycan expression in AML cell lines. Fractional abundances in percent of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-glycans in all AML cell lines investigated. Values of "0" were imputed as "0.01".</t>
    </r>
  </si>
  <si>
    <r>
      <rPr>
        <b/>
        <sz val="11"/>
        <color theme="1"/>
        <rFont val="Calibri"/>
        <family val="2"/>
        <scheme val="minor"/>
      </rPr>
      <t>Supplementary Excel Table 3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-glycan expression in AML cell lines. Fractional abundances in percent of </t>
    </r>
    <r>
      <rPr>
        <i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-glycans in all AML cell lines investigated. Values of "0" were imputed as "0.01".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</si>
</sst>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0" xfId="0" applyNumberFormat="1"/>
    <xf numFmtId="0" fontId="3" fillId="3" borderId="1" xfId="0" applyFont="1" applyFill="1" applyBorder="1"/>
    <xf numFmtId="0" fontId="0" fillId="4" borderId="4" xfId="0" applyFill="1" applyBorder="1"/>
    <xf numFmtId="0" fontId="0" fillId="0" borderId="1" xfId="0" applyBorder="1"/>
    <xf numFmtId="0" fontId="0" fillId="3" borderId="1" xfId="0" applyFill="1" applyBorder="1" applyAlignment="1">
      <alignment textRotation="90"/>
    </xf>
    <xf numFmtId="0" fontId="0" fillId="0" borderId="0" xfId="0" applyAlignment="1">
      <alignment vertical="top"/>
    </xf>
    <xf numFmtId="49" fontId="0" fillId="0" borderId="0" xfId="0" applyNumberFormat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80" Type="http://schemas.openxmlformats.org/officeDocument/2006/relationships/image" Target="../media/image81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83" Type="http://schemas.openxmlformats.org/officeDocument/2006/relationships/image" Target="../media/image84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237181</xdr:colOff>
      <xdr:row>28</xdr:row>
      <xdr:rowOff>56476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2381" cy="5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37</xdr:row>
      <xdr:rowOff>1</xdr:rowOff>
    </xdr:from>
    <xdr:to>
      <xdr:col>2</xdr:col>
      <xdr:colOff>1461611</xdr:colOff>
      <xdr:row>37</xdr:row>
      <xdr:rowOff>668656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91419B1-1D5D-4968-86C5-C30B4C0B2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5136476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38</xdr:row>
      <xdr:rowOff>9525</xdr:rowOff>
    </xdr:from>
    <xdr:to>
      <xdr:col>2</xdr:col>
      <xdr:colOff>1312545</xdr:colOff>
      <xdr:row>39</xdr:row>
      <xdr:rowOff>8096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AD4BB7E-1FA9-4337-A3F6-B0D42A7C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0" y="25841325"/>
          <a:ext cx="1303020" cy="82724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</xdr:row>
      <xdr:rowOff>19050</xdr:rowOff>
    </xdr:from>
    <xdr:to>
      <xdr:col>2</xdr:col>
      <xdr:colOff>923925</xdr:colOff>
      <xdr:row>2</xdr:row>
      <xdr:rowOff>398235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92C7DE-1BC0-4230-9A78-B45912096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1581150"/>
          <a:ext cx="904875" cy="37918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</xdr:row>
      <xdr:rowOff>19051</xdr:rowOff>
    </xdr:from>
    <xdr:to>
      <xdr:col>2</xdr:col>
      <xdr:colOff>854869</xdr:colOff>
      <xdr:row>3</xdr:row>
      <xdr:rowOff>340520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3B924C-A7CD-44EE-9B4A-69895A452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9275" y="2143126"/>
          <a:ext cx="835819" cy="32146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4</xdr:row>
      <xdr:rowOff>28575</xdr:rowOff>
    </xdr:from>
    <xdr:to>
      <xdr:col>2</xdr:col>
      <xdr:colOff>932022</xdr:colOff>
      <xdr:row>4</xdr:row>
      <xdr:rowOff>478631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D05295-D9AE-431F-88C4-650C8D280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9276" y="2714625"/>
          <a:ext cx="912971" cy="45005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</xdr:row>
      <xdr:rowOff>9525</xdr:rowOff>
    </xdr:from>
    <xdr:to>
      <xdr:col>2</xdr:col>
      <xdr:colOff>1153954</xdr:colOff>
      <xdr:row>5</xdr:row>
      <xdr:rowOff>519589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0" y="3257550"/>
          <a:ext cx="1144429" cy="51006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</xdr:row>
      <xdr:rowOff>9525</xdr:rowOff>
    </xdr:from>
    <xdr:to>
      <xdr:col>2</xdr:col>
      <xdr:colOff>1153954</xdr:colOff>
      <xdr:row>6</xdr:row>
      <xdr:rowOff>519589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0CB915-4802-42BD-8319-14EF3F50F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0" y="3819525"/>
          <a:ext cx="1144429" cy="51006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</xdr:row>
      <xdr:rowOff>9525</xdr:rowOff>
    </xdr:from>
    <xdr:to>
      <xdr:col>2</xdr:col>
      <xdr:colOff>1008221</xdr:colOff>
      <xdr:row>7</xdr:row>
      <xdr:rowOff>455295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080989-1772-44B4-B66A-B6CE8CD43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9750" y="4381500"/>
          <a:ext cx="998696" cy="44577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</xdr:row>
      <xdr:rowOff>9525</xdr:rowOff>
    </xdr:from>
    <xdr:to>
      <xdr:col>2</xdr:col>
      <xdr:colOff>999649</xdr:colOff>
      <xdr:row>8</xdr:row>
      <xdr:rowOff>536734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EF5275-E57C-4F8C-9C31-819927AB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9750" y="4943475"/>
          <a:ext cx="990124" cy="52720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</xdr:row>
      <xdr:rowOff>9526</xdr:rowOff>
    </xdr:from>
    <xdr:to>
      <xdr:col>2</xdr:col>
      <xdr:colOff>1278255</xdr:colOff>
      <xdr:row>9</xdr:row>
      <xdr:rowOff>571025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F0307B-51BB-4E11-8DB8-C424740D3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09750" y="5505451"/>
          <a:ext cx="1268730" cy="56149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10</xdr:row>
      <xdr:rowOff>9526</xdr:rowOff>
    </xdr:from>
    <xdr:to>
      <xdr:col>2</xdr:col>
      <xdr:colOff>1312545</xdr:colOff>
      <xdr:row>10</xdr:row>
      <xdr:rowOff>678181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A606030-1093-40CE-A72B-4B3BAD06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6067426"/>
          <a:ext cx="1303020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</xdr:row>
      <xdr:rowOff>19051</xdr:rowOff>
    </xdr:from>
    <xdr:to>
      <xdr:col>2</xdr:col>
      <xdr:colOff>1312545</xdr:colOff>
      <xdr:row>11</xdr:row>
      <xdr:rowOff>687706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973906-3003-4D35-A740-404F59A9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6981826"/>
          <a:ext cx="1303020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12</xdr:row>
      <xdr:rowOff>9525</xdr:rowOff>
    </xdr:from>
    <xdr:to>
      <xdr:col>2</xdr:col>
      <xdr:colOff>1342549</xdr:colOff>
      <xdr:row>12</xdr:row>
      <xdr:rowOff>596741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126624-663F-43B4-9F57-47A00DA31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09750" y="7705725"/>
          <a:ext cx="1333024" cy="58721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13</xdr:row>
      <xdr:rowOff>9525</xdr:rowOff>
    </xdr:from>
    <xdr:to>
      <xdr:col>2</xdr:col>
      <xdr:colOff>1342549</xdr:colOff>
      <xdr:row>13</xdr:row>
      <xdr:rowOff>596741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5A527A-3915-4EB8-A957-6D57BFAA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09750" y="8439150"/>
          <a:ext cx="1333024" cy="58721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14</xdr:row>
      <xdr:rowOff>9526</xdr:rowOff>
    </xdr:from>
    <xdr:to>
      <xdr:col>2</xdr:col>
      <xdr:colOff>1342549</xdr:colOff>
      <xdr:row>14</xdr:row>
      <xdr:rowOff>678181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81AFD9E-1FB2-408B-ACE1-EAFECE82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9172576"/>
          <a:ext cx="1333024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15</xdr:row>
      <xdr:rowOff>9525</xdr:rowOff>
    </xdr:from>
    <xdr:to>
      <xdr:col>2</xdr:col>
      <xdr:colOff>1342549</xdr:colOff>
      <xdr:row>15</xdr:row>
      <xdr:rowOff>678180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81AFD9E-1FB2-408B-ACE1-EAFECE82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9906000"/>
          <a:ext cx="1333024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</xdr:row>
      <xdr:rowOff>9526</xdr:rowOff>
    </xdr:from>
    <xdr:to>
      <xdr:col>2</xdr:col>
      <xdr:colOff>1501140</xdr:colOff>
      <xdr:row>16</xdr:row>
      <xdr:rowOff>678181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0AEF216-C1FF-4F50-AD06-FB41F84AD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9750" y="10639426"/>
          <a:ext cx="1491615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41044</xdr:colOff>
      <xdr:row>17</xdr:row>
      <xdr:rowOff>9525</xdr:rowOff>
    </xdr:from>
    <xdr:to>
      <xdr:col>2</xdr:col>
      <xdr:colOff>1560627</xdr:colOff>
      <xdr:row>17</xdr:row>
      <xdr:rowOff>690717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0AEF216-C1FF-4F50-AD06-FB41F84AD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41269" y="11363325"/>
          <a:ext cx="1519583" cy="681192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17</xdr:row>
      <xdr:rowOff>95991</xdr:rowOff>
    </xdr:from>
    <xdr:to>
      <xdr:col>2</xdr:col>
      <xdr:colOff>561222</xdr:colOff>
      <xdr:row>17</xdr:row>
      <xdr:rowOff>350548</xdr:rowOff>
    </xdr:to>
    <xdr:sp macro="" textlink="">
      <xdr:nvSpPr>
        <xdr:cNvPr id="20" name="TextBox 87">
          <a:extLst>
            <a:ext uri="{FF2B5EF4-FFF2-40B4-BE49-F238E27FC236}">
              <a16:creationId xmlns:a16="http://schemas.microsoft.com/office/drawing/2014/main" id="{464EF96F-0013-43FA-BA15-278C0B72C758}"/>
            </a:ext>
          </a:extLst>
        </xdr:cNvPr>
        <xdr:cNvSpPr txBox="1"/>
      </xdr:nvSpPr>
      <xdr:spPr>
        <a:xfrm>
          <a:off x="1819275" y="11449791"/>
          <a:ext cx="542172" cy="2545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2x</a:t>
          </a:r>
          <a:endParaRPr lang="nl-NL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9525</xdr:colOff>
      <xdr:row>18</xdr:row>
      <xdr:rowOff>9525</xdr:rowOff>
    </xdr:from>
    <xdr:to>
      <xdr:col>2</xdr:col>
      <xdr:colOff>1153954</xdr:colOff>
      <xdr:row>18</xdr:row>
      <xdr:rowOff>601028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B6C6C67-8469-4584-8724-8234F49F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2077700"/>
          <a:ext cx="1144429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19</xdr:row>
      <xdr:rowOff>9525</xdr:rowOff>
    </xdr:from>
    <xdr:to>
      <xdr:col>2</xdr:col>
      <xdr:colOff>1312545</xdr:colOff>
      <xdr:row>19</xdr:row>
      <xdr:rowOff>601028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444578-4832-465D-A3D6-83D08DA76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09750" y="12725400"/>
          <a:ext cx="1303020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19050</xdr:rowOff>
    </xdr:from>
    <xdr:to>
      <xdr:col>2</xdr:col>
      <xdr:colOff>1322070</xdr:colOff>
      <xdr:row>20</xdr:row>
      <xdr:rowOff>610553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E65CFB0-1E6B-4181-AD5A-D4047C47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19275" y="14030325"/>
          <a:ext cx="1303020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21</xdr:row>
      <xdr:rowOff>9526</xdr:rowOff>
    </xdr:from>
    <xdr:to>
      <xdr:col>2</xdr:col>
      <xdr:colOff>1471136</xdr:colOff>
      <xdr:row>21</xdr:row>
      <xdr:rowOff>678181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09750" y="14020801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22</xdr:row>
      <xdr:rowOff>9525</xdr:rowOff>
    </xdr:from>
    <xdr:to>
      <xdr:col>2</xdr:col>
      <xdr:colOff>1471136</xdr:colOff>
      <xdr:row>22</xdr:row>
      <xdr:rowOff>519589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09750" y="14716125"/>
          <a:ext cx="1461611" cy="51006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23</xdr:row>
      <xdr:rowOff>19051</xdr:rowOff>
    </xdr:from>
    <xdr:to>
      <xdr:col>2</xdr:col>
      <xdr:colOff>1579246</xdr:colOff>
      <xdr:row>23</xdr:row>
      <xdr:rowOff>687706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19276" y="15420976"/>
          <a:ext cx="1560195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24</xdr:row>
      <xdr:rowOff>9525</xdr:rowOff>
    </xdr:from>
    <xdr:to>
      <xdr:col>2</xdr:col>
      <xdr:colOff>1569721</xdr:colOff>
      <xdr:row>24</xdr:row>
      <xdr:rowOff>601028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B7CBC05-3AF6-45D7-89A6-2ACC2709C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09751" y="16106775"/>
          <a:ext cx="1560195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25</xdr:row>
      <xdr:rowOff>9526</xdr:rowOff>
    </xdr:from>
    <xdr:to>
      <xdr:col>2</xdr:col>
      <xdr:colOff>1569721</xdr:colOff>
      <xdr:row>25</xdr:row>
      <xdr:rowOff>601029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B051268-A32E-4516-9232-EA2D25252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09751" y="16802101"/>
          <a:ext cx="1560195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26</xdr:row>
      <xdr:rowOff>9525</xdr:rowOff>
    </xdr:from>
    <xdr:to>
      <xdr:col>2</xdr:col>
      <xdr:colOff>1312545</xdr:colOff>
      <xdr:row>27</xdr:row>
      <xdr:rowOff>25717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5D80A4-A460-498B-AB55-5FD23F7E6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09750" y="17497425"/>
          <a:ext cx="1303020" cy="71151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27</xdr:row>
      <xdr:rowOff>9526</xdr:rowOff>
    </xdr:from>
    <xdr:to>
      <xdr:col>2</xdr:col>
      <xdr:colOff>1471136</xdr:colOff>
      <xdr:row>27</xdr:row>
      <xdr:rowOff>678181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A6AB0AB-0AD9-48D2-85CA-81734A205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09750" y="18192751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28</xdr:row>
      <xdr:rowOff>9525</xdr:rowOff>
    </xdr:from>
    <xdr:to>
      <xdr:col>2</xdr:col>
      <xdr:colOff>1569721</xdr:colOff>
      <xdr:row>28</xdr:row>
      <xdr:rowOff>656749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3167664-12D5-406F-9E6B-A729D12C1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09751" y="18888075"/>
          <a:ext cx="1560195" cy="64722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29</xdr:row>
      <xdr:rowOff>9525</xdr:rowOff>
    </xdr:from>
    <xdr:to>
      <xdr:col>2</xdr:col>
      <xdr:colOff>1471136</xdr:colOff>
      <xdr:row>29</xdr:row>
      <xdr:rowOff>588226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869773B-353B-4785-9244-541B7910BE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b="13453"/>
        <a:stretch/>
      </xdr:blipFill>
      <xdr:spPr>
        <a:xfrm>
          <a:off x="1809750" y="19583400"/>
          <a:ext cx="1461611" cy="578701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30</xdr:row>
      <xdr:rowOff>9526</xdr:rowOff>
    </xdr:from>
    <xdr:to>
      <xdr:col>2</xdr:col>
      <xdr:colOff>1569721</xdr:colOff>
      <xdr:row>30</xdr:row>
      <xdr:rowOff>678181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09751" y="20278726"/>
          <a:ext cx="1560195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31</xdr:row>
      <xdr:rowOff>9526</xdr:rowOff>
    </xdr:from>
    <xdr:to>
      <xdr:col>2</xdr:col>
      <xdr:colOff>1471136</xdr:colOff>
      <xdr:row>31</xdr:row>
      <xdr:rowOff>678181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79F7AB2-1ED8-4A4B-81E7-922B09FCE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9750" y="20974051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32</xdr:row>
      <xdr:rowOff>0</xdr:rowOff>
    </xdr:from>
    <xdr:to>
      <xdr:col>2</xdr:col>
      <xdr:colOff>1560196</xdr:colOff>
      <xdr:row>32</xdr:row>
      <xdr:rowOff>647224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6E913CF-9564-4BAE-B51E-31F78646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00226" y="21659850"/>
          <a:ext cx="1560195" cy="6472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1461611</xdr:colOff>
      <xdr:row>33</xdr:row>
      <xdr:rowOff>693349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794501E-0DCE-4F5A-9D49-D5521A5FB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rcRect b="7565"/>
        <a:stretch/>
      </xdr:blipFill>
      <xdr:spPr>
        <a:xfrm>
          <a:off x="1800225" y="22355175"/>
          <a:ext cx="1461611" cy="6933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34</xdr:row>
      <xdr:rowOff>0</xdr:rowOff>
    </xdr:from>
    <xdr:to>
      <xdr:col>2</xdr:col>
      <xdr:colOff>1560196</xdr:colOff>
      <xdr:row>35</xdr:row>
      <xdr:rowOff>16194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4AF0AC9-26A3-4F49-B1E2-36050B87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00226" y="23050500"/>
          <a:ext cx="1560195" cy="7115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1</xdr:rowOff>
    </xdr:from>
    <xdr:to>
      <xdr:col>2</xdr:col>
      <xdr:colOff>1461611</xdr:colOff>
      <xdr:row>35</xdr:row>
      <xdr:rowOff>668656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B84A976-21F3-4D3A-961B-AE57AA275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3745826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1</xdr:rowOff>
    </xdr:from>
    <xdr:to>
      <xdr:col>2</xdr:col>
      <xdr:colOff>1461611</xdr:colOff>
      <xdr:row>36</xdr:row>
      <xdr:rowOff>668656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0A14A3F-D9FE-4700-9356-F1A9E317D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00225" y="24441151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39</xdr:row>
      <xdr:rowOff>28575</xdr:rowOff>
    </xdr:from>
    <xdr:to>
      <xdr:col>2</xdr:col>
      <xdr:colOff>1471136</xdr:colOff>
      <xdr:row>40</xdr:row>
      <xdr:rowOff>27146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09750" y="26689050"/>
          <a:ext cx="1461611" cy="8272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9525</xdr:rowOff>
    </xdr:from>
    <xdr:to>
      <xdr:col>2</xdr:col>
      <xdr:colOff>1461611</xdr:colOff>
      <xdr:row>40</xdr:row>
      <xdr:rowOff>995363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00225" y="27498675"/>
          <a:ext cx="1461611" cy="9858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1</xdr:rowOff>
    </xdr:from>
    <xdr:to>
      <xdr:col>2</xdr:col>
      <xdr:colOff>1461611</xdr:colOff>
      <xdr:row>41</xdr:row>
      <xdr:rowOff>668656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00225" y="28317826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45</xdr:row>
      <xdr:rowOff>9526</xdr:rowOff>
    </xdr:from>
    <xdr:to>
      <xdr:col>2</xdr:col>
      <xdr:colOff>1490186</xdr:colOff>
      <xdr:row>45</xdr:row>
      <xdr:rowOff>1072517</xdr:rowOff>
    </xdr:to>
    <xdr:pic>
      <xdr:nvPicPr>
        <xdr:cNvPr id="46" name="Picture 45"/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t="7116"/>
        <a:stretch/>
      </xdr:blipFill>
      <xdr:spPr>
        <a:xfrm>
          <a:off x="1828800" y="32470726"/>
          <a:ext cx="1461611" cy="106299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46</xdr:row>
      <xdr:rowOff>19050</xdr:rowOff>
    </xdr:from>
    <xdr:to>
      <xdr:col>2</xdr:col>
      <xdr:colOff>1471136</xdr:colOff>
      <xdr:row>46</xdr:row>
      <xdr:rowOff>1004888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09750" y="33594675"/>
          <a:ext cx="1461611" cy="985838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9526</xdr:rowOff>
    </xdr:from>
    <xdr:to>
      <xdr:col>2</xdr:col>
      <xdr:colOff>1572535</xdr:colOff>
      <xdr:row>47</xdr:row>
      <xdr:rowOff>772065</xdr:rowOff>
    </xdr:to>
    <xdr:grpSp>
      <xdr:nvGrpSpPr>
        <xdr:cNvPr id="52" name="Group 51"/>
        <xdr:cNvGrpSpPr/>
      </xdr:nvGrpSpPr>
      <xdr:grpSpPr>
        <a:xfrm>
          <a:off x="1813672" y="40070555"/>
          <a:ext cx="1563010" cy="762539"/>
          <a:chOff x="1800225" y="31499175"/>
          <a:chExt cx="3473355" cy="1694530"/>
        </a:xfrm>
      </xdr:grpSpPr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36ECDEDD-3D0B-40A7-AE78-E226B25753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9"/>
          <a:srcRect l="21030" b="7822"/>
          <a:stretch/>
        </xdr:blipFill>
        <xdr:spPr>
          <a:xfrm>
            <a:off x="2813923" y="31499175"/>
            <a:ext cx="2459657" cy="1694530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B239629F-6230-429C-A0A0-C70BFB5EC99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1815948" y="32561456"/>
            <a:ext cx="948461" cy="315602"/>
          </a:xfrm>
          <a:prstGeom prst="rect">
            <a:avLst/>
          </a:prstGeom>
        </xdr:spPr>
      </xdr:pic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97DB0D65-61AD-41FA-B489-C4C4222904F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1800225" y="31975572"/>
            <a:ext cx="948461" cy="315602"/>
          </a:xfrm>
          <a:prstGeom prst="rect">
            <a:avLst/>
          </a:prstGeom>
        </xdr:spPr>
      </xdr:pic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CD5F3423-F2B7-4495-B967-C235B24F297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9"/>
          <a:srcRect l="8090" t="43377" r="81028" b="43100"/>
          <a:stretch/>
        </xdr:blipFill>
        <xdr:spPr>
          <a:xfrm>
            <a:off x="2409765" y="32294046"/>
            <a:ext cx="338921" cy="24858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95250</xdr:colOff>
      <xdr:row>49</xdr:row>
      <xdr:rowOff>85725</xdr:rowOff>
    </xdr:from>
    <xdr:to>
      <xdr:col>2</xdr:col>
      <xdr:colOff>1578435</xdr:colOff>
      <xdr:row>49</xdr:row>
      <xdr:rowOff>688318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E332482D-7049-4E38-8911-C89EFA29A207}"/>
            </a:ext>
          </a:extLst>
        </xdr:cNvPr>
        <xdr:cNvGrpSpPr>
          <a:grpSpLocks/>
        </xdr:cNvGrpSpPr>
      </xdr:nvGrpSpPr>
      <xdr:grpSpPr>
        <a:xfrm>
          <a:off x="1899397" y="41805225"/>
          <a:ext cx="1483185" cy="602593"/>
          <a:chOff x="9129275" y="1022373"/>
          <a:chExt cx="3295967" cy="1339095"/>
        </a:xfrm>
      </xdr:grpSpPr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EBF54B5D-74E5-411F-AEBD-157F1028E3C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1"/>
          <a:srcRect l="11247"/>
          <a:stretch/>
        </xdr:blipFill>
        <xdr:spPr>
          <a:xfrm>
            <a:off x="9144001" y="1022373"/>
            <a:ext cx="3281241" cy="1339095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F0434CB9-F17E-4A1F-9F5E-F105F3A02D1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1"/>
          <a:srcRect l="11247" t="35678" r="57100" b="37626"/>
          <a:stretch/>
        </xdr:blipFill>
        <xdr:spPr>
          <a:xfrm>
            <a:off x="9129275" y="1183001"/>
            <a:ext cx="1170216" cy="357480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C12F51DD-7370-4B1B-A659-124605AF80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1"/>
          <a:srcRect l="11247" t="35678" r="57100" b="37626"/>
          <a:stretch/>
        </xdr:blipFill>
        <xdr:spPr>
          <a:xfrm>
            <a:off x="9141459" y="1826816"/>
            <a:ext cx="1170216" cy="35748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9526</xdr:colOff>
      <xdr:row>42</xdr:row>
      <xdr:rowOff>19050</xdr:rowOff>
    </xdr:from>
    <xdr:to>
      <xdr:col>2</xdr:col>
      <xdr:colOff>1546711</xdr:colOff>
      <xdr:row>42</xdr:row>
      <xdr:rowOff>664096</xdr:rowOff>
    </xdr:to>
    <xdr:grpSp>
      <xdr:nvGrpSpPr>
        <xdr:cNvPr id="57" name="Group 56"/>
        <xdr:cNvGrpSpPr>
          <a:grpSpLocks noChangeAspect="1"/>
        </xdr:cNvGrpSpPr>
      </xdr:nvGrpSpPr>
      <xdr:grpSpPr>
        <a:xfrm>
          <a:off x="1813673" y="34712462"/>
          <a:ext cx="1537185" cy="645046"/>
          <a:chOff x="8881775" y="766414"/>
          <a:chExt cx="3415966" cy="1433436"/>
        </a:xfrm>
      </xdr:grpSpPr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7F897471-F6F2-49EA-94C8-BFB2155C1D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r="26425"/>
          <a:stretch/>
        </xdr:blipFill>
        <xdr:spPr>
          <a:xfrm>
            <a:off x="8892946" y="1418800"/>
            <a:ext cx="1352551" cy="781050"/>
          </a:xfrm>
          <a:prstGeom prst="rect">
            <a:avLst/>
          </a:prstGeom>
        </xdr:spPr>
      </xdr:pic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7434F38B-A59F-45EC-A907-A81153849F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r="26425"/>
          <a:stretch/>
        </xdr:blipFill>
        <xdr:spPr>
          <a:xfrm>
            <a:off x="8881775" y="810853"/>
            <a:ext cx="1352551" cy="781050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433D4A1B-02EB-477F-B04F-BFD470B325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2"/>
          <a:srcRect l="25004"/>
          <a:stretch/>
        </xdr:blipFill>
        <xdr:spPr>
          <a:xfrm>
            <a:off x="10226170" y="766414"/>
            <a:ext cx="2071571" cy="1314450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FC5AF8CE-38CA-4E4D-AE50-2D2051D681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3"/>
          <a:srcRect l="18520" t="32241" r="32986" b="35289"/>
          <a:stretch/>
        </xdr:blipFill>
        <xdr:spPr>
          <a:xfrm>
            <a:off x="9509811" y="1363407"/>
            <a:ext cx="720567" cy="25361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38101</xdr:colOff>
      <xdr:row>43</xdr:row>
      <xdr:rowOff>9525</xdr:rowOff>
    </xdr:from>
    <xdr:to>
      <xdr:col>2</xdr:col>
      <xdr:colOff>1575286</xdr:colOff>
      <xdr:row>43</xdr:row>
      <xdr:rowOff>654571</xdr:rowOff>
    </xdr:to>
    <xdr:grpSp>
      <xdr:nvGrpSpPr>
        <xdr:cNvPr id="62" name="Group 61"/>
        <xdr:cNvGrpSpPr>
          <a:grpSpLocks noChangeAspect="1"/>
        </xdr:cNvGrpSpPr>
      </xdr:nvGrpSpPr>
      <xdr:grpSpPr>
        <a:xfrm>
          <a:off x="1842248" y="35812319"/>
          <a:ext cx="1537185" cy="645046"/>
          <a:chOff x="8881775" y="766414"/>
          <a:chExt cx="3415966" cy="1433436"/>
        </a:xfrm>
      </xdr:grpSpPr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7F897471-F6F2-49EA-94C8-BFB2155C1D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r="26425"/>
          <a:stretch/>
        </xdr:blipFill>
        <xdr:spPr>
          <a:xfrm>
            <a:off x="8892946" y="1418800"/>
            <a:ext cx="1352551" cy="781050"/>
          </a:xfrm>
          <a:prstGeom prst="rect">
            <a:avLst/>
          </a:prstGeom>
        </xdr:spPr>
      </xdr:pic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7434F38B-A59F-45EC-A907-A81153849F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r="26425"/>
          <a:stretch/>
        </xdr:blipFill>
        <xdr:spPr>
          <a:xfrm>
            <a:off x="8881775" y="810853"/>
            <a:ext cx="1352551" cy="781050"/>
          </a:xfrm>
          <a:prstGeom prst="rect">
            <a:avLst/>
          </a:prstGeom>
        </xdr:spPr>
      </xdr:pic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433D4A1B-02EB-477F-B04F-BFD470B325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2"/>
          <a:srcRect l="25004"/>
          <a:stretch/>
        </xdr:blipFill>
        <xdr:spPr>
          <a:xfrm>
            <a:off x="10226170" y="766414"/>
            <a:ext cx="2071571" cy="1314450"/>
          </a:xfrm>
          <a:prstGeom prst="rect">
            <a:avLst/>
          </a:prstGeom>
        </xdr:spPr>
      </xdr:pic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FC5AF8CE-38CA-4E4D-AE50-2D2051D681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3"/>
          <a:srcRect l="18520" t="32241" r="32986" b="35289"/>
          <a:stretch/>
        </xdr:blipFill>
        <xdr:spPr>
          <a:xfrm>
            <a:off x="9509811" y="1363407"/>
            <a:ext cx="720567" cy="25361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9526</xdr:colOff>
      <xdr:row>44</xdr:row>
      <xdr:rowOff>9525</xdr:rowOff>
    </xdr:from>
    <xdr:to>
      <xdr:col>2</xdr:col>
      <xdr:colOff>1546711</xdr:colOff>
      <xdr:row>44</xdr:row>
      <xdr:rowOff>654571</xdr:rowOff>
    </xdr:to>
    <xdr:grpSp>
      <xdr:nvGrpSpPr>
        <xdr:cNvPr id="67" name="Group 66"/>
        <xdr:cNvGrpSpPr>
          <a:grpSpLocks noChangeAspect="1"/>
        </xdr:cNvGrpSpPr>
      </xdr:nvGrpSpPr>
      <xdr:grpSpPr>
        <a:xfrm>
          <a:off x="1813673" y="36888084"/>
          <a:ext cx="1537185" cy="645046"/>
          <a:chOff x="8881775" y="766414"/>
          <a:chExt cx="3415966" cy="1433436"/>
        </a:xfrm>
      </xdr:grpSpPr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7F897471-F6F2-49EA-94C8-BFB2155C1D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r="26425"/>
          <a:stretch/>
        </xdr:blipFill>
        <xdr:spPr>
          <a:xfrm>
            <a:off x="8892946" y="1418800"/>
            <a:ext cx="1352551" cy="781050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7434F38B-A59F-45EC-A907-A81153849F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r="26425"/>
          <a:stretch/>
        </xdr:blipFill>
        <xdr:spPr>
          <a:xfrm>
            <a:off x="8881775" y="810853"/>
            <a:ext cx="1352551" cy="781050"/>
          </a:xfrm>
          <a:prstGeom prst="rect">
            <a:avLst/>
          </a:prstGeom>
        </xdr:spPr>
      </xdr:pic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433D4A1B-02EB-477F-B04F-BFD470B325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2"/>
          <a:srcRect l="25004"/>
          <a:stretch/>
        </xdr:blipFill>
        <xdr:spPr>
          <a:xfrm>
            <a:off x="10226170" y="766414"/>
            <a:ext cx="2071571" cy="1314450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FC5AF8CE-38CA-4E4D-AE50-2D2051D681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3"/>
          <a:srcRect l="18520" t="32241" r="32986" b="35289"/>
          <a:stretch/>
        </xdr:blipFill>
        <xdr:spPr>
          <a:xfrm>
            <a:off x="9509811" y="1363407"/>
            <a:ext cx="720567" cy="25361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48</xdr:row>
      <xdr:rowOff>9526</xdr:rowOff>
    </xdr:from>
    <xdr:to>
      <xdr:col>2</xdr:col>
      <xdr:colOff>1572535</xdr:colOff>
      <xdr:row>48</xdr:row>
      <xdr:rowOff>772065</xdr:rowOff>
    </xdr:to>
    <xdr:grpSp>
      <xdr:nvGrpSpPr>
        <xdr:cNvPr id="72" name="Group 71"/>
        <xdr:cNvGrpSpPr/>
      </xdr:nvGrpSpPr>
      <xdr:grpSpPr>
        <a:xfrm>
          <a:off x="1813672" y="40899791"/>
          <a:ext cx="1563010" cy="762539"/>
          <a:chOff x="1800225" y="31499175"/>
          <a:chExt cx="3473355" cy="1694530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36ECDEDD-3D0B-40A7-AE78-E226B25753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9"/>
          <a:srcRect l="21030" b="7822"/>
          <a:stretch/>
        </xdr:blipFill>
        <xdr:spPr>
          <a:xfrm>
            <a:off x="2813923" y="31499175"/>
            <a:ext cx="2459657" cy="1694530"/>
          </a:xfrm>
          <a:prstGeom prst="rect">
            <a:avLst/>
          </a:prstGeom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B239629F-6230-429C-A0A0-C70BFB5EC99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1815948" y="32561456"/>
            <a:ext cx="948461" cy="315602"/>
          </a:xfrm>
          <a:prstGeom prst="rect">
            <a:avLst/>
          </a:prstGeom>
        </xdr:spPr>
      </xdr:pic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97DB0D65-61AD-41FA-B489-C4C4222904F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1800225" y="31975572"/>
            <a:ext cx="948461" cy="315602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CD5F3423-F2B7-4495-B967-C235B24F297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9"/>
          <a:srcRect l="8090" t="43377" r="81028" b="43100"/>
          <a:stretch/>
        </xdr:blipFill>
        <xdr:spPr>
          <a:xfrm>
            <a:off x="2409765" y="32294046"/>
            <a:ext cx="338921" cy="24858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50</xdr:row>
      <xdr:rowOff>9525</xdr:rowOff>
    </xdr:from>
    <xdr:to>
      <xdr:col>2</xdr:col>
      <xdr:colOff>1568910</xdr:colOff>
      <xdr:row>50</xdr:row>
      <xdr:rowOff>612118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E332482D-7049-4E38-8911-C89EFA29A207}"/>
            </a:ext>
          </a:extLst>
        </xdr:cNvPr>
        <xdr:cNvGrpSpPr>
          <a:grpSpLocks/>
        </xdr:cNvGrpSpPr>
      </xdr:nvGrpSpPr>
      <xdr:grpSpPr>
        <a:xfrm>
          <a:off x="1889872" y="42558260"/>
          <a:ext cx="1483185" cy="602593"/>
          <a:chOff x="9129275" y="1022373"/>
          <a:chExt cx="3295967" cy="1339095"/>
        </a:xfrm>
      </xdr:grpSpPr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EBF54B5D-74E5-411F-AEBD-157F1028E3C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1"/>
          <a:srcRect l="11247"/>
          <a:stretch/>
        </xdr:blipFill>
        <xdr:spPr>
          <a:xfrm>
            <a:off x="9144001" y="1022373"/>
            <a:ext cx="3281241" cy="1339095"/>
          </a:xfrm>
          <a:prstGeom prst="rect">
            <a:avLst/>
          </a:prstGeom>
        </xdr:spPr>
      </xdr:pic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F0434CB9-F17E-4A1F-9F5E-F105F3A02D1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1"/>
          <a:srcRect l="11247" t="35678" r="57100" b="37626"/>
          <a:stretch/>
        </xdr:blipFill>
        <xdr:spPr>
          <a:xfrm>
            <a:off x="9129275" y="1183001"/>
            <a:ext cx="1170216" cy="357480"/>
          </a:xfrm>
          <a:prstGeom prst="rect">
            <a:avLst/>
          </a:prstGeom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C12F51DD-7370-4B1B-A659-124605AF80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1"/>
          <a:srcRect l="11247" t="35678" r="57100" b="37626"/>
          <a:stretch/>
        </xdr:blipFill>
        <xdr:spPr>
          <a:xfrm>
            <a:off x="9141459" y="1826816"/>
            <a:ext cx="1170216" cy="35748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9526</xdr:colOff>
      <xdr:row>51</xdr:row>
      <xdr:rowOff>9526</xdr:rowOff>
    </xdr:from>
    <xdr:to>
      <xdr:col>2</xdr:col>
      <xdr:colOff>1471137</xdr:colOff>
      <xdr:row>51</xdr:row>
      <xdr:rowOff>1069233</xdr:rowOff>
    </xdr:to>
    <xdr:pic>
      <xdr:nvPicPr>
        <xdr:cNvPr id="81" name="Picture 80"/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t="9221" b="9452"/>
        <a:stretch/>
      </xdr:blipFill>
      <xdr:spPr>
        <a:xfrm>
          <a:off x="1809751" y="38004751"/>
          <a:ext cx="1461611" cy="105970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52</xdr:row>
      <xdr:rowOff>9525</xdr:rowOff>
    </xdr:from>
    <xdr:to>
      <xdr:col>2</xdr:col>
      <xdr:colOff>1471136</xdr:colOff>
      <xdr:row>52</xdr:row>
      <xdr:rowOff>1050417</xdr:rowOff>
    </xdr:to>
    <xdr:pic>
      <xdr:nvPicPr>
        <xdr:cNvPr id="82" name="Picture 81"/>
        <xdr:cNvPicPr>
          <a:picLocks noChangeAspect="1"/>
        </xdr:cNvPicPr>
      </xdr:nvPicPr>
      <xdr:blipFill rotWithShape="1">
        <a:blip xmlns:r="http://schemas.openxmlformats.org/officeDocument/2006/relationships" r:embed="rId45"/>
        <a:srcRect t="9047"/>
        <a:stretch/>
      </xdr:blipFill>
      <xdr:spPr>
        <a:xfrm>
          <a:off x="1809750" y="39147750"/>
          <a:ext cx="1461611" cy="1040892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53</xdr:row>
      <xdr:rowOff>19051</xdr:rowOff>
    </xdr:from>
    <xdr:to>
      <xdr:col>2</xdr:col>
      <xdr:colOff>1580579</xdr:colOff>
      <xdr:row>53</xdr:row>
      <xdr:rowOff>781590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31DCE564-72B3-43C8-81F6-E70A749ABF98}"/>
            </a:ext>
          </a:extLst>
        </xdr:cNvPr>
        <xdr:cNvGrpSpPr>
          <a:grpSpLocks noChangeAspect="1"/>
        </xdr:cNvGrpSpPr>
      </xdr:nvGrpSpPr>
      <xdr:grpSpPr>
        <a:xfrm>
          <a:off x="1823197" y="45593375"/>
          <a:ext cx="1561529" cy="762539"/>
          <a:chOff x="8841693" y="554958"/>
          <a:chExt cx="3470065" cy="1694530"/>
        </a:xfrm>
      </xdr:grpSpPr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89E7411A-074B-4014-A8C8-EB31B637AB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9"/>
          <a:srcRect l="21030" b="7822"/>
          <a:stretch/>
        </xdr:blipFill>
        <xdr:spPr>
          <a:xfrm>
            <a:off x="9852102" y="554958"/>
            <a:ext cx="2459656" cy="1694530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56D1AAE4-641C-446E-AF9E-05A35135CBA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8854126" y="1617239"/>
            <a:ext cx="948461" cy="315602"/>
          </a:xfrm>
          <a:prstGeom prst="rect">
            <a:avLst/>
          </a:prstGeom>
        </xdr:spPr>
      </xdr:pic>
      <xdr:pic>
        <xdr:nvPicPr>
          <xdr:cNvPr id="86" name="Picture 85">
            <a:extLst>
              <a:ext uri="{FF2B5EF4-FFF2-40B4-BE49-F238E27FC236}">
                <a16:creationId xmlns:a16="http://schemas.microsoft.com/office/drawing/2014/main" id="{CECD28F6-0A15-4724-8964-0463EA8935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8842712" y="1303219"/>
            <a:ext cx="948461" cy="315602"/>
          </a:xfrm>
          <a:prstGeom prst="rect">
            <a:avLst/>
          </a:prstGeom>
        </xdr:spPr>
      </xdr:pic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B2F35DC3-0F0A-4501-82F4-8DBF94FDE77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/>
          <a:srcRect t="30961" r="48406" b="28631"/>
          <a:stretch/>
        </xdr:blipFill>
        <xdr:spPr>
          <a:xfrm>
            <a:off x="8841693" y="995744"/>
            <a:ext cx="948461" cy="315602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9525</xdr:colOff>
      <xdr:row>54</xdr:row>
      <xdr:rowOff>9525</xdr:rowOff>
    </xdr:from>
    <xdr:to>
      <xdr:col>2</xdr:col>
      <xdr:colOff>1471136</xdr:colOff>
      <xdr:row>54</xdr:row>
      <xdr:rowOff>770799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C622F50-17D3-4D10-A6B3-39A0260A3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rcRect b="7975"/>
        <a:stretch/>
      </xdr:blipFill>
      <xdr:spPr>
        <a:xfrm>
          <a:off x="1809750" y="41119425"/>
          <a:ext cx="1461611" cy="76127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55</xdr:row>
      <xdr:rowOff>19050</xdr:rowOff>
    </xdr:from>
    <xdr:to>
      <xdr:col>2</xdr:col>
      <xdr:colOff>1471136</xdr:colOff>
      <xdr:row>55</xdr:row>
      <xdr:rowOff>780324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C622F50-17D3-4D10-A6B3-39A0260A3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rcRect b="7975"/>
        <a:stretch/>
      </xdr:blipFill>
      <xdr:spPr>
        <a:xfrm>
          <a:off x="1809750" y="41957625"/>
          <a:ext cx="1461611" cy="76127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56</xdr:row>
      <xdr:rowOff>9526</xdr:rowOff>
    </xdr:from>
    <xdr:to>
      <xdr:col>2</xdr:col>
      <xdr:colOff>1480661</xdr:colOff>
      <xdr:row>56</xdr:row>
      <xdr:rowOff>678181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19275" y="42776776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57</xdr:row>
      <xdr:rowOff>9525</xdr:rowOff>
    </xdr:from>
    <xdr:to>
      <xdr:col>2</xdr:col>
      <xdr:colOff>1471136</xdr:colOff>
      <xdr:row>58</xdr:row>
      <xdr:rowOff>8096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09750" y="43605450"/>
          <a:ext cx="1461611" cy="82724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58</xdr:row>
      <xdr:rowOff>76200</xdr:rowOff>
    </xdr:from>
    <xdr:to>
      <xdr:col>2</xdr:col>
      <xdr:colOff>1499711</xdr:colOff>
      <xdr:row>58</xdr:row>
      <xdr:rowOff>903446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5CD8841-B318-456B-8935-511DDBE5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38325" y="44500800"/>
          <a:ext cx="1461611" cy="82724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59</xdr:row>
      <xdr:rowOff>1</xdr:rowOff>
    </xdr:from>
    <xdr:to>
      <xdr:col>2</xdr:col>
      <xdr:colOff>1560196</xdr:colOff>
      <xdr:row>59</xdr:row>
      <xdr:rowOff>668656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B1DD22C-5F6D-4CE6-9DC8-5E7BF4E31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800226" y="45481876"/>
          <a:ext cx="1560195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1461611</xdr:colOff>
      <xdr:row>60</xdr:row>
      <xdr:rowOff>714335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001312A-2778-4F51-910B-4DB1A9497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b="13649"/>
        <a:stretch/>
      </xdr:blipFill>
      <xdr:spPr>
        <a:xfrm>
          <a:off x="1800225" y="46310550"/>
          <a:ext cx="1461611" cy="7143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1144429</xdr:colOff>
      <xdr:row>61</xdr:row>
      <xdr:rowOff>591503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23EB2AE-49B8-4796-BAA7-F48CBC67C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00225" y="47139225"/>
          <a:ext cx="1144429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1144429</xdr:colOff>
      <xdr:row>62</xdr:row>
      <xdr:rowOff>591503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C0A28E1-2FBE-4ED0-A839-7F7E1EE44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800225" y="47967900"/>
          <a:ext cx="1144429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1</xdr:rowOff>
    </xdr:from>
    <xdr:to>
      <xdr:col>2</xdr:col>
      <xdr:colOff>1303020</xdr:colOff>
      <xdr:row>63</xdr:row>
      <xdr:rowOff>668656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A74857A-F47D-41D9-B494-3A62DF0A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800225" y="48796576"/>
          <a:ext cx="1303020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1461611</xdr:colOff>
      <xdr:row>65</xdr:row>
      <xdr:rowOff>591503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2D3BD4E-B7C1-4901-8180-ACA0B2092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00225" y="50453925"/>
          <a:ext cx="1461611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1</xdr:rowOff>
    </xdr:from>
    <xdr:to>
      <xdr:col>2</xdr:col>
      <xdr:colOff>1461611</xdr:colOff>
      <xdr:row>66</xdr:row>
      <xdr:rowOff>679728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84CE18E-FDC8-4A94-AB6D-D27DA7DE8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rcRect b="9381"/>
        <a:stretch/>
      </xdr:blipFill>
      <xdr:spPr>
        <a:xfrm>
          <a:off x="1800225" y="51282601"/>
          <a:ext cx="1461611" cy="6797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1</xdr:rowOff>
    </xdr:from>
    <xdr:to>
      <xdr:col>2</xdr:col>
      <xdr:colOff>1461611</xdr:colOff>
      <xdr:row>67</xdr:row>
      <xdr:rowOff>668656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4B18A62-164C-4E70-AAC9-2E05017A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800225" y="52111276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1</xdr:rowOff>
    </xdr:from>
    <xdr:to>
      <xdr:col>2</xdr:col>
      <xdr:colOff>1461611</xdr:colOff>
      <xdr:row>68</xdr:row>
      <xdr:rowOff>668656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F755DF5A-6BA4-4E31-898C-334C6BDA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800225" y="52939951"/>
          <a:ext cx="1461611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1461611</xdr:colOff>
      <xdr:row>69</xdr:row>
      <xdr:rowOff>827246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00225" y="53768625"/>
          <a:ext cx="1461611" cy="82724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1327451</xdr:colOff>
      <xdr:row>64</xdr:row>
      <xdr:rowOff>681192</xdr:rowOff>
    </xdr:to>
    <xdr:grpSp>
      <xdr:nvGrpSpPr>
        <xdr:cNvPr id="104" name="Group 103"/>
        <xdr:cNvGrpSpPr/>
      </xdr:nvGrpSpPr>
      <xdr:grpSpPr>
        <a:xfrm>
          <a:off x="1804147" y="55009676"/>
          <a:ext cx="1327451" cy="681192"/>
          <a:chOff x="9437162" y="633829"/>
          <a:chExt cx="2949891" cy="1513760"/>
        </a:xfrm>
      </xdr:grpSpPr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7A74857A-F47D-41D9-B494-3A62DF0A1A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9437162" y="633829"/>
            <a:ext cx="2949891" cy="1513760"/>
          </a:xfrm>
          <a:prstGeom prst="rect">
            <a:avLst/>
          </a:prstGeom>
        </xdr:spPr>
      </xdr:pic>
      <xdr:pic>
        <xdr:nvPicPr>
          <xdr:cNvPr id="106" name="Picture 105"/>
          <xdr:cNvPicPr>
            <a:picLocks noChangeAspect="1"/>
          </xdr:cNvPicPr>
        </xdr:nvPicPr>
        <xdr:blipFill rotWithShape="1">
          <a:blip xmlns:r="http://schemas.openxmlformats.org/officeDocument/2006/relationships" r:embed="rId60"/>
          <a:srcRect l="11368" t="15491" r="64632" b="20819"/>
          <a:stretch/>
        </xdr:blipFill>
        <xdr:spPr>
          <a:xfrm>
            <a:off x="9601075" y="805282"/>
            <a:ext cx="457200" cy="721895"/>
          </a:xfrm>
          <a:prstGeom prst="rect">
            <a:avLst/>
          </a:prstGeom>
        </xdr:spPr>
      </xdr:pic>
    </xdr:grpSp>
    <xdr:clientData/>
  </xdr:twoCellAnchor>
  <xdr:twoCellAnchor editAs="oneCell">
    <xdr:from>
      <xdr:col>18</xdr:col>
      <xdr:colOff>9526</xdr:colOff>
      <xdr:row>24</xdr:row>
      <xdr:rowOff>9524</xdr:rowOff>
    </xdr:from>
    <xdr:to>
      <xdr:col>18</xdr:col>
      <xdr:colOff>1480955</xdr:colOff>
      <xdr:row>24</xdr:row>
      <xdr:rowOff>902381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258301" y="18916649"/>
          <a:ext cx="1471429" cy="892857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23</xdr:row>
      <xdr:rowOff>9526</xdr:rowOff>
    </xdr:from>
    <xdr:to>
      <xdr:col>18</xdr:col>
      <xdr:colOff>1400001</xdr:colOff>
      <xdr:row>23</xdr:row>
      <xdr:rowOff>730955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258300" y="18221326"/>
          <a:ext cx="1390476" cy="72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22</xdr:row>
      <xdr:rowOff>9525</xdr:rowOff>
    </xdr:from>
    <xdr:to>
      <xdr:col>18</xdr:col>
      <xdr:colOff>1445239</xdr:colOff>
      <xdr:row>22</xdr:row>
      <xdr:rowOff>716668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258300" y="17526000"/>
          <a:ext cx="1435714" cy="70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21</xdr:row>
      <xdr:rowOff>9525</xdr:rowOff>
    </xdr:from>
    <xdr:to>
      <xdr:col>18</xdr:col>
      <xdr:colOff>1266668</xdr:colOff>
      <xdr:row>21</xdr:row>
      <xdr:rowOff>895239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258300" y="16830675"/>
          <a:ext cx="1257143" cy="885714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20</xdr:row>
      <xdr:rowOff>9525</xdr:rowOff>
    </xdr:from>
    <xdr:to>
      <xdr:col>18</xdr:col>
      <xdr:colOff>1052382</xdr:colOff>
      <xdr:row>20</xdr:row>
      <xdr:rowOff>888097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258300" y="16182975"/>
          <a:ext cx="1042857" cy="87857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19</xdr:row>
      <xdr:rowOff>9525</xdr:rowOff>
    </xdr:from>
    <xdr:to>
      <xdr:col>18</xdr:col>
      <xdr:colOff>1021430</xdr:colOff>
      <xdr:row>19</xdr:row>
      <xdr:rowOff>840477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258300" y="15535275"/>
          <a:ext cx="1011905" cy="83095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18</xdr:row>
      <xdr:rowOff>9526</xdr:rowOff>
    </xdr:from>
    <xdr:to>
      <xdr:col>18</xdr:col>
      <xdr:colOff>1073811</xdr:colOff>
      <xdr:row>18</xdr:row>
      <xdr:rowOff>730955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258300" y="14887576"/>
          <a:ext cx="1064286" cy="72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17</xdr:row>
      <xdr:rowOff>9525</xdr:rowOff>
    </xdr:from>
    <xdr:to>
      <xdr:col>18</xdr:col>
      <xdr:colOff>916668</xdr:colOff>
      <xdr:row>17</xdr:row>
      <xdr:rowOff>733335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258300" y="13830300"/>
          <a:ext cx="907143" cy="72381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16</xdr:row>
      <xdr:rowOff>9525</xdr:rowOff>
    </xdr:from>
    <xdr:to>
      <xdr:col>18</xdr:col>
      <xdr:colOff>1073811</xdr:colOff>
      <xdr:row>16</xdr:row>
      <xdr:rowOff>897620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258300" y="13106400"/>
          <a:ext cx="1064286" cy="88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15</xdr:row>
      <xdr:rowOff>9525</xdr:rowOff>
    </xdr:from>
    <xdr:to>
      <xdr:col>18</xdr:col>
      <xdr:colOff>1066668</xdr:colOff>
      <xdr:row>15</xdr:row>
      <xdr:rowOff>819049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258300" y="12372975"/>
          <a:ext cx="1057143" cy="809524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14</xdr:row>
      <xdr:rowOff>9526</xdr:rowOff>
    </xdr:from>
    <xdr:to>
      <xdr:col>18</xdr:col>
      <xdr:colOff>1245239</xdr:colOff>
      <xdr:row>15</xdr:row>
      <xdr:rowOff>2292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258300" y="11639551"/>
          <a:ext cx="1235714" cy="726191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13</xdr:row>
      <xdr:rowOff>9525</xdr:rowOff>
    </xdr:from>
    <xdr:to>
      <xdr:col>18</xdr:col>
      <xdr:colOff>1071430</xdr:colOff>
      <xdr:row>13</xdr:row>
      <xdr:rowOff>721430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258300" y="10753725"/>
          <a:ext cx="1061905" cy="71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12</xdr:row>
      <xdr:rowOff>9525</xdr:rowOff>
    </xdr:from>
    <xdr:to>
      <xdr:col>18</xdr:col>
      <xdr:colOff>897620</xdr:colOff>
      <xdr:row>12</xdr:row>
      <xdr:rowOff>733335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258300" y="9867900"/>
          <a:ext cx="888095" cy="72381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11</xdr:row>
      <xdr:rowOff>9525</xdr:rowOff>
    </xdr:from>
    <xdr:to>
      <xdr:col>18</xdr:col>
      <xdr:colOff>904763</xdr:colOff>
      <xdr:row>11</xdr:row>
      <xdr:rowOff>738097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258300" y="8982075"/>
          <a:ext cx="895238" cy="72857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10</xdr:row>
      <xdr:rowOff>9525</xdr:rowOff>
    </xdr:from>
    <xdr:to>
      <xdr:col>18</xdr:col>
      <xdr:colOff>895239</xdr:colOff>
      <xdr:row>10</xdr:row>
      <xdr:rowOff>897620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258300" y="8096250"/>
          <a:ext cx="885714" cy="88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9</xdr:row>
      <xdr:rowOff>9526</xdr:rowOff>
    </xdr:from>
    <xdr:to>
      <xdr:col>18</xdr:col>
      <xdr:colOff>892858</xdr:colOff>
      <xdr:row>9</xdr:row>
      <xdr:rowOff>735717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258300" y="7210426"/>
          <a:ext cx="883333" cy="726191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8</xdr:row>
      <xdr:rowOff>9525</xdr:rowOff>
    </xdr:from>
    <xdr:to>
      <xdr:col>18</xdr:col>
      <xdr:colOff>1102382</xdr:colOff>
      <xdr:row>8</xdr:row>
      <xdr:rowOff>728573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258300" y="6324600"/>
          <a:ext cx="1092857" cy="719048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7</xdr:row>
      <xdr:rowOff>9526</xdr:rowOff>
    </xdr:from>
    <xdr:to>
      <xdr:col>18</xdr:col>
      <xdr:colOff>888097</xdr:colOff>
      <xdr:row>7</xdr:row>
      <xdr:rowOff>730955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258300" y="5438776"/>
          <a:ext cx="878572" cy="72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6</xdr:row>
      <xdr:rowOff>9525</xdr:rowOff>
    </xdr:from>
    <xdr:to>
      <xdr:col>18</xdr:col>
      <xdr:colOff>821430</xdr:colOff>
      <xdr:row>6</xdr:row>
      <xdr:rowOff>566668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258300" y="4552950"/>
          <a:ext cx="811905" cy="55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5</xdr:row>
      <xdr:rowOff>9525</xdr:rowOff>
    </xdr:from>
    <xdr:to>
      <xdr:col>18</xdr:col>
      <xdr:colOff>578573</xdr:colOff>
      <xdr:row>5</xdr:row>
      <xdr:rowOff>733335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258300" y="3667125"/>
          <a:ext cx="569048" cy="723810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</xdr:colOff>
      <xdr:row>4</xdr:row>
      <xdr:rowOff>19050</xdr:rowOff>
    </xdr:from>
    <xdr:to>
      <xdr:col>18</xdr:col>
      <xdr:colOff>704764</xdr:colOff>
      <xdr:row>4</xdr:row>
      <xdr:rowOff>838098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267825" y="2867025"/>
          <a:ext cx="685714" cy="819048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3</xdr:row>
      <xdr:rowOff>9525</xdr:rowOff>
    </xdr:from>
    <xdr:to>
      <xdr:col>18</xdr:col>
      <xdr:colOff>638097</xdr:colOff>
      <xdr:row>3</xdr:row>
      <xdr:rowOff>721430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258300" y="2133600"/>
          <a:ext cx="628572" cy="71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11206</xdr:colOff>
      <xdr:row>2</xdr:row>
      <xdr:rowOff>11206</xdr:rowOff>
    </xdr:from>
    <xdr:to>
      <xdr:col>18</xdr:col>
      <xdr:colOff>742790</xdr:colOff>
      <xdr:row>2</xdr:row>
      <xdr:rowOff>459441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647"/>
        <a:stretch/>
      </xdr:blipFill>
      <xdr:spPr>
        <a:xfrm>
          <a:off x="9244853" y="1568824"/>
          <a:ext cx="731584" cy="448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8"/>
  <sheetViews>
    <sheetView tabSelected="1" workbookViewId="0">
      <selection activeCell="F32" sqref="F32"/>
    </sheetView>
  </sheetViews>
  <sheetFormatPr defaultRowHeight="15" x14ac:dyDescent="0.25"/>
  <sheetData>
    <row r="1" spans="1:33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1:33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1:33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1:33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1:33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1:33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1:33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1:33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spans="1:33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1:33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1:33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1:33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spans="1:33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spans="1:33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spans="1:33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spans="1:33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spans="1:33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spans="1:33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spans="1:33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spans="1:33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spans="1:33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spans="1:33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spans="1:33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spans="1:33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spans="1:33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spans="1:33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spans="1:33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spans="1:33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spans="1:33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spans="1:33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spans="1:33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1"/>
  <sheetViews>
    <sheetView zoomScale="85" zoomScaleNormal="85" workbookViewId="0">
      <pane ySplit="2" topLeftCell="A3" activePane="bottomLeft" state="frozen"/>
      <selection pane="bottomLeft" activeCell="AI5" sqref="AI5"/>
    </sheetView>
  </sheetViews>
  <sheetFormatPr defaultRowHeight="44.25" customHeight="1" x14ac:dyDescent="0.25"/>
  <cols>
    <col min="1" max="1" width="14.42578125" bestFit="1" customWidth="1"/>
    <col min="2" max="2" width="12.5703125" bestFit="1" customWidth="1"/>
    <col min="3" max="3" width="31" customWidth="1"/>
    <col min="4" max="15" width="3.7109375" bestFit="1" customWidth="1"/>
    <col min="17" max="17" width="14.42578125" bestFit="1" customWidth="1"/>
    <col min="18" max="18" width="12.5703125" bestFit="1" customWidth="1"/>
    <col min="19" max="19" width="29.85546875" customWidth="1"/>
    <col min="20" max="31" width="3.7109375" bestFit="1" customWidth="1"/>
  </cols>
  <sheetData>
    <row r="1" spans="1:31" ht="44.25" customHeight="1" x14ac:dyDescent="0.25">
      <c r="A1" s="17" t="s">
        <v>246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23" customHeight="1" x14ac:dyDescent="0.25">
      <c r="A2" t="s">
        <v>234</v>
      </c>
      <c r="B2" t="s">
        <v>168</v>
      </c>
      <c r="C2" t="s">
        <v>169</v>
      </c>
      <c r="D2" s="11" t="s">
        <v>109</v>
      </c>
      <c r="E2" s="11" t="s">
        <v>110</v>
      </c>
      <c r="F2" s="11" t="s">
        <v>235</v>
      </c>
      <c r="G2" s="11" t="s">
        <v>236</v>
      </c>
      <c r="H2" s="11" t="s">
        <v>111</v>
      </c>
      <c r="I2" s="11" t="s">
        <v>237</v>
      </c>
      <c r="J2" s="11" t="s">
        <v>112</v>
      </c>
      <c r="K2" s="11" t="s">
        <v>25</v>
      </c>
      <c r="L2" s="11" t="s">
        <v>113</v>
      </c>
      <c r="M2" s="11" t="s">
        <v>238</v>
      </c>
      <c r="N2" s="11" t="s">
        <v>28</v>
      </c>
      <c r="O2" s="11" t="s">
        <v>29</v>
      </c>
      <c r="Q2" t="s">
        <v>234</v>
      </c>
      <c r="R2" t="s">
        <v>168</v>
      </c>
      <c r="S2" t="s">
        <v>169</v>
      </c>
      <c r="T2" s="11" t="s">
        <v>241</v>
      </c>
      <c r="U2" s="11" t="s">
        <v>23</v>
      </c>
      <c r="V2" s="11" t="s">
        <v>24</v>
      </c>
      <c r="W2" s="11" t="s">
        <v>25</v>
      </c>
      <c r="X2" s="11" t="s">
        <v>26</v>
      </c>
      <c r="Y2" s="11" t="s">
        <v>27</v>
      </c>
      <c r="Z2" s="11" t="s">
        <v>242</v>
      </c>
      <c r="AA2" s="11" t="s">
        <v>28</v>
      </c>
      <c r="AB2" s="11" t="s">
        <v>29</v>
      </c>
      <c r="AC2" s="11" t="s">
        <v>30</v>
      </c>
      <c r="AD2" s="11" t="s">
        <v>240</v>
      </c>
      <c r="AE2" s="11" t="s">
        <v>239</v>
      </c>
    </row>
    <row r="3" spans="1:31" ht="44.25" customHeight="1" x14ac:dyDescent="0.25">
      <c r="A3" s="13">
        <v>1</v>
      </c>
      <c r="B3" s="3" t="s">
        <v>8</v>
      </c>
      <c r="C3" s="12"/>
      <c r="D3" s="15">
        <v>1</v>
      </c>
      <c r="E3" s="15"/>
      <c r="F3" s="15"/>
      <c r="G3" s="15"/>
      <c r="H3" s="15"/>
      <c r="I3" s="15">
        <v>1</v>
      </c>
      <c r="J3" s="15"/>
      <c r="K3" s="15"/>
      <c r="L3" s="15"/>
      <c r="M3" s="15"/>
      <c r="N3" s="15"/>
      <c r="O3" s="15"/>
      <c r="Q3" s="13">
        <v>1</v>
      </c>
      <c r="R3" s="3" t="s">
        <v>0</v>
      </c>
      <c r="S3" s="14"/>
      <c r="T3" s="15">
        <v>1</v>
      </c>
      <c r="U3" s="15">
        <v>1</v>
      </c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ht="57" customHeight="1" x14ac:dyDescent="0.25">
      <c r="A4" s="13">
        <v>2</v>
      </c>
      <c r="B4" s="3" t="s">
        <v>42</v>
      </c>
      <c r="C4" s="12"/>
      <c r="D4" s="15">
        <v>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Q4" s="13">
        <v>2</v>
      </c>
      <c r="R4" s="3" t="s">
        <v>1</v>
      </c>
      <c r="S4" s="14"/>
      <c r="T4" s="15"/>
      <c r="U4" s="15"/>
      <c r="V4" s="15">
        <v>1</v>
      </c>
      <c r="W4" s="15"/>
      <c r="X4" s="15"/>
      <c r="Y4" s="15"/>
      <c r="Z4" s="15"/>
      <c r="AA4" s="15"/>
      <c r="AB4" s="15"/>
      <c r="AC4" s="15"/>
      <c r="AD4" s="15"/>
      <c r="AE4" s="15"/>
    </row>
    <row r="5" spans="1:31" ht="72" customHeight="1" x14ac:dyDescent="0.25">
      <c r="A5" s="13">
        <v>3</v>
      </c>
      <c r="B5" s="3" t="s">
        <v>43</v>
      </c>
      <c r="C5" s="12"/>
      <c r="D5" s="15">
        <v>1</v>
      </c>
      <c r="E5" s="15"/>
      <c r="F5" s="15"/>
      <c r="G5" s="15"/>
      <c r="H5" s="15"/>
      <c r="I5" s="15">
        <v>1</v>
      </c>
      <c r="J5" s="15"/>
      <c r="K5" s="15"/>
      <c r="L5" s="15"/>
      <c r="M5" s="15"/>
      <c r="N5" s="15"/>
      <c r="O5" s="15"/>
      <c r="Q5" s="13">
        <v>3</v>
      </c>
      <c r="R5" s="3" t="s">
        <v>2</v>
      </c>
      <c r="S5" s="14"/>
      <c r="T5" s="15"/>
      <c r="U5" s="15"/>
      <c r="V5" s="15">
        <v>1</v>
      </c>
      <c r="W5" s="15"/>
      <c r="X5" s="15"/>
      <c r="Y5" s="15"/>
      <c r="Z5" s="15"/>
      <c r="AA5" s="15"/>
      <c r="AB5" s="15"/>
      <c r="AC5" s="15"/>
      <c r="AD5" s="15">
        <v>1</v>
      </c>
      <c r="AE5" s="15"/>
    </row>
    <row r="6" spans="1:31" ht="69.75" customHeight="1" x14ac:dyDescent="0.25">
      <c r="A6" s="13">
        <v>4</v>
      </c>
      <c r="B6" s="3" t="s">
        <v>44</v>
      </c>
      <c r="C6" s="12"/>
      <c r="D6" s="15">
        <v>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Q6" s="13" t="s">
        <v>218</v>
      </c>
      <c r="R6" s="3" t="s">
        <v>3</v>
      </c>
      <c r="S6" s="14"/>
      <c r="T6" s="15"/>
      <c r="U6" s="15">
        <v>1</v>
      </c>
      <c r="V6" s="15"/>
      <c r="W6" s="15"/>
      <c r="X6" s="15"/>
      <c r="Y6" s="15"/>
      <c r="Z6" s="15"/>
      <c r="AA6" s="15"/>
      <c r="AB6" s="15">
        <v>1</v>
      </c>
      <c r="AC6" s="15"/>
      <c r="AD6" s="15"/>
      <c r="AE6" s="15"/>
    </row>
    <row r="7" spans="1:31" ht="69.75" customHeight="1" x14ac:dyDescent="0.25">
      <c r="A7" s="13" t="s">
        <v>170</v>
      </c>
      <c r="B7" s="3" t="s">
        <v>45</v>
      </c>
      <c r="D7" s="15"/>
      <c r="E7" s="15">
        <v>1</v>
      </c>
      <c r="F7" s="15"/>
      <c r="G7" s="15"/>
      <c r="H7" s="15"/>
      <c r="I7" s="15"/>
      <c r="J7" s="15"/>
      <c r="K7" s="15"/>
      <c r="L7" s="15"/>
      <c r="M7" s="15"/>
      <c r="N7" s="15"/>
      <c r="O7" s="15"/>
      <c r="Q7" s="13" t="s">
        <v>219</v>
      </c>
      <c r="R7" s="3" t="s">
        <v>4</v>
      </c>
      <c r="S7" s="14"/>
      <c r="T7" s="15"/>
      <c r="U7" s="15">
        <v>1</v>
      </c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</row>
    <row r="8" spans="1:31" ht="69.75" customHeight="1" x14ac:dyDescent="0.25">
      <c r="A8" s="13" t="s">
        <v>171</v>
      </c>
      <c r="B8" s="3" t="s">
        <v>46</v>
      </c>
      <c r="D8" s="15"/>
      <c r="E8" s="15">
        <v>1</v>
      </c>
      <c r="F8" s="15"/>
      <c r="G8" s="15"/>
      <c r="H8" s="15"/>
      <c r="I8" s="15"/>
      <c r="J8" s="15"/>
      <c r="K8" s="15"/>
      <c r="L8" s="15"/>
      <c r="M8" s="15"/>
      <c r="N8" s="15"/>
      <c r="O8" s="15"/>
      <c r="Q8" s="13" t="s">
        <v>220</v>
      </c>
      <c r="R8" s="3" t="s">
        <v>5</v>
      </c>
      <c r="S8" s="14"/>
      <c r="T8" s="15"/>
      <c r="U8" s="15"/>
      <c r="V8" s="15">
        <v>1</v>
      </c>
      <c r="W8" s="15"/>
      <c r="X8" s="15"/>
      <c r="Y8" s="15"/>
      <c r="Z8" s="15"/>
      <c r="AA8" s="15"/>
      <c r="AB8" s="15"/>
      <c r="AC8" s="15"/>
      <c r="AD8" s="15"/>
      <c r="AE8" s="15">
        <v>1</v>
      </c>
    </row>
    <row r="9" spans="1:31" ht="69.75" customHeight="1" x14ac:dyDescent="0.25">
      <c r="A9" s="13">
        <v>6</v>
      </c>
      <c r="B9" s="3" t="s">
        <v>47</v>
      </c>
      <c r="D9" s="15"/>
      <c r="E9" s="15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Q9" s="13" t="s">
        <v>221</v>
      </c>
      <c r="R9" s="3" t="s">
        <v>6</v>
      </c>
      <c r="S9" s="14"/>
      <c r="T9" s="15"/>
      <c r="U9" s="15"/>
      <c r="V9" s="15">
        <v>1</v>
      </c>
      <c r="W9" s="15"/>
      <c r="X9" s="15"/>
      <c r="Y9" s="15"/>
      <c r="Z9" s="15"/>
      <c r="AA9" s="15"/>
      <c r="AB9" s="15"/>
      <c r="AC9" s="15"/>
      <c r="AD9" s="15">
        <v>1</v>
      </c>
      <c r="AE9" s="15">
        <v>1</v>
      </c>
    </row>
    <row r="10" spans="1:31" ht="69.75" customHeight="1" x14ac:dyDescent="0.25">
      <c r="A10" s="13">
        <v>7</v>
      </c>
      <c r="B10" s="3" t="s">
        <v>48</v>
      </c>
      <c r="D10" s="15"/>
      <c r="E10" s="15">
        <v>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Q10" s="13" t="s">
        <v>222</v>
      </c>
      <c r="R10" s="3" t="s">
        <v>7</v>
      </c>
      <c r="S10" s="14"/>
      <c r="T10" s="15"/>
      <c r="U10" s="15"/>
      <c r="V10" s="15">
        <v>1</v>
      </c>
      <c r="W10" s="15"/>
      <c r="X10" s="15"/>
      <c r="Y10" s="15"/>
      <c r="Z10" s="15"/>
      <c r="AA10" s="15">
        <v>1</v>
      </c>
      <c r="AB10" s="15"/>
      <c r="AC10" s="15"/>
      <c r="AD10" s="15"/>
      <c r="AE10" s="15"/>
    </row>
    <row r="11" spans="1:31" ht="73.5" customHeight="1" x14ac:dyDescent="0.25">
      <c r="A11" s="13">
        <v>8</v>
      </c>
      <c r="B11" s="3" t="s">
        <v>49</v>
      </c>
      <c r="D11" s="15"/>
      <c r="E11" s="15">
        <v>1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Q11" s="13" t="s">
        <v>223</v>
      </c>
      <c r="R11" s="3" t="s">
        <v>8</v>
      </c>
      <c r="S11" s="14"/>
      <c r="T11" s="15"/>
      <c r="U11" s="15"/>
      <c r="V11" s="15"/>
      <c r="W11" s="15">
        <v>1</v>
      </c>
      <c r="X11" s="15">
        <v>1</v>
      </c>
      <c r="Y11" s="15"/>
      <c r="Z11" s="15"/>
      <c r="AA11" s="15"/>
      <c r="AB11" s="15"/>
      <c r="AC11" s="15"/>
      <c r="AD11" s="15"/>
      <c r="AE11" s="15"/>
    </row>
    <row r="12" spans="1:31" ht="69.75" customHeight="1" x14ac:dyDescent="0.25">
      <c r="A12" s="13">
        <v>9</v>
      </c>
      <c r="B12" s="3" t="s">
        <v>50</v>
      </c>
      <c r="D12" s="15"/>
      <c r="E12" s="15">
        <v>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Q12" s="13" t="s">
        <v>224</v>
      </c>
      <c r="R12" s="3" t="s">
        <v>9</v>
      </c>
      <c r="S12" s="14"/>
      <c r="T12" s="15"/>
      <c r="U12" s="15">
        <v>1</v>
      </c>
      <c r="V12" s="15"/>
      <c r="W12" s="15"/>
      <c r="X12" s="15"/>
      <c r="Y12" s="15"/>
      <c r="Z12" s="15"/>
      <c r="AA12" s="15">
        <v>1</v>
      </c>
      <c r="AB12" s="15">
        <v>1</v>
      </c>
      <c r="AC12" s="15"/>
      <c r="AD12" s="15"/>
      <c r="AE12" s="15"/>
    </row>
    <row r="13" spans="1:31" ht="69.75" customHeight="1" x14ac:dyDescent="0.25">
      <c r="A13" s="13" t="s">
        <v>172</v>
      </c>
      <c r="B13" s="3" t="s">
        <v>70</v>
      </c>
      <c r="D13" s="15"/>
      <c r="E13" s="15">
        <v>1</v>
      </c>
      <c r="F13" s="15"/>
      <c r="G13" s="15"/>
      <c r="H13" s="15">
        <v>1</v>
      </c>
      <c r="I13" s="15"/>
      <c r="J13" s="15"/>
      <c r="K13" s="15"/>
      <c r="L13" s="15"/>
      <c r="M13" s="15"/>
      <c r="N13" s="15"/>
      <c r="O13" s="15"/>
      <c r="Q13" s="13" t="s">
        <v>172</v>
      </c>
      <c r="R13" s="3" t="s">
        <v>10</v>
      </c>
      <c r="S13" s="14"/>
      <c r="T13" s="15"/>
      <c r="U13" s="15"/>
      <c r="V13" s="15">
        <v>1</v>
      </c>
      <c r="W13" s="15"/>
      <c r="X13" s="15"/>
      <c r="Y13" s="15"/>
      <c r="Z13" s="15"/>
      <c r="AA13" s="15">
        <v>1</v>
      </c>
      <c r="AB13" s="15"/>
      <c r="AC13" s="15"/>
      <c r="AD13" s="15"/>
      <c r="AE13" s="15">
        <v>1</v>
      </c>
    </row>
    <row r="14" spans="1:31" ht="69.75" customHeight="1" x14ac:dyDescent="0.25">
      <c r="A14" s="13" t="s">
        <v>173</v>
      </c>
      <c r="B14" s="3" t="s">
        <v>71</v>
      </c>
      <c r="D14" s="15"/>
      <c r="E14" s="15">
        <v>1</v>
      </c>
      <c r="F14" s="15"/>
      <c r="G14" s="15"/>
      <c r="H14" s="15">
        <v>1</v>
      </c>
      <c r="I14" s="15"/>
      <c r="J14" s="15"/>
      <c r="K14" s="15"/>
      <c r="L14" s="15"/>
      <c r="M14" s="15"/>
      <c r="N14" s="15"/>
      <c r="O14" s="15"/>
      <c r="Q14" s="13" t="s">
        <v>173</v>
      </c>
      <c r="R14" s="3" t="s">
        <v>11</v>
      </c>
      <c r="S14" s="14"/>
      <c r="T14" s="15"/>
      <c r="U14" s="15"/>
      <c r="V14" s="15">
        <v>1</v>
      </c>
      <c r="W14" s="15"/>
      <c r="X14" s="15"/>
      <c r="Y14" s="15"/>
      <c r="Z14" s="15"/>
      <c r="AA14" s="15">
        <v>1</v>
      </c>
      <c r="AB14" s="15"/>
      <c r="AC14" s="15"/>
      <c r="AD14" s="15"/>
      <c r="AE14" s="15">
        <v>1</v>
      </c>
    </row>
    <row r="15" spans="1:31" ht="57.75" customHeight="1" x14ac:dyDescent="0.25">
      <c r="A15" s="13" t="s">
        <v>174</v>
      </c>
      <c r="B15" s="3" t="s">
        <v>51</v>
      </c>
      <c r="D15" s="15"/>
      <c r="E15" s="15">
        <v>1</v>
      </c>
      <c r="F15" s="15"/>
      <c r="G15" s="15"/>
      <c r="H15" s="15">
        <v>1</v>
      </c>
      <c r="I15" s="15"/>
      <c r="J15" s="15"/>
      <c r="K15" s="15"/>
      <c r="L15" s="15"/>
      <c r="M15" s="15"/>
      <c r="N15" s="15"/>
      <c r="O15" s="15"/>
      <c r="Q15" s="13" t="s">
        <v>225</v>
      </c>
      <c r="R15" s="3" t="s">
        <v>12</v>
      </c>
      <c r="S15" s="14"/>
      <c r="T15" s="15"/>
      <c r="U15" s="15"/>
      <c r="V15" s="15">
        <v>1</v>
      </c>
      <c r="W15" s="15"/>
      <c r="X15" s="15"/>
      <c r="Y15" s="15"/>
      <c r="Z15" s="15"/>
      <c r="AA15" s="15"/>
      <c r="AB15" s="15"/>
      <c r="AC15" s="15"/>
      <c r="AD15" s="15"/>
      <c r="AE15" s="15">
        <v>2</v>
      </c>
    </row>
    <row r="16" spans="1:31" ht="69" customHeight="1" x14ac:dyDescent="0.25">
      <c r="A16" s="13" t="s">
        <v>175</v>
      </c>
      <c r="B16" s="3" t="s">
        <v>67</v>
      </c>
      <c r="D16" s="15"/>
      <c r="E16" s="15">
        <v>1</v>
      </c>
      <c r="F16" s="15"/>
      <c r="G16" s="15"/>
      <c r="H16" s="15">
        <v>1</v>
      </c>
      <c r="I16" s="15"/>
      <c r="J16" s="15"/>
      <c r="K16" s="15"/>
      <c r="L16" s="15"/>
      <c r="M16" s="15"/>
      <c r="N16" s="15"/>
      <c r="O16" s="15"/>
      <c r="Q16" s="13" t="s">
        <v>226</v>
      </c>
      <c r="R16" s="3" t="s">
        <v>13</v>
      </c>
      <c r="S16" s="14"/>
      <c r="T16" s="15"/>
      <c r="U16" s="15"/>
      <c r="V16" s="15">
        <v>1</v>
      </c>
      <c r="W16" s="15">
        <v>1</v>
      </c>
      <c r="X16" s="15"/>
      <c r="Y16" s="15">
        <v>1</v>
      </c>
      <c r="Z16" s="15"/>
      <c r="AA16" s="15">
        <v>1</v>
      </c>
      <c r="AB16" s="15"/>
      <c r="AC16" s="15"/>
      <c r="AD16" s="15"/>
      <c r="AE16" s="15">
        <v>1</v>
      </c>
    </row>
    <row r="17" spans="1:31" ht="74.25" customHeight="1" x14ac:dyDescent="0.25">
      <c r="A17" s="13">
        <v>12</v>
      </c>
      <c r="B17" s="3" t="s">
        <v>52</v>
      </c>
      <c r="D17" s="15"/>
      <c r="E17" s="15">
        <v>1</v>
      </c>
      <c r="F17" s="15"/>
      <c r="G17" s="15"/>
      <c r="H17" s="15">
        <v>1</v>
      </c>
      <c r="I17" s="15"/>
      <c r="J17" s="15"/>
      <c r="K17" s="15"/>
      <c r="L17" s="15"/>
      <c r="M17" s="15"/>
      <c r="N17" s="15"/>
      <c r="O17" s="15"/>
      <c r="Q17" s="13" t="s">
        <v>227</v>
      </c>
      <c r="R17" s="3" t="s">
        <v>14</v>
      </c>
      <c r="S17" s="14"/>
      <c r="T17" s="15"/>
      <c r="U17" s="15"/>
      <c r="V17" s="15">
        <v>1</v>
      </c>
      <c r="W17" s="15"/>
      <c r="X17" s="15"/>
      <c r="Y17" s="15"/>
      <c r="Z17" s="15">
        <v>1</v>
      </c>
      <c r="AA17" s="15">
        <v>1</v>
      </c>
      <c r="AB17" s="15"/>
      <c r="AC17" s="15"/>
      <c r="AD17" s="15"/>
      <c r="AE17" s="15">
        <v>1</v>
      </c>
    </row>
    <row r="18" spans="1:31" ht="64.5" customHeight="1" x14ac:dyDescent="0.25">
      <c r="A18" s="13">
        <v>13</v>
      </c>
      <c r="B18" s="3" t="s">
        <v>68</v>
      </c>
      <c r="D18" s="15"/>
      <c r="E18" s="15">
        <v>1</v>
      </c>
      <c r="F18" s="15"/>
      <c r="G18" s="15"/>
      <c r="H18" s="15">
        <v>2</v>
      </c>
      <c r="I18" s="15"/>
      <c r="J18" s="15"/>
      <c r="K18" s="15"/>
      <c r="L18" s="15"/>
      <c r="M18" s="15"/>
      <c r="N18" s="15"/>
      <c r="O18" s="15"/>
      <c r="Q18" s="13" t="s">
        <v>228</v>
      </c>
      <c r="R18" s="3" t="s">
        <v>15</v>
      </c>
      <c r="S18" s="14"/>
      <c r="T18" s="15"/>
      <c r="U18" s="15">
        <v>1</v>
      </c>
      <c r="V18" s="15"/>
      <c r="W18" s="15"/>
      <c r="X18" s="15"/>
      <c r="Y18" s="15"/>
      <c r="Z18" s="15"/>
      <c r="AA18" s="15"/>
      <c r="AB18" s="15">
        <v>1</v>
      </c>
      <c r="AC18" s="15">
        <v>1</v>
      </c>
      <c r="AD18" s="15"/>
      <c r="AE18" s="15"/>
    </row>
    <row r="19" spans="1:31" ht="65.25" customHeight="1" x14ac:dyDescent="0.25">
      <c r="A19" s="13">
        <v>14</v>
      </c>
      <c r="B19" s="3" t="s">
        <v>72</v>
      </c>
      <c r="D19" s="15"/>
      <c r="E19" s="15"/>
      <c r="F19" s="15">
        <v>1</v>
      </c>
      <c r="G19" s="15"/>
      <c r="H19" s="15"/>
      <c r="I19" s="15">
        <v>1</v>
      </c>
      <c r="J19" s="15"/>
      <c r="K19" s="15"/>
      <c r="L19" s="15"/>
      <c r="M19" s="15"/>
      <c r="N19" s="15"/>
      <c r="O19" s="15"/>
      <c r="Q19" s="13" t="s">
        <v>229</v>
      </c>
      <c r="R19" s="3" t="s">
        <v>16</v>
      </c>
      <c r="S19" s="14"/>
      <c r="T19" s="15"/>
      <c r="U19" s="15"/>
      <c r="V19" s="15">
        <v>1</v>
      </c>
      <c r="W19" s="15"/>
      <c r="X19" s="15"/>
      <c r="Y19" s="15"/>
      <c r="Z19" s="15"/>
      <c r="AA19" s="15">
        <v>2</v>
      </c>
      <c r="AB19" s="15"/>
      <c r="AC19" s="15"/>
      <c r="AD19" s="15"/>
      <c r="AE19" s="15">
        <v>1</v>
      </c>
    </row>
    <row r="20" spans="1:31" ht="72.75" customHeight="1" x14ac:dyDescent="0.25">
      <c r="A20" s="13">
        <v>15</v>
      </c>
      <c r="B20" s="3" t="s">
        <v>73</v>
      </c>
      <c r="D20" s="15"/>
      <c r="E20" s="15"/>
      <c r="F20" s="15">
        <v>1</v>
      </c>
      <c r="G20" s="15"/>
      <c r="H20" s="15"/>
      <c r="I20" s="15">
        <v>1</v>
      </c>
      <c r="J20" s="15"/>
      <c r="K20" s="15"/>
      <c r="L20" s="15"/>
      <c r="M20" s="15"/>
      <c r="N20" s="15"/>
      <c r="O20" s="15"/>
      <c r="Q20" s="13" t="s">
        <v>230</v>
      </c>
      <c r="R20" s="3" t="s">
        <v>17</v>
      </c>
      <c r="S20" s="14"/>
      <c r="T20" s="15"/>
      <c r="U20" s="15"/>
      <c r="V20" s="15">
        <v>1</v>
      </c>
      <c r="W20" s="15"/>
      <c r="X20" s="15"/>
      <c r="Y20" s="15"/>
      <c r="Z20" s="15"/>
      <c r="AA20" s="15">
        <v>2</v>
      </c>
      <c r="AB20" s="15"/>
      <c r="AC20" s="15"/>
      <c r="AD20" s="15">
        <v>1</v>
      </c>
      <c r="AE20" s="15">
        <v>1</v>
      </c>
    </row>
    <row r="21" spans="1:31" ht="76.5" customHeight="1" x14ac:dyDescent="0.25">
      <c r="A21" s="13">
        <v>16</v>
      </c>
      <c r="B21" s="3" t="s">
        <v>74</v>
      </c>
      <c r="D21" s="15"/>
      <c r="E21" s="15"/>
      <c r="F21" s="15">
        <v>1</v>
      </c>
      <c r="G21" s="15"/>
      <c r="H21" s="15"/>
      <c r="I21" s="15">
        <v>1</v>
      </c>
      <c r="J21" s="15"/>
      <c r="K21" s="15"/>
      <c r="L21" s="15"/>
      <c r="M21" s="15"/>
      <c r="N21" s="15"/>
      <c r="O21" s="15"/>
      <c r="Q21" s="13" t="s">
        <v>231</v>
      </c>
      <c r="R21" s="3" t="s">
        <v>18</v>
      </c>
      <c r="S21" s="14"/>
      <c r="T21" s="15"/>
      <c r="U21" s="15"/>
      <c r="V21" s="15">
        <v>1</v>
      </c>
      <c r="W21" s="15">
        <v>1</v>
      </c>
      <c r="X21" s="15"/>
      <c r="Y21" s="15">
        <v>1</v>
      </c>
      <c r="Z21" s="15"/>
      <c r="AA21" s="15">
        <v>2</v>
      </c>
      <c r="AB21" s="15"/>
      <c r="AC21" s="15"/>
      <c r="AD21" s="15"/>
      <c r="AE21" s="15">
        <v>1</v>
      </c>
    </row>
    <row r="22" spans="1:31" ht="78" customHeight="1" x14ac:dyDescent="0.25">
      <c r="A22" s="13" t="s">
        <v>176</v>
      </c>
      <c r="B22" s="3" t="s">
        <v>53</v>
      </c>
      <c r="D22" s="15"/>
      <c r="E22" s="15"/>
      <c r="F22" s="15">
        <v>1</v>
      </c>
      <c r="G22" s="15"/>
      <c r="H22" s="15"/>
      <c r="I22" s="15"/>
      <c r="J22" s="15">
        <v>1</v>
      </c>
      <c r="K22" s="15"/>
      <c r="L22" s="15"/>
      <c r="M22" s="15"/>
      <c r="N22" s="15"/>
      <c r="O22" s="15">
        <v>1</v>
      </c>
      <c r="Q22" s="13" t="s">
        <v>232</v>
      </c>
      <c r="R22" s="3" t="s">
        <v>19</v>
      </c>
      <c r="S22" s="14"/>
      <c r="T22" s="15"/>
      <c r="U22" s="15"/>
      <c r="V22" s="15">
        <v>1</v>
      </c>
      <c r="W22" s="15">
        <v>1</v>
      </c>
      <c r="X22" s="15"/>
      <c r="Y22" s="15">
        <v>1</v>
      </c>
      <c r="Z22" s="15"/>
      <c r="AA22" s="15">
        <v>2</v>
      </c>
      <c r="AB22" s="15"/>
      <c r="AC22" s="15"/>
      <c r="AD22" s="15">
        <v>1</v>
      </c>
      <c r="AE22" s="15">
        <v>1</v>
      </c>
    </row>
    <row r="23" spans="1:31" ht="69" customHeight="1" x14ac:dyDescent="0.25">
      <c r="A23" s="13" t="s">
        <v>177</v>
      </c>
      <c r="B23" s="3" t="s">
        <v>75</v>
      </c>
      <c r="D23" s="15"/>
      <c r="E23" s="15"/>
      <c r="F23" s="15">
        <v>1</v>
      </c>
      <c r="G23" s="15"/>
      <c r="H23" s="15"/>
      <c r="I23" s="15"/>
      <c r="J23" s="15">
        <v>1</v>
      </c>
      <c r="K23" s="15"/>
      <c r="L23" s="15"/>
      <c r="M23" s="15"/>
      <c r="N23" s="15">
        <v>1</v>
      </c>
      <c r="O23" s="15"/>
      <c r="Q23" s="13" t="s">
        <v>178</v>
      </c>
      <c r="R23" s="3" t="s">
        <v>20</v>
      </c>
      <c r="S23" s="14"/>
      <c r="T23" s="15"/>
      <c r="U23" s="15"/>
      <c r="V23" s="15">
        <v>1</v>
      </c>
      <c r="W23" s="15"/>
      <c r="X23" s="15"/>
      <c r="Y23" s="15"/>
      <c r="Z23" s="15"/>
      <c r="AA23" s="15"/>
      <c r="AB23" s="15"/>
      <c r="AC23" s="15"/>
      <c r="AD23" s="15"/>
      <c r="AE23" s="15">
        <v>2</v>
      </c>
    </row>
    <row r="24" spans="1:31" ht="71.25" customHeight="1" x14ac:dyDescent="0.25">
      <c r="A24" s="13" t="s">
        <v>178</v>
      </c>
      <c r="B24" s="3" t="s">
        <v>69</v>
      </c>
      <c r="D24" s="15"/>
      <c r="E24" s="15"/>
      <c r="F24" s="15">
        <v>1</v>
      </c>
      <c r="G24" s="15"/>
      <c r="H24" s="15"/>
      <c r="I24" s="15"/>
      <c r="J24" s="15">
        <v>1</v>
      </c>
      <c r="K24" s="15">
        <v>1</v>
      </c>
      <c r="L24" s="15"/>
      <c r="M24" s="15"/>
      <c r="N24" s="15"/>
      <c r="O24" s="15">
        <v>1</v>
      </c>
      <c r="Q24" s="13" t="s">
        <v>179</v>
      </c>
      <c r="R24" s="3" t="s">
        <v>21</v>
      </c>
      <c r="S24" s="14"/>
      <c r="T24" s="15"/>
      <c r="U24" s="15"/>
      <c r="V24" s="15">
        <v>1</v>
      </c>
      <c r="W24" s="15"/>
      <c r="X24" s="15"/>
      <c r="Y24" s="15"/>
      <c r="Z24" s="15"/>
      <c r="AA24" s="15">
        <v>2</v>
      </c>
      <c r="AB24" s="15"/>
      <c r="AC24" s="15"/>
      <c r="AD24" s="15"/>
      <c r="AE24" s="15">
        <v>2</v>
      </c>
    </row>
    <row r="25" spans="1:31" ht="77.25" customHeight="1" x14ac:dyDescent="0.25">
      <c r="A25" s="13" t="s">
        <v>179</v>
      </c>
      <c r="B25" s="3" t="s">
        <v>54</v>
      </c>
      <c r="D25" s="15"/>
      <c r="E25" s="15"/>
      <c r="F25" s="15">
        <v>1</v>
      </c>
      <c r="G25" s="15"/>
      <c r="H25" s="15"/>
      <c r="I25" s="15"/>
      <c r="J25" s="15">
        <v>1</v>
      </c>
      <c r="K25" s="15"/>
      <c r="L25" s="15"/>
      <c r="M25" s="15"/>
      <c r="N25" s="15"/>
      <c r="O25" s="15">
        <v>1</v>
      </c>
      <c r="Q25" s="13" t="s">
        <v>233</v>
      </c>
      <c r="R25" s="3" t="s">
        <v>22</v>
      </c>
      <c r="S25" s="14"/>
      <c r="T25" s="15"/>
      <c r="U25" s="15"/>
      <c r="V25" s="15">
        <v>1</v>
      </c>
      <c r="W25" s="15">
        <v>1</v>
      </c>
      <c r="X25" s="15"/>
      <c r="Y25" s="15">
        <v>1</v>
      </c>
      <c r="Z25" s="15"/>
      <c r="AA25" s="15"/>
      <c r="AB25" s="15"/>
      <c r="AC25" s="15"/>
      <c r="AD25" s="15"/>
      <c r="AE25" s="15">
        <v>2</v>
      </c>
    </row>
    <row r="26" spans="1:31" ht="54.75" customHeight="1" x14ac:dyDescent="0.25">
      <c r="A26" s="13" t="s">
        <v>180</v>
      </c>
      <c r="B26" s="3" t="s">
        <v>76</v>
      </c>
      <c r="D26" s="15"/>
      <c r="E26" s="15"/>
      <c r="F26" s="15">
        <v>1</v>
      </c>
      <c r="G26" s="15"/>
      <c r="H26" s="15"/>
      <c r="I26" s="15"/>
      <c r="J26" s="15">
        <v>1</v>
      </c>
      <c r="K26" s="15"/>
      <c r="L26" s="15"/>
      <c r="M26" s="15"/>
      <c r="N26" s="15">
        <v>1</v>
      </c>
      <c r="O26" s="15"/>
    </row>
    <row r="27" spans="1:31" ht="54.75" customHeight="1" x14ac:dyDescent="0.25">
      <c r="A27" s="13">
        <v>19</v>
      </c>
      <c r="B27" s="3" t="s">
        <v>77</v>
      </c>
      <c r="D27" s="15"/>
      <c r="E27" s="15"/>
      <c r="F27" s="15">
        <v>1</v>
      </c>
      <c r="G27" s="15"/>
      <c r="H27" s="15"/>
      <c r="I27" s="15">
        <v>1</v>
      </c>
      <c r="J27" s="15"/>
      <c r="K27" s="15"/>
      <c r="L27" s="15"/>
      <c r="M27" s="15">
        <v>1</v>
      </c>
      <c r="N27" s="15"/>
      <c r="O27" s="15"/>
    </row>
    <row r="28" spans="1:31" ht="54.75" customHeight="1" x14ac:dyDescent="0.25">
      <c r="A28" s="13" t="s">
        <v>181</v>
      </c>
      <c r="B28" s="3" t="s">
        <v>55</v>
      </c>
      <c r="D28" s="15"/>
      <c r="E28" s="15"/>
      <c r="F28" s="15">
        <v>1</v>
      </c>
      <c r="G28" s="15"/>
      <c r="H28" s="15"/>
      <c r="I28" s="15"/>
      <c r="J28" s="15">
        <v>2</v>
      </c>
      <c r="K28" s="15"/>
      <c r="L28" s="15"/>
      <c r="M28" s="15"/>
      <c r="N28" s="15"/>
      <c r="O28" s="15">
        <v>2</v>
      </c>
    </row>
    <row r="29" spans="1:31" ht="54.75" customHeight="1" x14ac:dyDescent="0.25">
      <c r="A29" s="13" t="s">
        <v>182</v>
      </c>
      <c r="B29" s="3" t="s">
        <v>56</v>
      </c>
      <c r="D29" s="15"/>
      <c r="E29" s="15"/>
      <c r="F29" s="15">
        <v>1</v>
      </c>
      <c r="G29" s="15"/>
      <c r="H29" s="15"/>
      <c r="I29" s="15"/>
      <c r="J29" s="15">
        <v>2</v>
      </c>
      <c r="K29" s="15"/>
      <c r="L29" s="15"/>
      <c r="M29" s="15"/>
      <c r="N29" s="15">
        <v>1</v>
      </c>
      <c r="O29" s="15">
        <v>1</v>
      </c>
    </row>
    <row r="30" spans="1:31" ht="54.75" customHeight="1" x14ac:dyDescent="0.25">
      <c r="A30" s="13" t="s">
        <v>183</v>
      </c>
      <c r="B30" s="3" t="s">
        <v>78</v>
      </c>
      <c r="D30" s="15"/>
      <c r="E30" s="15"/>
      <c r="F30" s="15">
        <v>1</v>
      </c>
      <c r="G30" s="15"/>
      <c r="H30" s="15"/>
      <c r="I30" s="15"/>
      <c r="J30" s="15">
        <v>2</v>
      </c>
      <c r="K30" s="15"/>
      <c r="L30" s="15"/>
      <c r="M30" s="15"/>
      <c r="N30" s="15">
        <v>2</v>
      </c>
      <c r="O30" s="15"/>
    </row>
    <row r="31" spans="1:31" ht="54.75" customHeight="1" x14ac:dyDescent="0.25">
      <c r="A31" s="13">
        <v>21</v>
      </c>
      <c r="B31" s="3" t="s">
        <v>57</v>
      </c>
      <c r="D31" s="15"/>
      <c r="E31" s="15"/>
      <c r="F31" s="15">
        <v>1</v>
      </c>
      <c r="G31" s="15"/>
      <c r="H31" s="15"/>
      <c r="I31" s="15">
        <v>1</v>
      </c>
      <c r="J31" s="15">
        <v>1</v>
      </c>
      <c r="K31" s="15">
        <v>1</v>
      </c>
      <c r="L31" s="15"/>
      <c r="M31" s="15"/>
      <c r="N31" s="15"/>
      <c r="O31" s="15">
        <v>1</v>
      </c>
    </row>
    <row r="32" spans="1:31" ht="54.75" customHeight="1" x14ac:dyDescent="0.25">
      <c r="A32" s="13" t="s">
        <v>184</v>
      </c>
      <c r="B32" s="3" t="s">
        <v>58</v>
      </c>
      <c r="D32" s="15"/>
      <c r="E32" s="15"/>
      <c r="F32" s="15">
        <v>1</v>
      </c>
      <c r="G32" s="15"/>
      <c r="H32" s="15"/>
      <c r="I32" s="15">
        <v>1</v>
      </c>
      <c r="J32" s="15">
        <v>2</v>
      </c>
      <c r="K32" s="15"/>
      <c r="L32" s="15"/>
      <c r="M32" s="15"/>
      <c r="N32" s="15"/>
      <c r="O32" s="15">
        <v>2</v>
      </c>
    </row>
    <row r="33" spans="1:15" ht="54.75" customHeight="1" x14ac:dyDescent="0.25">
      <c r="A33" s="13" t="s">
        <v>185</v>
      </c>
      <c r="B33" s="3" t="s">
        <v>59</v>
      </c>
      <c r="D33" s="15"/>
      <c r="E33" s="15"/>
      <c r="F33" s="15">
        <v>1</v>
      </c>
      <c r="G33" s="15"/>
      <c r="H33" s="15"/>
      <c r="I33" s="15">
        <v>1</v>
      </c>
      <c r="J33" s="15">
        <v>2</v>
      </c>
      <c r="K33" s="15"/>
      <c r="L33" s="15"/>
      <c r="M33" s="15"/>
      <c r="N33" s="15">
        <v>1</v>
      </c>
      <c r="O33" s="15">
        <v>1</v>
      </c>
    </row>
    <row r="34" spans="1:15" ht="54.75" customHeight="1" x14ac:dyDescent="0.25">
      <c r="A34" s="13" t="s">
        <v>186</v>
      </c>
      <c r="B34" s="3" t="s">
        <v>79</v>
      </c>
      <c r="D34" s="15"/>
      <c r="E34" s="15"/>
      <c r="F34" s="15">
        <v>1</v>
      </c>
      <c r="G34" s="15"/>
      <c r="H34" s="15"/>
      <c r="I34" s="15">
        <v>1</v>
      </c>
      <c r="J34" s="15">
        <v>2</v>
      </c>
      <c r="K34" s="15"/>
      <c r="L34" s="15"/>
      <c r="M34" s="15"/>
      <c r="N34" s="15">
        <v>2</v>
      </c>
      <c r="O34" s="15"/>
    </row>
    <row r="35" spans="1:15" ht="54.75" customHeight="1" x14ac:dyDescent="0.25">
      <c r="A35" s="13">
        <v>23</v>
      </c>
      <c r="B35" s="3" t="s">
        <v>80</v>
      </c>
      <c r="D35" s="15"/>
      <c r="E35" s="15"/>
      <c r="F35" s="15">
        <v>1</v>
      </c>
      <c r="G35" s="15"/>
      <c r="H35" s="15"/>
      <c r="I35" s="15">
        <v>1</v>
      </c>
      <c r="J35" s="15">
        <v>1</v>
      </c>
      <c r="K35" s="15"/>
      <c r="L35" s="15"/>
      <c r="M35" s="15"/>
      <c r="N35" s="15"/>
      <c r="O35" s="15"/>
    </row>
    <row r="36" spans="1:15" ht="54.75" customHeight="1" x14ac:dyDescent="0.25">
      <c r="A36" s="13" t="s">
        <v>187</v>
      </c>
      <c r="B36" s="3" t="s">
        <v>60</v>
      </c>
      <c r="D36" s="15"/>
      <c r="E36" s="15"/>
      <c r="F36" s="15">
        <v>1</v>
      </c>
      <c r="G36" s="15"/>
      <c r="H36" s="15"/>
      <c r="I36" s="15">
        <v>1</v>
      </c>
      <c r="J36" s="15">
        <v>2</v>
      </c>
      <c r="K36" s="15">
        <v>1</v>
      </c>
      <c r="L36" s="15"/>
      <c r="M36" s="15"/>
      <c r="N36" s="15"/>
      <c r="O36" s="15"/>
    </row>
    <row r="37" spans="1:15" ht="54.75" customHeight="1" x14ac:dyDescent="0.25">
      <c r="A37" s="13" t="s">
        <v>191</v>
      </c>
      <c r="B37" s="3" t="s">
        <v>81</v>
      </c>
      <c r="D37" s="15"/>
      <c r="E37" s="15"/>
      <c r="F37" s="15">
        <v>1</v>
      </c>
      <c r="G37" s="15"/>
      <c r="H37" s="15"/>
      <c r="I37" s="15">
        <v>1</v>
      </c>
      <c r="J37" s="15">
        <v>2</v>
      </c>
      <c r="K37" s="15">
        <v>1</v>
      </c>
      <c r="L37" s="15"/>
      <c r="M37" s="15"/>
      <c r="N37" s="15"/>
      <c r="O37" s="15"/>
    </row>
    <row r="38" spans="1:15" ht="54.75" customHeight="1" x14ac:dyDescent="0.25">
      <c r="A38" s="13" t="s">
        <v>192</v>
      </c>
      <c r="B38" s="3" t="s">
        <v>82</v>
      </c>
      <c r="D38" s="15"/>
      <c r="E38" s="15"/>
      <c r="F38" s="15">
        <v>1</v>
      </c>
      <c r="G38" s="15"/>
      <c r="H38" s="15"/>
      <c r="I38" s="15">
        <v>1</v>
      </c>
      <c r="J38" s="15">
        <v>2</v>
      </c>
      <c r="K38" s="15">
        <v>1</v>
      </c>
      <c r="L38" s="15"/>
      <c r="M38" s="15"/>
      <c r="N38" s="15"/>
      <c r="O38" s="15"/>
    </row>
    <row r="39" spans="1:15" ht="65.25" customHeight="1" x14ac:dyDescent="0.25">
      <c r="A39" s="13">
        <v>25</v>
      </c>
      <c r="B39" s="3" t="s">
        <v>83</v>
      </c>
      <c r="C39" s="10"/>
      <c r="D39" s="15"/>
      <c r="E39" s="15"/>
      <c r="F39" s="15">
        <v>1</v>
      </c>
      <c r="G39" s="15"/>
      <c r="H39" s="15"/>
      <c r="I39" s="15">
        <v>1</v>
      </c>
      <c r="J39" s="15"/>
      <c r="K39" s="15"/>
      <c r="L39" s="15"/>
      <c r="M39" s="15">
        <v>2</v>
      </c>
      <c r="N39" s="15"/>
      <c r="O39" s="15"/>
    </row>
    <row r="40" spans="1:15" ht="65.25" customHeight="1" x14ac:dyDescent="0.25">
      <c r="A40" s="13" t="s">
        <v>193</v>
      </c>
      <c r="B40" s="3" t="s">
        <v>84</v>
      </c>
      <c r="D40" s="15"/>
      <c r="E40" s="15"/>
      <c r="F40" s="15">
        <v>1</v>
      </c>
      <c r="G40" s="15"/>
      <c r="H40" s="15"/>
      <c r="I40" s="15"/>
      <c r="J40" s="15">
        <v>2</v>
      </c>
      <c r="K40" s="15"/>
      <c r="L40" s="15"/>
      <c r="M40" s="15">
        <v>1</v>
      </c>
      <c r="N40" s="15"/>
      <c r="O40" s="15">
        <v>2</v>
      </c>
    </row>
    <row r="41" spans="1:15" ht="78.75" customHeight="1" x14ac:dyDescent="0.25">
      <c r="A41" s="13" t="s">
        <v>194</v>
      </c>
      <c r="B41" s="3" t="s">
        <v>61</v>
      </c>
      <c r="D41" s="15"/>
      <c r="E41" s="15"/>
      <c r="F41" s="15">
        <v>1</v>
      </c>
      <c r="G41" s="15"/>
      <c r="H41" s="15"/>
      <c r="I41" s="15"/>
      <c r="J41" s="15">
        <v>2</v>
      </c>
      <c r="K41" s="15"/>
      <c r="L41" s="15"/>
      <c r="M41" s="15">
        <v>1</v>
      </c>
      <c r="N41" s="15">
        <v>1</v>
      </c>
      <c r="O41" s="15">
        <v>1</v>
      </c>
    </row>
    <row r="42" spans="1:15" ht="65.25" customHeight="1" x14ac:dyDescent="0.25">
      <c r="A42" s="13" t="s">
        <v>188</v>
      </c>
      <c r="B42" s="3" t="s">
        <v>85</v>
      </c>
      <c r="D42" s="15"/>
      <c r="E42" s="15"/>
      <c r="F42" s="15">
        <v>1</v>
      </c>
      <c r="G42" s="15"/>
      <c r="H42" s="15"/>
      <c r="I42" s="15"/>
      <c r="J42" s="15">
        <v>2</v>
      </c>
      <c r="K42" s="15"/>
      <c r="L42" s="15"/>
      <c r="M42" s="15">
        <v>1</v>
      </c>
      <c r="N42" s="15">
        <v>2</v>
      </c>
      <c r="O42" s="15"/>
    </row>
    <row r="43" spans="1:15" ht="87" customHeight="1" x14ac:dyDescent="0.25">
      <c r="A43" s="13" t="s">
        <v>195</v>
      </c>
      <c r="B43" s="3" t="s">
        <v>62</v>
      </c>
      <c r="D43" s="15"/>
      <c r="E43" s="15"/>
      <c r="F43" s="15">
        <v>1</v>
      </c>
      <c r="G43" s="15"/>
      <c r="H43" s="15"/>
      <c r="I43" s="15">
        <v>1</v>
      </c>
      <c r="J43" s="15">
        <v>2</v>
      </c>
      <c r="K43" s="15"/>
      <c r="L43" s="15"/>
      <c r="M43" s="15">
        <v>1</v>
      </c>
      <c r="N43" s="15"/>
      <c r="O43" s="15"/>
    </row>
    <row r="44" spans="1:15" ht="84.75" customHeight="1" x14ac:dyDescent="0.25">
      <c r="A44" s="13" t="s">
        <v>196</v>
      </c>
      <c r="B44" s="3" t="s">
        <v>87</v>
      </c>
      <c r="D44" s="15"/>
      <c r="E44" s="15"/>
      <c r="F44" s="15">
        <v>1</v>
      </c>
      <c r="G44" s="15"/>
      <c r="H44" s="15"/>
      <c r="I44" s="15">
        <v>1</v>
      </c>
      <c r="J44" s="15">
        <v>2</v>
      </c>
      <c r="K44" s="15"/>
      <c r="L44" s="15"/>
      <c r="M44" s="15">
        <v>1</v>
      </c>
      <c r="N44" s="15"/>
      <c r="O44" s="15"/>
    </row>
    <row r="45" spans="1:15" ht="75.75" customHeight="1" x14ac:dyDescent="0.25">
      <c r="A45" s="13" t="s">
        <v>197</v>
      </c>
      <c r="B45" s="3" t="s">
        <v>86</v>
      </c>
      <c r="D45" s="15"/>
      <c r="E45" s="15"/>
      <c r="F45" s="15">
        <v>1</v>
      </c>
      <c r="G45" s="15"/>
      <c r="H45" s="15"/>
      <c r="I45" s="15">
        <v>1</v>
      </c>
      <c r="J45" s="15">
        <v>2</v>
      </c>
      <c r="K45" s="15"/>
      <c r="L45" s="15"/>
      <c r="M45" s="15">
        <v>1</v>
      </c>
      <c r="N45" s="15"/>
      <c r="O45" s="15"/>
    </row>
    <row r="46" spans="1:15" ht="87.75" customHeight="1" x14ac:dyDescent="0.25">
      <c r="A46" s="13" t="s">
        <v>189</v>
      </c>
      <c r="B46" s="3" t="s">
        <v>63</v>
      </c>
      <c r="D46" s="15"/>
      <c r="E46" s="15"/>
      <c r="F46" s="15">
        <v>1</v>
      </c>
      <c r="G46" s="15"/>
      <c r="H46" s="15"/>
      <c r="I46" s="15"/>
      <c r="J46" s="15">
        <v>3</v>
      </c>
      <c r="K46" s="15"/>
      <c r="L46" s="15"/>
      <c r="M46" s="15">
        <v>1</v>
      </c>
      <c r="N46" s="15">
        <v>1</v>
      </c>
      <c r="O46" s="15">
        <v>2</v>
      </c>
    </row>
    <row r="47" spans="1:15" ht="87" customHeight="1" x14ac:dyDescent="0.25">
      <c r="A47" s="13" t="s">
        <v>190</v>
      </c>
      <c r="B47" s="3" t="s">
        <v>64</v>
      </c>
      <c r="D47" s="15"/>
      <c r="E47" s="15"/>
      <c r="F47" s="15">
        <v>1</v>
      </c>
      <c r="G47" s="15"/>
      <c r="H47" s="15"/>
      <c r="I47" s="15"/>
      <c r="J47" s="15">
        <v>3</v>
      </c>
      <c r="K47" s="15"/>
      <c r="L47" s="15"/>
      <c r="M47" s="15">
        <v>1</v>
      </c>
      <c r="N47" s="15">
        <v>2</v>
      </c>
      <c r="O47" s="15">
        <v>1</v>
      </c>
    </row>
    <row r="48" spans="1:15" ht="65.25" customHeight="1" x14ac:dyDescent="0.25">
      <c r="A48" s="13" t="s">
        <v>198</v>
      </c>
      <c r="B48" s="3" t="s">
        <v>88</v>
      </c>
      <c r="D48" s="15"/>
      <c r="E48" s="15"/>
      <c r="F48" s="15">
        <v>1</v>
      </c>
      <c r="G48" s="15"/>
      <c r="H48" s="15"/>
      <c r="I48" s="15">
        <v>1</v>
      </c>
      <c r="J48" s="15">
        <v>2</v>
      </c>
      <c r="K48" s="15"/>
      <c r="L48" s="15"/>
      <c r="M48" s="15">
        <v>2</v>
      </c>
      <c r="N48" s="15"/>
      <c r="O48" s="15"/>
    </row>
    <row r="49" spans="1:15" ht="65.25" customHeight="1" x14ac:dyDescent="0.25">
      <c r="A49" s="13" t="s">
        <v>199</v>
      </c>
      <c r="B49" s="3" t="s">
        <v>89</v>
      </c>
      <c r="D49" s="15"/>
      <c r="E49" s="15"/>
      <c r="F49" s="15">
        <v>1</v>
      </c>
      <c r="G49" s="15"/>
      <c r="H49" s="15"/>
      <c r="I49" s="15">
        <v>1</v>
      </c>
      <c r="J49" s="15">
        <v>2</v>
      </c>
      <c r="K49" s="15"/>
      <c r="L49" s="15"/>
      <c r="M49" s="15">
        <v>2</v>
      </c>
      <c r="N49" s="15"/>
      <c r="O49" s="15"/>
    </row>
    <row r="50" spans="1:15" ht="65.25" customHeight="1" x14ac:dyDescent="0.25">
      <c r="A50" s="13" t="s">
        <v>200</v>
      </c>
      <c r="B50" s="3" t="s">
        <v>90</v>
      </c>
      <c r="D50" s="15"/>
      <c r="E50" s="15"/>
      <c r="F50" s="15">
        <v>1</v>
      </c>
      <c r="G50" s="15"/>
      <c r="H50" s="15"/>
      <c r="I50" s="15">
        <v>1</v>
      </c>
      <c r="J50" s="15">
        <v>3</v>
      </c>
      <c r="K50" s="15"/>
      <c r="L50" s="15"/>
      <c r="M50" s="15">
        <v>1</v>
      </c>
      <c r="N50" s="15"/>
      <c r="O50" s="15"/>
    </row>
    <row r="51" spans="1:15" ht="65.25" customHeight="1" x14ac:dyDescent="0.25">
      <c r="A51" s="13" t="s">
        <v>201</v>
      </c>
      <c r="B51" s="3" t="s">
        <v>91</v>
      </c>
      <c r="D51" s="15"/>
      <c r="E51" s="15"/>
      <c r="F51" s="15">
        <v>1</v>
      </c>
      <c r="G51" s="15"/>
      <c r="H51" s="15"/>
      <c r="I51" s="15">
        <v>1</v>
      </c>
      <c r="J51" s="15">
        <v>3</v>
      </c>
      <c r="K51" s="15"/>
      <c r="L51" s="15"/>
      <c r="M51" s="15">
        <v>1</v>
      </c>
      <c r="N51" s="15"/>
      <c r="O51" s="15"/>
    </row>
    <row r="52" spans="1:15" ht="90" customHeight="1" x14ac:dyDescent="0.25">
      <c r="A52" s="13" t="s">
        <v>202</v>
      </c>
      <c r="B52" s="3" t="s">
        <v>92</v>
      </c>
      <c r="D52" s="15"/>
      <c r="E52" s="15"/>
      <c r="F52" s="15">
        <v>1</v>
      </c>
      <c r="G52" s="15"/>
      <c r="H52" s="15"/>
      <c r="I52" s="15"/>
      <c r="J52" s="15">
        <v>4</v>
      </c>
      <c r="K52" s="15"/>
      <c r="L52" s="15"/>
      <c r="M52" s="15">
        <v>1</v>
      </c>
      <c r="N52" s="15">
        <v>1</v>
      </c>
      <c r="O52" s="15">
        <v>3</v>
      </c>
    </row>
    <row r="53" spans="1:15" ht="83.25" customHeight="1" x14ac:dyDescent="0.25">
      <c r="A53" s="13" t="s">
        <v>203</v>
      </c>
      <c r="B53" s="3" t="s">
        <v>93</v>
      </c>
      <c r="D53" s="15"/>
      <c r="E53" s="15"/>
      <c r="F53" s="15">
        <v>1</v>
      </c>
      <c r="G53" s="15"/>
      <c r="H53" s="15"/>
      <c r="I53" s="15"/>
      <c r="J53" s="15">
        <v>4</v>
      </c>
      <c r="K53" s="15"/>
      <c r="L53" s="15"/>
      <c r="M53" s="15">
        <v>1</v>
      </c>
      <c r="N53" s="15">
        <v>2</v>
      </c>
      <c r="O53" s="15">
        <v>2</v>
      </c>
    </row>
    <row r="54" spans="1:15" ht="72" customHeight="1" x14ac:dyDescent="0.25">
      <c r="A54" s="13">
        <v>32</v>
      </c>
      <c r="B54" s="3" t="s">
        <v>94</v>
      </c>
      <c r="D54" s="15"/>
      <c r="E54" s="15"/>
      <c r="F54" s="15">
        <v>1</v>
      </c>
      <c r="G54" s="15"/>
      <c r="H54" s="15"/>
      <c r="I54" s="15">
        <v>1</v>
      </c>
      <c r="J54" s="15">
        <v>3</v>
      </c>
      <c r="K54" s="15"/>
      <c r="L54" s="15"/>
      <c r="M54" s="15">
        <v>2</v>
      </c>
      <c r="N54" s="15"/>
      <c r="O54" s="15"/>
    </row>
    <row r="55" spans="1:15" ht="65.25" customHeight="1" x14ac:dyDescent="0.25">
      <c r="A55" s="13" t="s">
        <v>204</v>
      </c>
      <c r="B55" s="3" t="s">
        <v>95</v>
      </c>
      <c r="D55" s="15"/>
      <c r="E55" s="15"/>
      <c r="F55" s="15">
        <v>1</v>
      </c>
      <c r="G55" s="15"/>
      <c r="H55" s="15"/>
      <c r="I55" s="15">
        <v>1</v>
      </c>
      <c r="J55" s="15">
        <v>4</v>
      </c>
      <c r="K55" s="15"/>
      <c r="L55" s="15"/>
      <c r="M55" s="15">
        <v>2</v>
      </c>
      <c r="N55" s="15"/>
      <c r="O55" s="15"/>
    </row>
    <row r="56" spans="1:15" ht="65.25" customHeight="1" x14ac:dyDescent="0.25">
      <c r="A56" s="13" t="s">
        <v>205</v>
      </c>
      <c r="B56" s="3" t="s">
        <v>96</v>
      </c>
      <c r="D56" s="15"/>
      <c r="E56" s="15"/>
      <c r="F56" s="15">
        <v>1</v>
      </c>
      <c r="G56" s="15"/>
      <c r="H56" s="15"/>
      <c r="I56" s="15">
        <v>1</v>
      </c>
      <c r="J56" s="15">
        <v>4</v>
      </c>
      <c r="K56" s="15"/>
      <c r="L56" s="15"/>
      <c r="M56" s="15">
        <v>2</v>
      </c>
      <c r="N56" s="15"/>
      <c r="O56" s="15"/>
    </row>
    <row r="57" spans="1:15" ht="65.25" customHeight="1" x14ac:dyDescent="0.25">
      <c r="A57" s="13" t="s">
        <v>206</v>
      </c>
      <c r="B57" s="3" t="s">
        <v>97</v>
      </c>
      <c r="D57" s="15"/>
      <c r="E57" s="15"/>
      <c r="F57" s="15">
        <v>1</v>
      </c>
      <c r="G57" s="15"/>
      <c r="H57" s="15"/>
      <c r="I57" s="15">
        <v>1</v>
      </c>
      <c r="J57" s="15">
        <v>1</v>
      </c>
      <c r="K57" s="15"/>
      <c r="L57" s="15">
        <v>1</v>
      </c>
      <c r="M57" s="15"/>
      <c r="N57" s="15"/>
      <c r="O57" s="15">
        <v>1</v>
      </c>
    </row>
    <row r="58" spans="1:15" ht="65.25" customHeight="1" x14ac:dyDescent="0.25">
      <c r="A58" s="13" t="s">
        <v>212</v>
      </c>
      <c r="B58" s="3" t="s">
        <v>98</v>
      </c>
      <c r="D58" s="15"/>
      <c r="E58" s="15"/>
      <c r="F58" s="15">
        <v>1</v>
      </c>
      <c r="G58" s="15"/>
      <c r="H58" s="15"/>
      <c r="I58" s="15">
        <v>1</v>
      </c>
      <c r="J58" s="15">
        <v>1</v>
      </c>
      <c r="K58" s="15"/>
      <c r="L58" s="15">
        <v>1</v>
      </c>
      <c r="M58" s="15"/>
      <c r="N58" s="15">
        <v>1</v>
      </c>
      <c r="O58" s="15"/>
    </row>
    <row r="59" spans="1:15" ht="83.25" customHeight="1" x14ac:dyDescent="0.25">
      <c r="A59" s="13" t="s">
        <v>213</v>
      </c>
      <c r="B59" s="3" t="s">
        <v>99</v>
      </c>
      <c r="D59" s="15"/>
      <c r="E59" s="15"/>
      <c r="F59" s="15">
        <v>1</v>
      </c>
      <c r="G59" s="15"/>
      <c r="H59" s="15"/>
      <c r="I59" s="15">
        <v>1</v>
      </c>
      <c r="J59" s="15">
        <v>2</v>
      </c>
      <c r="K59" s="15"/>
      <c r="L59" s="15">
        <v>1</v>
      </c>
      <c r="M59" s="15"/>
      <c r="N59" s="15"/>
      <c r="O59" s="15">
        <v>2</v>
      </c>
    </row>
    <row r="60" spans="1:15" ht="65.25" customHeight="1" x14ac:dyDescent="0.25">
      <c r="A60" s="13" t="s">
        <v>214</v>
      </c>
      <c r="B60" s="3" t="s">
        <v>100</v>
      </c>
      <c r="D60" s="15"/>
      <c r="E60" s="15"/>
      <c r="F60" s="15">
        <v>1</v>
      </c>
      <c r="G60" s="15"/>
      <c r="H60" s="15"/>
      <c r="I60" s="15">
        <v>1</v>
      </c>
      <c r="J60" s="15">
        <v>2</v>
      </c>
      <c r="K60" s="15"/>
      <c r="L60" s="15">
        <v>1</v>
      </c>
      <c r="M60" s="15"/>
      <c r="N60" s="15">
        <v>1</v>
      </c>
      <c r="O60" s="15">
        <v>1</v>
      </c>
    </row>
    <row r="61" spans="1:15" ht="65.25" customHeight="1" x14ac:dyDescent="0.25">
      <c r="A61" s="13" t="s">
        <v>215</v>
      </c>
      <c r="B61" s="3" t="s">
        <v>101</v>
      </c>
      <c r="D61" s="15"/>
      <c r="E61" s="15"/>
      <c r="F61" s="15">
        <v>1</v>
      </c>
      <c r="G61" s="15"/>
      <c r="H61" s="15"/>
      <c r="I61" s="15">
        <v>1</v>
      </c>
      <c r="J61" s="15">
        <v>2</v>
      </c>
      <c r="K61" s="15"/>
      <c r="L61" s="15">
        <v>1</v>
      </c>
      <c r="M61" s="15"/>
      <c r="N61" s="15">
        <v>2</v>
      </c>
      <c r="O61" s="15"/>
    </row>
    <row r="62" spans="1:15" ht="65.25" customHeight="1" x14ac:dyDescent="0.25">
      <c r="A62" s="13" t="s">
        <v>216</v>
      </c>
      <c r="B62" s="3" t="s">
        <v>102</v>
      </c>
      <c r="D62" s="15"/>
      <c r="E62" s="15"/>
      <c r="F62" s="15"/>
      <c r="G62" s="15">
        <v>1</v>
      </c>
      <c r="H62" s="15"/>
      <c r="I62" s="15">
        <v>1</v>
      </c>
      <c r="J62" s="15"/>
      <c r="K62" s="15"/>
      <c r="L62" s="15"/>
      <c r="M62" s="15"/>
      <c r="N62" s="15"/>
      <c r="O62" s="15"/>
    </row>
    <row r="63" spans="1:15" ht="65.25" customHeight="1" x14ac:dyDescent="0.25">
      <c r="A63" s="13" t="s">
        <v>217</v>
      </c>
      <c r="B63" s="3" t="s">
        <v>103</v>
      </c>
      <c r="D63" s="15"/>
      <c r="E63" s="15"/>
      <c r="F63" s="15"/>
      <c r="G63" s="15">
        <v>1</v>
      </c>
      <c r="H63" s="15"/>
      <c r="I63" s="15">
        <v>1</v>
      </c>
      <c r="J63" s="15"/>
      <c r="K63" s="15"/>
      <c r="L63" s="15"/>
      <c r="M63" s="15"/>
      <c r="N63" s="15"/>
      <c r="O63" s="15"/>
    </row>
    <row r="64" spans="1:15" ht="65.25" customHeight="1" x14ac:dyDescent="0.25">
      <c r="A64" s="13">
        <v>37</v>
      </c>
      <c r="B64" s="3" t="s">
        <v>104</v>
      </c>
      <c r="D64" s="15"/>
      <c r="E64" s="15"/>
      <c r="F64" s="15"/>
      <c r="G64" s="15">
        <v>1</v>
      </c>
      <c r="H64" s="15"/>
      <c r="I64" s="15"/>
      <c r="J64" s="15"/>
      <c r="K64" s="15"/>
      <c r="L64" s="15"/>
      <c r="M64" s="15"/>
      <c r="N64" s="15"/>
      <c r="O64" s="15"/>
    </row>
    <row r="65" spans="1:15" ht="65.25" customHeight="1" x14ac:dyDescent="0.25">
      <c r="A65" s="13">
        <v>38</v>
      </c>
      <c r="B65" s="3" t="s">
        <v>105</v>
      </c>
      <c r="D65" s="15"/>
      <c r="E65" s="15"/>
      <c r="F65" s="15"/>
      <c r="G65" s="15">
        <v>1</v>
      </c>
      <c r="H65" s="15">
        <v>1</v>
      </c>
      <c r="I65" s="15"/>
      <c r="J65" s="15"/>
      <c r="K65" s="15"/>
      <c r="L65" s="15"/>
      <c r="M65" s="15"/>
      <c r="N65" s="15"/>
      <c r="O65" s="15"/>
    </row>
    <row r="66" spans="1:15" ht="65.25" customHeight="1" x14ac:dyDescent="0.25">
      <c r="A66" s="13" t="s">
        <v>211</v>
      </c>
      <c r="B66" s="3" t="s">
        <v>65</v>
      </c>
      <c r="D66" s="15"/>
      <c r="E66" s="15"/>
      <c r="F66" s="15"/>
      <c r="G66" s="15">
        <v>1</v>
      </c>
      <c r="H66" s="15"/>
      <c r="I66" s="15">
        <v>1</v>
      </c>
      <c r="J66" s="15">
        <v>1</v>
      </c>
      <c r="K66" s="15"/>
      <c r="L66" s="15"/>
      <c r="M66" s="15"/>
      <c r="N66" s="15"/>
      <c r="O66" s="15">
        <v>1</v>
      </c>
    </row>
    <row r="67" spans="1:15" ht="65.25" customHeight="1" x14ac:dyDescent="0.25">
      <c r="A67" s="13" t="s">
        <v>210</v>
      </c>
      <c r="B67" s="3" t="s">
        <v>106</v>
      </c>
      <c r="D67" s="15"/>
      <c r="E67" s="15"/>
      <c r="F67" s="15"/>
      <c r="G67" s="15">
        <v>1</v>
      </c>
      <c r="H67" s="15"/>
      <c r="I67" s="15">
        <v>1</v>
      </c>
      <c r="J67" s="15">
        <v>1</v>
      </c>
      <c r="K67" s="15"/>
      <c r="L67" s="15"/>
      <c r="M67" s="15"/>
      <c r="N67" s="15">
        <v>1</v>
      </c>
      <c r="O67" s="15"/>
    </row>
    <row r="68" spans="1:15" ht="65.25" customHeight="1" x14ac:dyDescent="0.25">
      <c r="A68" s="13" t="s">
        <v>209</v>
      </c>
      <c r="B68" s="3" t="s">
        <v>107</v>
      </c>
      <c r="D68" s="15"/>
      <c r="E68" s="15"/>
      <c r="F68" s="15"/>
      <c r="G68" s="15">
        <v>1</v>
      </c>
      <c r="H68" s="15"/>
      <c r="I68" s="15">
        <v>1</v>
      </c>
      <c r="J68" s="15">
        <v>1</v>
      </c>
      <c r="K68" s="15"/>
      <c r="L68" s="15"/>
      <c r="M68" s="15"/>
      <c r="N68" s="15"/>
      <c r="O68" s="15">
        <v>1</v>
      </c>
    </row>
    <row r="69" spans="1:15" ht="65.25" customHeight="1" x14ac:dyDescent="0.25">
      <c r="A69" s="13" t="s">
        <v>208</v>
      </c>
      <c r="B69" s="3" t="s">
        <v>66</v>
      </c>
      <c r="D69" s="15"/>
      <c r="E69" s="15"/>
      <c r="F69" s="15"/>
      <c r="G69" s="15">
        <v>1</v>
      </c>
      <c r="H69" s="15"/>
      <c r="I69" s="15"/>
      <c r="J69" s="15">
        <v>1</v>
      </c>
      <c r="K69" s="15"/>
      <c r="L69" s="15"/>
      <c r="M69" s="15"/>
      <c r="N69" s="15"/>
      <c r="O69" s="15">
        <v>1</v>
      </c>
    </row>
    <row r="70" spans="1:15" ht="65.25" customHeight="1" x14ac:dyDescent="0.25">
      <c r="A70" s="13" t="s">
        <v>207</v>
      </c>
      <c r="B70" s="3" t="s">
        <v>108</v>
      </c>
      <c r="D70" s="15"/>
      <c r="E70" s="15"/>
      <c r="F70" s="15"/>
      <c r="G70" s="15">
        <v>1</v>
      </c>
      <c r="H70" s="15"/>
      <c r="I70" s="15"/>
      <c r="J70" s="15">
        <v>1</v>
      </c>
      <c r="K70" s="15"/>
      <c r="L70" s="15"/>
      <c r="M70" s="15"/>
      <c r="N70" s="15">
        <v>1</v>
      </c>
      <c r="O70" s="15"/>
    </row>
    <row r="71" spans="1:15" ht="409.5" customHeight="1" x14ac:dyDescent="0.25">
      <c r="A71" s="13"/>
    </row>
  </sheetData>
  <mergeCells count="1">
    <mergeCell ref="A1:AE1"/>
  </mergeCells>
  <conditionalFormatting sqref="D3:O70">
    <cfRule type="cellIs" dxfId="4" priority="3" operator="lessThan">
      <formula>1</formula>
    </cfRule>
    <cfRule type="cellIs" dxfId="3" priority="4" operator="greaterThan">
      <formula>0</formula>
    </cfRule>
  </conditionalFormatting>
  <conditionalFormatting sqref="T3:AE25">
    <cfRule type="cellIs" dxfId="2" priority="1" operator="lessThan">
      <formula>1</formula>
    </cfRule>
    <cfRule type="cellIs" dxfId="1" priority="2" operator="greaterThan">
      <formula>0</formula>
    </cfRule>
  </conditionalFormatting>
  <pageMargins left="0.7" right="0.7" top="0.75" bottom="0.75" header="0.3" footer="0.3"/>
  <pageSetup paperSize="9" orientation="portrait" horizontalDpi="30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"/>
  <sheetViews>
    <sheetView zoomScale="85" zoomScaleNormal="85" workbookViewId="0">
      <selection sqref="A1:H1"/>
    </sheetView>
  </sheetViews>
  <sheetFormatPr defaultRowHeight="15" x14ac:dyDescent="0.25"/>
  <cols>
    <col min="1" max="1" width="16.85546875" bestFit="1" customWidth="1"/>
    <col min="2" max="3" width="27" bestFit="1" customWidth="1"/>
    <col min="4" max="4" width="26.140625" bestFit="1" customWidth="1"/>
    <col min="5" max="5" width="23.28515625" bestFit="1" customWidth="1"/>
    <col min="6" max="6" width="22.28515625" bestFit="1" customWidth="1"/>
    <col min="7" max="7" width="22.42578125" bestFit="1" customWidth="1"/>
    <col min="8" max="8" width="23.140625" bestFit="1" customWidth="1"/>
    <col min="9" max="9" width="24.85546875" bestFit="1" customWidth="1"/>
    <col min="10" max="10" width="23" bestFit="1" customWidth="1"/>
    <col min="11" max="11" width="22.5703125" bestFit="1" customWidth="1"/>
    <col min="12" max="12" width="21.140625" bestFit="1" customWidth="1"/>
    <col min="13" max="13" width="25.85546875" bestFit="1" customWidth="1"/>
    <col min="14" max="14" width="24.85546875" bestFit="1" customWidth="1"/>
    <col min="15" max="15" width="26.7109375" bestFit="1" customWidth="1"/>
    <col min="16" max="16" width="21.85546875" bestFit="1" customWidth="1"/>
    <col min="17" max="17" width="26.42578125" bestFit="1" customWidth="1"/>
    <col min="18" max="18" width="25" bestFit="1" customWidth="1"/>
    <col min="19" max="19" width="23.140625" bestFit="1" customWidth="1"/>
    <col min="20" max="20" width="23.28515625" bestFit="1" customWidth="1"/>
    <col min="21" max="21" width="23" bestFit="1" customWidth="1"/>
    <col min="22" max="22" width="22.42578125" bestFit="1" customWidth="1"/>
  </cols>
  <sheetData>
    <row r="1" spans="1:23" ht="33" customHeight="1" x14ac:dyDescent="0.25">
      <c r="A1" s="18" t="s">
        <v>247</v>
      </c>
      <c r="B1" s="18"/>
      <c r="C1" s="18"/>
      <c r="D1" s="18"/>
      <c r="E1" s="18"/>
      <c r="F1" s="18"/>
      <c r="G1" s="18"/>
      <c r="H1" s="18"/>
    </row>
    <row r="2" spans="1:23" x14ac:dyDescent="0.25">
      <c r="A2" s="4" t="s">
        <v>136</v>
      </c>
      <c r="B2" s="2" t="s">
        <v>115</v>
      </c>
      <c r="C2" s="1" t="s">
        <v>116</v>
      </c>
      <c r="D2" s="1" t="s">
        <v>135</v>
      </c>
      <c r="E2" s="1" t="s">
        <v>134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126</v>
      </c>
      <c r="P2" s="1" t="s">
        <v>127</v>
      </c>
      <c r="Q2" s="1" t="s">
        <v>128</v>
      </c>
      <c r="R2" s="1" t="s">
        <v>129</v>
      </c>
      <c r="S2" s="1" t="s">
        <v>130</v>
      </c>
      <c r="T2" s="1" t="s">
        <v>131</v>
      </c>
      <c r="U2" s="1" t="s">
        <v>132</v>
      </c>
      <c r="V2" s="1" t="s">
        <v>133</v>
      </c>
    </row>
    <row r="3" spans="1:23" x14ac:dyDescent="0.25">
      <c r="A3" s="3" t="s">
        <v>8</v>
      </c>
      <c r="B3" s="5">
        <v>2.9726117025319962</v>
      </c>
      <c r="C3" s="6">
        <v>4.9793035928838663</v>
      </c>
      <c r="D3" s="6">
        <v>5.0623713897771765</v>
      </c>
      <c r="E3" s="6">
        <v>3.0983310802701176</v>
      </c>
      <c r="F3" s="6">
        <v>5.4712974162135231</v>
      </c>
      <c r="G3" s="6">
        <v>1.778872759427697</v>
      </c>
      <c r="H3" s="6">
        <v>4.5818441375392389</v>
      </c>
      <c r="I3" s="6">
        <v>0.81537477672884595</v>
      </c>
      <c r="J3" s="6">
        <v>1.5093091237413825</v>
      </c>
      <c r="K3" s="6">
        <v>4.4826602558098827</v>
      </c>
      <c r="L3" s="6">
        <v>1.7306113127501317</v>
      </c>
      <c r="M3" s="6">
        <v>4.5114110371086156</v>
      </c>
      <c r="N3" s="6">
        <v>1.706122505228588</v>
      </c>
      <c r="O3" s="6">
        <v>11.177272096856527</v>
      </c>
      <c r="P3" s="6">
        <v>2.2416023992849428</v>
      </c>
      <c r="Q3" s="6">
        <v>3.9835452445174426</v>
      </c>
      <c r="R3" s="6">
        <v>1.4065123247167932</v>
      </c>
      <c r="S3" s="6">
        <v>3.2675082421096429</v>
      </c>
      <c r="T3" s="6">
        <v>0.76686816112670286</v>
      </c>
      <c r="U3" s="6">
        <v>2.6527265863316591</v>
      </c>
      <c r="V3" s="6">
        <v>4.5027853734360361</v>
      </c>
      <c r="W3" s="7"/>
    </row>
    <row r="4" spans="1:23" x14ac:dyDescent="0.25">
      <c r="A4" s="3" t="s">
        <v>42</v>
      </c>
      <c r="B4" s="5">
        <v>0.80033241409007227</v>
      </c>
      <c r="C4" s="6">
        <v>1.0070348160468869</v>
      </c>
      <c r="D4" s="6">
        <v>1.3093468391219756</v>
      </c>
      <c r="E4" s="6">
        <v>0.79835034697584606</v>
      </c>
      <c r="F4" s="6">
        <v>0.8610454112168936</v>
      </c>
      <c r="G4" s="6">
        <v>0.01</v>
      </c>
      <c r="H4" s="6">
        <v>0.70568098196710738</v>
      </c>
      <c r="I4" s="6">
        <v>0.01</v>
      </c>
      <c r="J4" s="6">
        <v>0.01</v>
      </c>
      <c r="K4" s="6">
        <v>0.44498264117249298</v>
      </c>
      <c r="L4" s="6">
        <v>0.5364568793068708</v>
      </c>
      <c r="M4" s="6">
        <v>0.57383882938173125</v>
      </c>
      <c r="N4" s="6">
        <v>0.63608693026469365</v>
      </c>
      <c r="O4" s="6">
        <v>1.0840625762984437</v>
      </c>
      <c r="P4" s="6">
        <v>0.33005707587181349</v>
      </c>
      <c r="Q4" s="6">
        <v>0.48355430913945352</v>
      </c>
      <c r="R4" s="6">
        <v>0.42157274577344328</v>
      </c>
      <c r="S4" s="6">
        <v>0.92871583443569927</v>
      </c>
      <c r="T4" s="6">
        <v>0.5367693480269099</v>
      </c>
      <c r="U4" s="6">
        <v>0.62610262744585299</v>
      </c>
      <c r="V4" s="6">
        <v>0.71473348821796689</v>
      </c>
      <c r="W4" s="7"/>
    </row>
    <row r="5" spans="1:23" x14ac:dyDescent="0.25">
      <c r="A5" s="3" t="s">
        <v>43</v>
      </c>
      <c r="B5" s="5">
        <v>3.9858125493584606</v>
      </c>
      <c r="C5" s="6">
        <v>3.9079163756949691</v>
      </c>
      <c r="D5" s="6">
        <v>4.2870353918454445</v>
      </c>
      <c r="E5" s="6">
        <v>4.6002544587180969</v>
      </c>
      <c r="F5" s="6">
        <v>3.3109953078441445</v>
      </c>
      <c r="G5" s="6">
        <v>2.1573556870324775</v>
      </c>
      <c r="H5" s="6">
        <v>5.2004051073930535</v>
      </c>
      <c r="I5" s="6">
        <v>2.1401435634350996</v>
      </c>
      <c r="J5" s="6">
        <v>1.3365731947272668</v>
      </c>
      <c r="K5" s="6">
        <v>3.065205842544322</v>
      </c>
      <c r="L5" s="6">
        <v>5.0025493772525307</v>
      </c>
      <c r="M5" s="6">
        <v>4.2133535015399239</v>
      </c>
      <c r="N5" s="6">
        <v>4.5494671545907996</v>
      </c>
      <c r="O5" s="6">
        <v>4.5599217063071418</v>
      </c>
      <c r="P5" s="6">
        <v>3.7384376308396092</v>
      </c>
      <c r="Q5" s="6">
        <v>3.3561663188070816</v>
      </c>
      <c r="R5" s="6">
        <v>2.2217119152441787</v>
      </c>
      <c r="S5" s="6">
        <v>2.9337270943251408</v>
      </c>
      <c r="T5" s="6">
        <v>2.4980374701032955</v>
      </c>
      <c r="U5" s="6">
        <v>5.9422191585770934</v>
      </c>
      <c r="V5" s="6">
        <v>6.9813513745648317</v>
      </c>
      <c r="W5" s="7"/>
    </row>
    <row r="6" spans="1:23" x14ac:dyDescent="0.25">
      <c r="A6" s="3" t="s">
        <v>44</v>
      </c>
      <c r="B6" s="5">
        <v>0.62901492022684524</v>
      </c>
      <c r="C6" s="6">
        <v>0.62075492919338937</v>
      </c>
      <c r="D6" s="6">
        <v>1.7401977139267759</v>
      </c>
      <c r="E6" s="6">
        <v>0.61133253778153274</v>
      </c>
      <c r="F6" s="6">
        <v>0.77450738688909182</v>
      </c>
      <c r="G6" s="6">
        <v>0.26424727123537284</v>
      </c>
      <c r="H6" s="6">
        <v>0.56870408328154276</v>
      </c>
      <c r="I6" s="6">
        <v>0.43193589449729408</v>
      </c>
      <c r="J6" s="6">
        <v>0.01</v>
      </c>
      <c r="K6" s="6">
        <v>0.87936538740745784</v>
      </c>
      <c r="L6" s="6">
        <v>0.76893154612113601</v>
      </c>
      <c r="M6" s="6">
        <v>0.69388407148719466</v>
      </c>
      <c r="N6" s="6">
        <v>0.95322455004192663</v>
      </c>
      <c r="O6" s="6">
        <v>0.92269648963010253</v>
      </c>
      <c r="P6" s="6">
        <v>0.67146052210959939</v>
      </c>
      <c r="Q6" s="6">
        <v>0.69549532314648832</v>
      </c>
      <c r="R6" s="6">
        <v>0.60561118327491192</v>
      </c>
      <c r="S6" s="6">
        <v>0.98329375689006837</v>
      </c>
      <c r="T6" s="6">
        <v>0.41504977343568467</v>
      </c>
      <c r="U6" s="6">
        <v>0.46525579561678859</v>
      </c>
      <c r="V6" s="6">
        <v>0.85798653013924886</v>
      </c>
      <c r="W6" s="7"/>
    </row>
    <row r="7" spans="1:23" x14ac:dyDescent="0.25">
      <c r="A7" s="3" t="s">
        <v>45</v>
      </c>
      <c r="B7" s="5">
        <v>0.36223880758797067</v>
      </c>
      <c r="C7" s="6">
        <v>0.38912021480725545</v>
      </c>
      <c r="D7" s="6">
        <v>0.45493218631595239</v>
      </c>
      <c r="E7" s="6">
        <v>0.43306410097661996</v>
      </c>
      <c r="F7" s="6">
        <v>0.01</v>
      </c>
      <c r="G7" s="6">
        <v>0.31159888285785936</v>
      </c>
      <c r="H7" s="6">
        <v>0.01</v>
      </c>
      <c r="I7" s="6">
        <v>0.3792064058427369</v>
      </c>
      <c r="J7" s="6">
        <v>0.26276504270175982</v>
      </c>
      <c r="K7" s="6">
        <v>0.94129191755201991</v>
      </c>
      <c r="L7" s="6">
        <v>0.37126370715838292</v>
      </c>
      <c r="M7" s="6">
        <v>0.39153404269120062</v>
      </c>
      <c r="N7" s="6">
        <v>0.31273571409403828</v>
      </c>
      <c r="O7" s="6">
        <v>0.36569715729529712</v>
      </c>
      <c r="P7" s="6">
        <v>0.32978979291264193</v>
      </c>
      <c r="Q7" s="6">
        <v>1.8977205723526673</v>
      </c>
      <c r="R7" s="6">
        <v>0.35569163469420861</v>
      </c>
      <c r="S7" s="6">
        <v>0.33986857429562994</v>
      </c>
      <c r="T7" s="6">
        <v>0.36351482927028794</v>
      </c>
      <c r="U7" s="6">
        <v>0.2769396136706137</v>
      </c>
      <c r="V7" s="6">
        <v>0.73279521360963151</v>
      </c>
      <c r="W7" s="7"/>
    </row>
    <row r="8" spans="1:23" x14ac:dyDescent="0.25">
      <c r="A8" s="3" t="s">
        <v>46</v>
      </c>
      <c r="B8" s="5">
        <v>5.6641058839973137</v>
      </c>
      <c r="C8" s="6">
        <v>5.7874453617848802</v>
      </c>
      <c r="D8" s="6">
        <v>5.1180985013861546</v>
      </c>
      <c r="E8" s="6">
        <v>6.3892803943466774</v>
      </c>
      <c r="F8" s="6">
        <v>9.0024636875874879</v>
      </c>
      <c r="G8" s="6">
        <v>5.3541388535561385</v>
      </c>
      <c r="H8" s="6">
        <v>5.3917987595116843</v>
      </c>
      <c r="I8" s="6">
        <v>8.943068838330861</v>
      </c>
      <c r="J8" s="6">
        <v>6.6481018176654807</v>
      </c>
      <c r="K8" s="6">
        <v>4.661063237681053</v>
      </c>
      <c r="L8" s="6">
        <v>11.072645638359379</v>
      </c>
      <c r="M8" s="6">
        <v>7.7260752116138125</v>
      </c>
      <c r="N8" s="6">
        <v>14.250398847934711</v>
      </c>
      <c r="O8" s="6">
        <v>7.1529970974759358</v>
      </c>
      <c r="P8" s="6">
        <v>9.9206665299402772</v>
      </c>
      <c r="Q8" s="6">
        <v>6.1072903792207169</v>
      </c>
      <c r="R8" s="6">
        <v>7.2444176434678962</v>
      </c>
      <c r="S8" s="6">
        <v>11.684877250131905</v>
      </c>
      <c r="T8" s="6">
        <v>3.2456758361394096</v>
      </c>
      <c r="U8" s="6">
        <v>4.9365033269851235</v>
      </c>
      <c r="V8" s="6">
        <v>7.1828301994996151</v>
      </c>
      <c r="W8" s="7"/>
    </row>
    <row r="9" spans="1:23" x14ac:dyDescent="0.25">
      <c r="A9" s="3" t="s">
        <v>47</v>
      </c>
      <c r="B9" s="5">
        <v>12.076039993061137</v>
      </c>
      <c r="C9" s="6">
        <v>9.3865919243217011</v>
      </c>
      <c r="D9" s="6">
        <v>10.602905954216824</v>
      </c>
      <c r="E9" s="6">
        <v>8.9933504622473102</v>
      </c>
      <c r="F9" s="6">
        <v>4.1186909095267827</v>
      </c>
      <c r="G9" s="6">
        <v>10.312947811710426</v>
      </c>
      <c r="H9" s="6">
        <v>10.904336831268516</v>
      </c>
      <c r="I9" s="6">
        <v>9.5625579891724151</v>
      </c>
      <c r="J9" s="6">
        <v>11.62756118926111</v>
      </c>
      <c r="K9" s="6">
        <v>10.888784948941627</v>
      </c>
      <c r="L9" s="6">
        <v>7.2910268184259586</v>
      </c>
      <c r="M9" s="6">
        <v>7.9587773170898384</v>
      </c>
      <c r="N9" s="6">
        <v>6.6327481708456704</v>
      </c>
      <c r="O9" s="6">
        <v>7.766902191252985</v>
      </c>
      <c r="P9" s="6">
        <v>7.1219583488027602</v>
      </c>
      <c r="Q9" s="6">
        <v>9.1221259020651537</v>
      </c>
      <c r="R9" s="6">
        <v>14.411662092460807</v>
      </c>
      <c r="S9" s="6">
        <v>6.1825621327704026</v>
      </c>
      <c r="T9" s="6">
        <v>5.1557618901127924</v>
      </c>
      <c r="U9" s="6">
        <v>9.1151067166926047</v>
      </c>
      <c r="V9" s="6">
        <v>14.221481270664849</v>
      </c>
      <c r="W9" s="7"/>
    </row>
    <row r="10" spans="1:23" x14ac:dyDescent="0.25">
      <c r="A10" s="3" t="s">
        <v>48</v>
      </c>
      <c r="B10" s="5">
        <v>8.2925234982147469</v>
      </c>
      <c r="C10" s="6">
        <v>6.9634738981303483</v>
      </c>
      <c r="D10" s="6">
        <v>7.2421427643717662</v>
      </c>
      <c r="E10" s="6">
        <v>7.5124563939909059</v>
      </c>
      <c r="F10" s="6">
        <v>3.2818400119680811</v>
      </c>
      <c r="G10" s="6">
        <v>6.9515799618433345</v>
      </c>
      <c r="H10" s="6">
        <v>6.9745453739498275</v>
      </c>
      <c r="I10" s="6">
        <v>11.088200593550155</v>
      </c>
      <c r="J10" s="6">
        <v>11.017927262035455</v>
      </c>
      <c r="K10" s="6">
        <v>8.9269798459708198</v>
      </c>
      <c r="L10" s="6">
        <v>6.3799946854876897</v>
      </c>
      <c r="M10" s="6">
        <v>6.7591596384979935</v>
      </c>
      <c r="N10" s="6">
        <v>6.7113064558874118</v>
      </c>
      <c r="O10" s="6">
        <v>7.3877749398358112</v>
      </c>
      <c r="P10" s="6">
        <v>7.0471216980764524</v>
      </c>
      <c r="Q10" s="6">
        <v>7.759662419647599</v>
      </c>
      <c r="R10" s="6">
        <v>9.7698383211413393</v>
      </c>
      <c r="S10" s="6">
        <v>5.5457213185591785</v>
      </c>
      <c r="T10" s="6">
        <v>5.1521695927279314</v>
      </c>
      <c r="U10" s="6">
        <v>7.7151267941066779</v>
      </c>
      <c r="V10" s="6">
        <v>8.8518948243158988</v>
      </c>
      <c r="W10" s="7"/>
    </row>
    <row r="11" spans="1:23" x14ac:dyDescent="0.25">
      <c r="A11" s="3" t="s">
        <v>49</v>
      </c>
      <c r="B11" s="5">
        <v>9.5109852793983869</v>
      </c>
      <c r="C11" s="6">
        <v>10.536577427334917</v>
      </c>
      <c r="D11" s="6">
        <v>10.082192688844582</v>
      </c>
      <c r="E11" s="6">
        <v>10.721430651884498</v>
      </c>
      <c r="F11" s="6">
        <v>4.7369950462730461</v>
      </c>
      <c r="G11" s="6">
        <v>13.823781586578963</v>
      </c>
      <c r="H11" s="6">
        <v>10.166268389359288</v>
      </c>
      <c r="I11" s="6">
        <v>13.863499528485463</v>
      </c>
      <c r="J11" s="6">
        <v>13.493574833412497</v>
      </c>
      <c r="K11" s="6">
        <v>13.837372305222289</v>
      </c>
      <c r="L11" s="6">
        <v>7.6907147089076195</v>
      </c>
      <c r="M11" s="6">
        <v>11.859276401165442</v>
      </c>
      <c r="N11" s="6">
        <v>9.0753649257650686</v>
      </c>
      <c r="O11" s="6">
        <v>9.1141286130358203</v>
      </c>
      <c r="P11" s="6">
        <v>10.508825441569133</v>
      </c>
      <c r="Q11" s="6">
        <v>9.8940388134184989</v>
      </c>
      <c r="R11" s="6">
        <v>12.717504886563619</v>
      </c>
      <c r="S11" s="6">
        <v>9.0640960685174718</v>
      </c>
      <c r="T11" s="6">
        <v>8.410405597669337</v>
      </c>
      <c r="U11" s="6">
        <v>10.392464296621819</v>
      </c>
      <c r="V11" s="6">
        <v>13.134494944129697</v>
      </c>
      <c r="W11" s="7"/>
    </row>
    <row r="12" spans="1:23" x14ac:dyDescent="0.25">
      <c r="A12" s="3" t="s">
        <v>50</v>
      </c>
      <c r="B12" s="5">
        <v>12.094879065574279</v>
      </c>
      <c r="C12" s="6">
        <v>14.367000863816964</v>
      </c>
      <c r="D12" s="6">
        <v>15.203723652264417</v>
      </c>
      <c r="E12" s="6">
        <v>9.5526555223447787</v>
      </c>
      <c r="F12" s="6">
        <v>5.0149517355185518</v>
      </c>
      <c r="G12" s="6">
        <v>13.335473286938408</v>
      </c>
      <c r="H12" s="6">
        <v>11.808589535296818</v>
      </c>
      <c r="I12" s="6">
        <v>8.9785822176575447</v>
      </c>
      <c r="J12" s="6">
        <v>16.33059370862583</v>
      </c>
      <c r="K12" s="6">
        <v>15.927408722687506</v>
      </c>
      <c r="L12" s="6">
        <v>11.542665983285831</v>
      </c>
      <c r="M12" s="6">
        <v>13.531148738861859</v>
      </c>
      <c r="N12" s="6">
        <v>13.123556219685561</v>
      </c>
      <c r="O12" s="6">
        <v>10.651973415765147</v>
      </c>
      <c r="P12" s="6">
        <v>12.974039807471039</v>
      </c>
      <c r="Q12" s="6">
        <v>12.671071737065128</v>
      </c>
      <c r="R12" s="6">
        <v>15.004470100629419</v>
      </c>
      <c r="S12" s="6">
        <v>16.418417497432955</v>
      </c>
      <c r="T12" s="6">
        <v>10.211106746694483</v>
      </c>
      <c r="U12" s="6">
        <v>11.640829838184759</v>
      </c>
      <c r="V12" s="6">
        <v>10.732103502915436</v>
      </c>
      <c r="W12" s="7"/>
    </row>
    <row r="13" spans="1:23" x14ac:dyDescent="0.25">
      <c r="A13" s="3" t="s">
        <v>70</v>
      </c>
      <c r="B13" s="5">
        <v>0.24039640529343256</v>
      </c>
      <c r="C13" s="6">
        <v>1.5333130840454092</v>
      </c>
      <c r="D13" s="6">
        <v>0.01</v>
      </c>
      <c r="E13" s="6">
        <v>1.0074305762937072</v>
      </c>
      <c r="F13" s="6">
        <v>0.94989921006555322</v>
      </c>
      <c r="G13" s="6">
        <v>0.62164183703293796</v>
      </c>
      <c r="H13" s="6">
        <v>0.60818069427510013</v>
      </c>
      <c r="I13" s="6">
        <v>0.4323912707399673</v>
      </c>
      <c r="J13" s="6">
        <v>0.49233178149332274</v>
      </c>
      <c r="K13" s="6">
        <v>1.6444619305210511</v>
      </c>
      <c r="L13" s="6">
        <v>0.74218901687809857</v>
      </c>
      <c r="M13" s="6">
        <v>1.0584873267345671</v>
      </c>
      <c r="N13" s="6">
        <v>0.83704544639320888</v>
      </c>
      <c r="O13" s="6">
        <v>0.56090642544861335</v>
      </c>
      <c r="P13" s="6">
        <v>0.20249913464410016</v>
      </c>
      <c r="Q13" s="6">
        <v>1.5590807056303613</v>
      </c>
      <c r="R13" s="6">
        <v>0.37868610910323491</v>
      </c>
      <c r="S13" s="6">
        <v>0.3270469168860507</v>
      </c>
      <c r="T13" s="6">
        <v>0.4875409269718684</v>
      </c>
      <c r="U13" s="6">
        <v>0.70239726948714387</v>
      </c>
      <c r="V13" s="6">
        <v>1.2722593233163424</v>
      </c>
      <c r="W13" s="7"/>
    </row>
    <row r="14" spans="1:23" x14ac:dyDescent="0.25">
      <c r="A14" s="3" t="s">
        <v>71</v>
      </c>
      <c r="B14" s="5">
        <v>0.01</v>
      </c>
      <c r="C14" s="6">
        <v>0.23987287866538504</v>
      </c>
      <c r="D14" s="6">
        <v>0.01</v>
      </c>
      <c r="E14" s="6">
        <v>0.01</v>
      </c>
      <c r="F14" s="6">
        <v>0.70460544102762368</v>
      </c>
      <c r="G14" s="6">
        <v>0.29671555958063317</v>
      </c>
      <c r="H14" s="6">
        <v>0.54008570700571257</v>
      </c>
      <c r="I14" s="6">
        <v>0.25606409817762543</v>
      </c>
      <c r="J14" s="6">
        <v>0.40325330737632115</v>
      </c>
      <c r="K14" s="6">
        <v>0.20980594679746134</v>
      </c>
      <c r="L14" s="6">
        <v>0.01</v>
      </c>
      <c r="M14" s="6">
        <v>0.27347049491753322</v>
      </c>
      <c r="N14" s="6">
        <v>0.01</v>
      </c>
      <c r="O14" s="6">
        <v>0.43222926993625288</v>
      </c>
      <c r="P14" s="6">
        <v>0.01</v>
      </c>
      <c r="Q14" s="6">
        <v>0.47945907817708605</v>
      </c>
      <c r="R14" s="6">
        <v>0.01</v>
      </c>
      <c r="S14" s="6">
        <v>0.01</v>
      </c>
      <c r="T14" s="6">
        <v>0.01</v>
      </c>
      <c r="U14" s="6">
        <v>0.01</v>
      </c>
      <c r="V14" s="6">
        <v>0.45445152042119979</v>
      </c>
      <c r="W14" s="7"/>
    </row>
    <row r="15" spans="1:23" x14ac:dyDescent="0.25">
      <c r="A15" s="3" t="s">
        <v>51</v>
      </c>
      <c r="B15" s="5">
        <v>1.6848210403692221</v>
      </c>
      <c r="C15" s="6">
        <v>2.7558938242137692</v>
      </c>
      <c r="D15" s="6">
        <v>3.1169911354469519</v>
      </c>
      <c r="E15" s="6">
        <v>3.2658015832871543</v>
      </c>
      <c r="F15" s="6">
        <v>1.8606986324194639</v>
      </c>
      <c r="G15" s="6">
        <v>1.6763673520306821</v>
      </c>
      <c r="H15" s="6">
        <v>2.5920787758730177</v>
      </c>
      <c r="I15" s="6">
        <v>1.3171651125836474</v>
      </c>
      <c r="J15" s="6">
        <v>2.6621824731098749</v>
      </c>
      <c r="K15" s="6">
        <v>1.8950754822324392</v>
      </c>
      <c r="L15" s="6">
        <v>2.1485411849706271</v>
      </c>
      <c r="M15" s="6">
        <v>2.9381349540663537</v>
      </c>
      <c r="N15" s="6">
        <v>1.9874906410933535</v>
      </c>
      <c r="O15" s="6">
        <v>2.5503957180997601</v>
      </c>
      <c r="P15" s="6">
        <v>0.74119775357754103</v>
      </c>
      <c r="Q15" s="6">
        <v>0.62780239409271277</v>
      </c>
      <c r="R15" s="6">
        <v>1.1896154538699626</v>
      </c>
      <c r="S15" s="6">
        <v>1.3482301516619575</v>
      </c>
      <c r="T15" s="6">
        <v>0.68805171934119436</v>
      </c>
      <c r="U15" s="6">
        <v>0.8935279756017529</v>
      </c>
      <c r="V15" s="6">
        <v>2.3834646071528418</v>
      </c>
      <c r="W15" s="7"/>
    </row>
    <row r="16" spans="1:23" x14ac:dyDescent="0.25">
      <c r="A16" s="3" t="s">
        <v>67</v>
      </c>
      <c r="B16" s="5">
        <v>0.01</v>
      </c>
      <c r="C16" s="6">
        <v>1.1229550520073508</v>
      </c>
      <c r="D16" s="6">
        <v>0.01</v>
      </c>
      <c r="E16" s="6">
        <v>1.2764853360020654</v>
      </c>
      <c r="F16" s="6">
        <v>2.8432267465736762</v>
      </c>
      <c r="G16" s="6">
        <v>1.4428810626644435</v>
      </c>
      <c r="H16" s="6">
        <v>1.9144028227853509</v>
      </c>
      <c r="I16" s="6">
        <v>0.57555055754033524</v>
      </c>
      <c r="J16" s="6">
        <v>0.67025427448760577</v>
      </c>
      <c r="K16" s="6">
        <v>0.81285203933219985</v>
      </c>
      <c r="L16" s="6">
        <v>1.241382479552875</v>
      </c>
      <c r="M16" s="6">
        <v>2.1273492629913902</v>
      </c>
      <c r="N16" s="6">
        <v>1.2789305199455778</v>
      </c>
      <c r="O16" s="6">
        <v>0.96368223195522262</v>
      </c>
      <c r="P16" s="6">
        <v>0.01</v>
      </c>
      <c r="Q16" s="6">
        <v>0.76559112272901331</v>
      </c>
      <c r="R16" s="6">
        <v>0.40531701494464267</v>
      </c>
      <c r="S16" s="6">
        <v>0.50378256665382726</v>
      </c>
      <c r="T16" s="6">
        <v>1.2470525626804196</v>
      </c>
      <c r="U16" s="6">
        <v>1.0290082230274977</v>
      </c>
      <c r="V16" s="6">
        <v>2.159777475268462</v>
      </c>
      <c r="W16" s="7"/>
    </row>
    <row r="17" spans="1:23" x14ac:dyDescent="0.25">
      <c r="A17" s="3" t="s">
        <v>52</v>
      </c>
      <c r="B17" s="5">
        <v>1.4870344136360401</v>
      </c>
      <c r="C17" s="6">
        <v>1.4469696671740535</v>
      </c>
      <c r="D17" s="6">
        <v>1.96750234696101</v>
      </c>
      <c r="E17" s="6">
        <v>2.6745437990259893</v>
      </c>
      <c r="F17" s="6">
        <v>1.5217439173213836</v>
      </c>
      <c r="G17" s="6">
        <v>2.1234562557606287</v>
      </c>
      <c r="H17" s="6">
        <v>2.4838228398150717</v>
      </c>
      <c r="I17" s="6">
        <v>0.41895253281286393</v>
      </c>
      <c r="J17" s="6">
        <v>1.5585044890078823</v>
      </c>
      <c r="K17" s="6">
        <v>1.72166060545984</v>
      </c>
      <c r="L17" s="6">
        <v>2.4020287419073263</v>
      </c>
      <c r="M17" s="6">
        <v>1.7347768935296437</v>
      </c>
      <c r="N17" s="6">
        <v>1.9413734412838051</v>
      </c>
      <c r="O17" s="6">
        <v>1.285117717415051</v>
      </c>
      <c r="P17" s="6">
        <v>0.73280514151160303</v>
      </c>
      <c r="Q17" s="6">
        <v>1.1406247135330621</v>
      </c>
      <c r="R17" s="6">
        <v>1.0439455672627695</v>
      </c>
      <c r="S17" s="6">
        <v>0.01</v>
      </c>
      <c r="T17" s="6">
        <v>1.7474988199577108</v>
      </c>
      <c r="U17" s="6">
        <v>1.4247510683526348</v>
      </c>
      <c r="V17" s="6">
        <v>2.9645464922436471</v>
      </c>
      <c r="W17" s="7"/>
    </row>
    <row r="18" spans="1:23" x14ac:dyDescent="0.25">
      <c r="A18" s="3" t="s">
        <v>68</v>
      </c>
      <c r="B18" s="5">
        <v>0.01</v>
      </c>
      <c r="C18" s="6">
        <v>0.80152058515351121</v>
      </c>
      <c r="D18" s="6">
        <v>0.01</v>
      </c>
      <c r="E18" s="6">
        <v>1.0964383662343817</v>
      </c>
      <c r="F18" s="6">
        <v>2.0863173175702223</v>
      </c>
      <c r="G18" s="6">
        <v>2.6729906881134924</v>
      </c>
      <c r="H18" s="6">
        <v>2.7926533838973211</v>
      </c>
      <c r="I18" s="6">
        <v>0.66302628729239033</v>
      </c>
      <c r="J18" s="6">
        <v>2.1309386431535358</v>
      </c>
      <c r="K18" s="6">
        <v>1.0584949102562538</v>
      </c>
      <c r="L18" s="6">
        <v>1.2308443502832436</v>
      </c>
      <c r="M18" s="6">
        <v>1.7625075098975063</v>
      </c>
      <c r="N18" s="6">
        <v>1.1107290395906466</v>
      </c>
      <c r="O18" s="6">
        <v>0.57270561132362774</v>
      </c>
      <c r="P18" s="6">
        <v>0.54715688190338763</v>
      </c>
      <c r="Q18" s="6">
        <v>1.0975805737848372</v>
      </c>
      <c r="R18" s="6">
        <v>0.55574823370051574</v>
      </c>
      <c r="S18" s="6">
        <v>0.50955489190615111</v>
      </c>
      <c r="T18" s="6">
        <v>3.0185309406699918</v>
      </c>
      <c r="U18" s="6">
        <v>1.3457653832620302</v>
      </c>
      <c r="V18" s="6">
        <v>3.3272804178930278</v>
      </c>
      <c r="W18" s="7"/>
    </row>
    <row r="19" spans="1:23" x14ac:dyDescent="0.25">
      <c r="A19" s="3" t="s">
        <v>72</v>
      </c>
      <c r="B19" s="5">
        <v>0.51688752313002717</v>
      </c>
      <c r="C19" s="6">
        <v>0.65869947052326172</v>
      </c>
      <c r="D19" s="6">
        <v>0.01</v>
      </c>
      <c r="E19" s="6">
        <v>0.01</v>
      </c>
      <c r="F19" s="6">
        <v>0.88715613052823383</v>
      </c>
      <c r="G19" s="6">
        <v>0.80283081248916544</v>
      </c>
      <c r="H19" s="6">
        <v>0.23519018564154853</v>
      </c>
      <c r="I19" s="6">
        <v>1.5751554953671272</v>
      </c>
      <c r="J19" s="6">
        <v>0.67698823091874893</v>
      </c>
      <c r="K19" s="6">
        <v>1.045690575942571</v>
      </c>
      <c r="L19" s="6">
        <v>1.9924995945124215</v>
      </c>
      <c r="M19" s="6">
        <v>0.59056381847527528</v>
      </c>
      <c r="N19" s="6">
        <v>1.8460676474539586</v>
      </c>
      <c r="O19" s="6">
        <v>0.2243632741541465</v>
      </c>
      <c r="P19" s="6">
        <v>1.5442276188438733</v>
      </c>
      <c r="Q19" s="6">
        <v>0.33562374591140515</v>
      </c>
      <c r="R19" s="6">
        <v>2.4758589150384012</v>
      </c>
      <c r="S19" s="6">
        <v>0.01</v>
      </c>
      <c r="T19" s="6">
        <v>0.17896121206139487</v>
      </c>
      <c r="U19" s="6">
        <v>0.94441168872437831</v>
      </c>
      <c r="V19" s="6">
        <v>1.8161711408816332</v>
      </c>
      <c r="W19" s="7"/>
    </row>
    <row r="20" spans="1:23" x14ac:dyDescent="0.25">
      <c r="A20" s="3" t="s">
        <v>73</v>
      </c>
      <c r="B20" s="5">
        <v>0.16810736424897432</v>
      </c>
      <c r="C20" s="6">
        <v>0.01</v>
      </c>
      <c r="D20" s="6">
        <v>0.01</v>
      </c>
      <c r="E20" s="6">
        <v>0.01</v>
      </c>
      <c r="F20" s="6">
        <v>0.77092433784036096</v>
      </c>
      <c r="G20" s="6">
        <v>0.01</v>
      </c>
      <c r="H20" s="6">
        <v>0.01</v>
      </c>
      <c r="I20" s="6">
        <v>0.01</v>
      </c>
      <c r="J20" s="6">
        <v>0.3584775325591546</v>
      </c>
      <c r="K20" s="6">
        <v>0.37662775460329129</v>
      </c>
      <c r="L20" s="6">
        <v>0.26453021847614616</v>
      </c>
      <c r="M20" s="6">
        <v>0.01</v>
      </c>
      <c r="N20" s="6">
        <v>0.30517341461633551</v>
      </c>
      <c r="O20" s="6">
        <v>0.01</v>
      </c>
      <c r="P20" s="6">
        <v>0.18104943199541854</v>
      </c>
      <c r="Q20" s="6">
        <v>0.01</v>
      </c>
      <c r="R20" s="6">
        <v>0.01</v>
      </c>
      <c r="S20" s="6">
        <v>0.01</v>
      </c>
      <c r="T20" s="6">
        <v>0.01</v>
      </c>
      <c r="U20" s="6">
        <v>0.01</v>
      </c>
      <c r="V20" s="6">
        <v>0.01</v>
      </c>
      <c r="W20" s="7"/>
    </row>
    <row r="21" spans="1:23" x14ac:dyDescent="0.25">
      <c r="A21" s="3" t="s">
        <v>74</v>
      </c>
      <c r="B21" s="5">
        <v>1.9464946777483734</v>
      </c>
      <c r="C21" s="6">
        <v>0.01</v>
      </c>
      <c r="D21" s="6">
        <v>0.01</v>
      </c>
      <c r="E21" s="6">
        <v>0.52010849509321611</v>
      </c>
      <c r="F21" s="6">
        <v>0.63010896209006317</v>
      </c>
      <c r="G21" s="6">
        <v>0.01</v>
      </c>
      <c r="H21" s="6">
        <v>0.65707032661667797</v>
      </c>
      <c r="I21" s="6">
        <v>0.21088529857488095</v>
      </c>
      <c r="J21" s="6">
        <v>0.01</v>
      </c>
      <c r="K21" s="6">
        <v>0.01</v>
      </c>
      <c r="L21" s="6">
        <v>0.01</v>
      </c>
      <c r="M21" s="6">
        <v>0.01</v>
      </c>
      <c r="N21" s="6">
        <v>0.01</v>
      </c>
      <c r="O21" s="6">
        <v>0.52899002272059747</v>
      </c>
      <c r="P21" s="6">
        <v>0.01</v>
      </c>
      <c r="Q21" s="6">
        <v>0.31812836500062469</v>
      </c>
      <c r="R21" s="6">
        <v>0.01</v>
      </c>
      <c r="S21" s="6">
        <v>0.01</v>
      </c>
      <c r="T21" s="6">
        <v>0.37300347675788714</v>
      </c>
      <c r="U21" s="6">
        <v>0.01</v>
      </c>
      <c r="V21" s="6">
        <v>0.01</v>
      </c>
      <c r="W21" s="7"/>
    </row>
    <row r="22" spans="1:23" x14ac:dyDescent="0.25">
      <c r="A22" s="3" t="s">
        <v>53</v>
      </c>
      <c r="B22" s="5">
        <v>1.3835377953555725</v>
      </c>
      <c r="C22" s="6">
        <v>1.2197051370301404</v>
      </c>
      <c r="D22" s="6">
        <v>2.2797149905152492</v>
      </c>
      <c r="E22" s="6">
        <v>1.6239865855521802</v>
      </c>
      <c r="F22" s="6">
        <v>1.7767772779510274</v>
      </c>
      <c r="G22" s="6">
        <v>1.3876156550386767</v>
      </c>
      <c r="H22" s="6">
        <v>1.9528702928011292</v>
      </c>
      <c r="I22" s="6">
        <v>0.84860093702687178</v>
      </c>
      <c r="J22" s="6">
        <v>0.80149085776326134</v>
      </c>
      <c r="K22" s="6">
        <v>1.1738298055921441</v>
      </c>
      <c r="L22" s="6">
        <v>1.5255861042976879</v>
      </c>
      <c r="M22" s="6">
        <v>0.95825252260941329</v>
      </c>
      <c r="N22" s="6">
        <v>1.0886332978755231</v>
      </c>
      <c r="O22" s="6">
        <v>1.7043298581981465</v>
      </c>
      <c r="P22" s="6">
        <v>0.90458433242277014</v>
      </c>
      <c r="Q22" s="6">
        <v>1.3974976527248895</v>
      </c>
      <c r="R22" s="6">
        <v>1.0017969902708539</v>
      </c>
      <c r="S22" s="6">
        <v>2.063032788957877</v>
      </c>
      <c r="T22" s="6">
        <v>1.4318401737312265</v>
      </c>
      <c r="U22" s="6">
        <v>0.93208480711133512</v>
      </c>
      <c r="V22" s="6">
        <v>0.01</v>
      </c>
      <c r="W22" s="7"/>
    </row>
    <row r="23" spans="1:23" x14ac:dyDescent="0.25">
      <c r="A23" s="3" t="s">
        <v>75</v>
      </c>
      <c r="B23" s="5">
        <v>1.1504014125328328</v>
      </c>
      <c r="C23" s="6">
        <v>0.28494129668318791</v>
      </c>
      <c r="D23" s="6">
        <v>0.01</v>
      </c>
      <c r="E23" s="6">
        <v>0.75222074550079732</v>
      </c>
      <c r="F23" s="6">
        <v>0.01</v>
      </c>
      <c r="G23" s="6">
        <v>0.31660194981548251</v>
      </c>
      <c r="H23" s="6">
        <v>0.01</v>
      </c>
      <c r="I23" s="6">
        <v>0.01</v>
      </c>
      <c r="J23" s="6">
        <v>0.01</v>
      </c>
      <c r="K23" s="6">
        <v>0.23097637934813101</v>
      </c>
      <c r="L23" s="6">
        <v>0.624160979001813</v>
      </c>
      <c r="M23" s="6">
        <v>0.45054040364030762</v>
      </c>
      <c r="N23" s="6">
        <v>0.47289718849401285</v>
      </c>
      <c r="O23" s="6">
        <v>0.49434280155913146</v>
      </c>
      <c r="P23" s="6">
        <v>0.34065853403843838</v>
      </c>
      <c r="Q23" s="6">
        <v>0.2752850577124345</v>
      </c>
      <c r="R23" s="6">
        <v>0.01</v>
      </c>
      <c r="S23" s="6">
        <v>0.5193567917782157</v>
      </c>
      <c r="T23" s="6">
        <v>0.83638162492243739</v>
      </c>
      <c r="U23" s="6">
        <v>0.62374517060225743</v>
      </c>
      <c r="V23" s="6">
        <v>0.01</v>
      </c>
      <c r="W23" s="7"/>
    </row>
    <row r="24" spans="1:23" x14ac:dyDescent="0.25">
      <c r="A24" s="3" t="s">
        <v>69</v>
      </c>
      <c r="B24" s="5">
        <v>0.01</v>
      </c>
      <c r="C24" s="6">
        <v>0.33364540175476892</v>
      </c>
      <c r="D24" s="6">
        <v>0.01</v>
      </c>
      <c r="E24" s="6">
        <v>0.43816250233527598</v>
      </c>
      <c r="F24" s="6">
        <v>0.47690636218516852</v>
      </c>
      <c r="G24" s="6">
        <v>0.01</v>
      </c>
      <c r="H24" s="6">
        <v>0.42359387974841994</v>
      </c>
      <c r="I24" s="6">
        <v>0.01</v>
      </c>
      <c r="J24" s="6">
        <v>0.01</v>
      </c>
      <c r="K24" s="6">
        <v>0.24140535763271034</v>
      </c>
      <c r="L24" s="6">
        <v>0.01</v>
      </c>
      <c r="M24" s="6">
        <v>0.53837640861222757</v>
      </c>
      <c r="N24" s="6">
        <v>0.01</v>
      </c>
      <c r="O24" s="6">
        <v>0.61500027727635931</v>
      </c>
      <c r="P24" s="6">
        <v>0.01</v>
      </c>
      <c r="Q24" s="6">
        <v>0.40304893142493298</v>
      </c>
      <c r="R24" s="6">
        <v>0.01</v>
      </c>
      <c r="S24" s="6">
        <v>0.01</v>
      </c>
      <c r="T24" s="6">
        <v>0.37575259018378671</v>
      </c>
      <c r="U24" s="6">
        <v>0.01</v>
      </c>
      <c r="V24" s="6">
        <v>0.01</v>
      </c>
      <c r="W24" s="7"/>
    </row>
    <row r="25" spans="1:23" x14ac:dyDescent="0.25">
      <c r="A25" s="3" t="s">
        <v>54</v>
      </c>
      <c r="B25" s="5">
        <v>2.4759120898895075</v>
      </c>
      <c r="C25" s="6">
        <v>3.1503268497898382</v>
      </c>
      <c r="D25" s="6">
        <v>3.0315903135422548</v>
      </c>
      <c r="E25" s="6">
        <v>2.3866552479135161</v>
      </c>
      <c r="F25" s="6">
        <v>1.577114659300096</v>
      </c>
      <c r="G25" s="6">
        <v>0.82956105353063758</v>
      </c>
      <c r="H25" s="6">
        <v>4.79911366935674</v>
      </c>
      <c r="I25" s="6">
        <v>0.01</v>
      </c>
      <c r="J25" s="6">
        <v>1.1221816299606313</v>
      </c>
      <c r="K25" s="6">
        <v>1.3773025696649783</v>
      </c>
      <c r="L25" s="6">
        <v>1.3190146776380569</v>
      </c>
      <c r="M25" s="6">
        <v>1.2319814993963112</v>
      </c>
      <c r="N25" s="6">
        <v>0.59991671603492724</v>
      </c>
      <c r="O25" s="6">
        <v>3.8199608911916707</v>
      </c>
      <c r="P25" s="6">
        <v>1.4095541059262786</v>
      </c>
      <c r="Q25" s="6">
        <v>4.0967331440237595</v>
      </c>
      <c r="R25" s="6">
        <v>0.76202722486512042</v>
      </c>
      <c r="S25" s="6">
        <v>4.3167869658573768</v>
      </c>
      <c r="T25" s="6">
        <v>2.5660786666625395</v>
      </c>
      <c r="U25" s="6">
        <v>3.5236430133862733</v>
      </c>
      <c r="V25" s="6">
        <v>0.83307279900496223</v>
      </c>
      <c r="W25" s="7"/>
    </row>
    <row r="26" spans="1:23" x14ac:dyDescent="0.25">
      <c r="A26" s="3" t="s">
        <v>76</v>
      </c>
      <c r="B26" s="5">
        <v>2.8881133420646043</v>
      </c>
      <c r="C26" s="6">
        <v>0.48955470228730336</v>
      </c>
      <c r="D26" s="6">
        <v>0.01</v>
      </c>
      <c r="E26" s="6">
        <v>1.0630368533992762</v>
      </c>
      <c r="F26" s="6">
        <v>0.55540806502685858</v>
      </c>
      <c r="G26" s="6">
        <v>0.46259746312221284</v>
      </c>
      <c r="H26" s="6">
        <v>0.27019524568923142</v>
      </c>
      <c r="I26" s="6">
        <v>0.01</v>
      </c>
      <c r="J26" s="6">
        <v>0.45807766069642403</v>
      </c>
      <c r="K26" s="6">
        <v>0.23209694736395001</v>
      </c>
      <c r="L26" s="6">
        <v>0.56637205875850749</v>
      </c>
      <c r="M26" s="6">
        <v>0.37518229149520932</v>
      </c>
      <c r="N26" s="6">
        <v>0.775696547289768</v>
      </c>
      <c r="O26" s="6">
        <v>0.96116944454349029</v>
      </c>
      <c r="P26" s="6">
        <v>0.7279263518811353</v>
      </c>
      <c r="Q26" s="6">
        <v>0.54155851377840369</v>
      </c>
      <c r="R26" s="6">
        <v>0.01</v>
      </c>
      <c r="S26" s="6">
        <v>0.84303525615170749</v>
      </c>
      <c r="T26" s="6">
        <v>1.3765950901257431</v>
      </c>
      <c r="U26" s="6">
        <v>1.4748815768396073</v>
      </c>
      <c r="V26" s="6">
        <v>0.01</v>
      </c>
      <c r="W26" s="7"/>
    </row>
    <row r="27" spans="1:23" x14ac:dyDescent="0.25">
      <c r="A27" s="3" t="s">
        <v>77</v>
      </c>
      <c r="B27" s="5">
        <v>1.112825243354572</v>
      </c>
      <c r="C27" s="6">
        <v>0.01</v>
      </c>
      <c r="D27" s="6">
        <v>0.01</v>
      </c>
      <c r="E27" s="6">
        <v>0.57297281488838869</v>
      </c>
      <c r="F27" s="6">
        <v>0.63251853538922387</v>
      </c>
      <c r="G27" s="6">
        <v>0.01</v>
      </c>
      <c r="H27" s="6">
        <v>0.93774843423641152</v>
      </c>
      <c r="I27" s="6">
        <v>0.47381715706762351</v>
      </c>
      <c r="J27" s="6">
        <v>0.56868562004388135</v>
      </c>
      <c r="K27" s="6">
        <v>0.01</v>
      </c>
      <c r="L27" s="6">
        <v>0.01</v>
      </c>
      <c r="M27" s="6">
        <v>0.47249980269170505</v>
      </c>
      <c r="N27" s="6">
        <v>0.01</v>
      </c>
      <c r="O27" s="6">
        <v>0.01</v>
      </c>
      <c r="P27" s="6">
        <v>0.01</v>
      </c>
      <c r="Q27" s="6">
        <v>0.01</v>
      </c>
      <c r="R27" s="6">
        <v>0.82215739885270933</v>
      </c>
      <c r="S27" s="6">
        <v>0.01</v>
      </c>
      <c r="T27" s="6">
        <v>0.01</v>
      </c>
      <c r="U27" s="6">
        <v>0.01</v>
      </c>
      <c r="V27" s="6">
        <v>0.01</v>
      </c>
      <c r="W27" s="7"/>
    </row>
    <row r="28" spans="1:23" x14ac:dyDescent="0.25">
      <c r="A28" s="3" t="s">
        <v>55</v>
      </c>
      <c r="B28" s="5">
        <v>2.3394738401298061</v>
      </c>
      <c r="C28" s="6">
        <v>1.5548589482212056</v>
      </c>
      <c r="D28" s="6">
        <v>2.8452645957946761</v>
      </c>
      <c r="E28" s="6">
        <v>2.289436604707495</v>
      </c>
      <c r="F28" s="6">
        <v>5.9355476929829285</v>
      </c>
      <c r="G28" s="6">
        <v>2.4994510536524883</v>
      </c>
      <c r="H28" s="6">
        <v>1.9647021330989161</v>
      </c>
      <c r="I28" s="6">
        <v>3.8624409512693312</v>
      </c>
      <c r="J28" s="6">
        <v>1.1955042509836498</v>
      </c>
      <c r="K28" s="6">
        <v>1.5409285739867016</v>
      </c>
      <c r="L28" s="6">
        <v>4.5999609098331558</v>
      </c>
      <c r="M28" s="6">
        <v>1.9310668925412253</v>
      </c>
      <c r="N28" s="6">
        <v>1.8965588396244366</v>
      </c>
      <c r="O28" s="6">
        <v>1.7142812445731459</v>
      </c>
      <c r="P28" s="6">
        <v>3.0213916764120841</v>
      </c>
      <c r="Q28" s="6">
        <v>2.0171067075303815</v>
      </c>
      <c r="R28" s="6">
        <v>2.2822016934364808</v>
      </c>
      <c r="S28" s="6">
        <v>2.3739873686780126</v>
      </c>
      <c r="T28" s="6">
        <v>2.0801217813517394</v>
      </c>
      <c r="U28" s="6">
        <v>1.4770304019165597</v>
      </c>
      <c r="V28" s="6">
        <v>1.0782586613690197</v>
      </c>
      <c r="W28" s="7"/>
    </row>
    <row r="29" spans="1:23" x14ac:dyDescent="0.25">
      <c r="A29" s="3" t="s">
        <v>56</v>
      </c>
      <c r="B29" s="5">
        <v>4.172771894003164</v>
      </c>
      <c r="C29" s="6">
        <v>2.1390013983478418</v>
      </c>
      <c r="D29" s="6">
        <v>4.7056856081415015</v>
      </c>
      <c r="E29" s="6">
        <v>3.9175405600634794</v>
      </c>
      <c r="F29" s="6">
        <v>8.7584552992950577</v>
      </c>
      <c r="G29" s="6">
        <v>4.4808976134871674</v>
      </c>
      <c r="H29" s="6">
        <v>2.1494468067962358</v>
      </c>
      <c r="I29" s="6">
        <v>5.9010815148993414</v>
      </c>
      <c r="J29" s="6">
        <v>2.4894095035646129</v>
      </c>
      <c r="K29" s="6">
        <v>2.2907323799382429</v>
      </c>
      <c r="L29" s="6">
        <v>4.6244204939357108</v>
      </c>
      <c r="M29" s="6">
        <v>3.3158932188680454</v>
      </c>
      <c r="N29" s="6">
        <v>3.9405323255601683</v>
      </c>
      <c r="O29" s="6">
        <v>2.9214062417808595</v>
      </c>
      <c r="P29" s="6">
        <v>2.6163026783030641</v>
      </c>
      <c r="Q29" s="6">
        <v>3.3426792278628779</v>
      </c>
      <c r="R29" s="6">
        <v>3.8587172742896088</v>
      </c>
      <c r="S29" s="6">
        <v>3.9367882183737386</v>
      </c>
      <c r="T29" s="6">
        <v>4.2826973639433161</v>
      </c>
      <c r="U29" s="6">
        <v>2.5085688466668836</v>
      </c>
      <c r="V29" s="6">
        <v>1.9633816364457619</v>
      </c>
      <c r="W29" s="7"/>
    </row>
    <row r="30" spans="1:23" x14ac:dyDescent="0.25">
      <c r="A30" s="3" t="s">
        <v>78</v>
      </c>
      <c r="B30" s="5">
        <v>0.93577986765455023</v>
      </c>
      <c r="C30" s="6">
        <v>0.33460616898339562</v>
      </c>
      <c r="D30" s="6">
        <v>0.01</v>
      </c>
      <c r="E30" s="6">
        <v>0.82041743159970681</v>
      </c>
      <c r="F30" s="6">
        <v>0.01</v>
      </c>
      <c r="G30" s="6">
        <v>0.53043744204102261</v>
      </c>
      <c r="H30" s="6">
        <v>0.01</v>
      </c>
      <c r="I30" s="6">
        <v>0.62236957360363432</v>
      </c>
      <c r="J30" s="6">
        <v>0.01</v>
      </c>
      <c r="K30" s="6">
        <v>0.30320508631231835</v>
      </c>
      <c r="L30" s="6">
        <v>1.0304107327267811</v>
      </c>
      <c r="M30" s="6">
        <v>0.01</v>
      </c>
      <c r="N30" s="6">
        <v>0.82138596155465016</v>
      </c>
      <c r="O30" s="6">
        <v>0.4584840064144371</v>
      </c>
      <c r="P30" s="6">
        <v>0.57720975304915245</v>
      </c>
      <c r="Q30" s="6">
        <v>0.29933633541253263</v>
      </c>
      <c r="R30" s="6">
        <v>0.56424200874404318</v>
      </c>
      <c r="S30" s="6">
        <v>0.58993000288491471</v>
      </c>
      <c r="T30" s="6">
        <v>1.4458381109554577</v>
      </c>
      <c r="U30" s="6">
        <v>1.0563596833954783</v>
      </c>
      <c r="V30" s="6">
        <v>0.01</v>
      </c>
      <c r="W30" s="7"/>
    </row>
    <row r="31" spans="1:23" x14ac:dyDescent="0.25">
      <c r="A31" s="3" t="s">
        <v>57</v>
      </c>
      <c r="B31" s="5">
        <v>1.2230069291140617</v>
      </c>
      <c r="C31" s="6">
        <v>1.8040174370262143</v>
      </c>
      <c r="D31" s="6">
        <v>3.1289324865254078</v>
      </c>
      <c r="E31" s="6">
        <v>1.8776157658379078</v>
      </c>
      <c r="F31" s="6">
        <v>0.01</v>
      </c>
      <c r="G31" s="6">
        <v>0.51515398833765513</v>
      </c>
      <c r="H31" s="6">
        <v>1.6056724129516537</v>
      </c>
      <c r="I31" s="6">
        <v>0.44437927863431964</v>
      </c>
      <c r="J31" s="6">
        <v>0.96264579782869353</v>
      </c>
      <c r="K31" s="6">
        <v>0.35383886754345056</v>
      </c>
      <c r="L31" s="6">
        <v>0.01</v>
      </c>
      <c r="M31" s="6">
        <v>1.0866589020329305</v>
      </c>
      <c r="N31" s="6">
        <v>0.01</v>
      </c>
      <c r="O31" s="6">
        <v>2.8372207902182094</v>
      </c>
      <c r="P31" s="6">
        <v>0.01</v>
      </c>
      <c r="Q31" s="6">
        <v>1.6041512155065902</v>
      </c>
      <c r="R31" s="6">
        <v>0.9685605131462901</v>
      </c>
      <c r="S31" s="6">
        <v>1.1697502470653482</v>
      </c>
      <c r="T31" s="6">
        <v>1.0600140340201234</v>
      </c>
      <c r="U31" s="6">
        <v>0.01</v>
      </c>
      <c r="V31" s="6">
        <v>0.01</v>
      </c>
      <c r="W31" s="7"/>
    </row>
    <row r="32" spans="1:23" x14ac:dyDescent="0.25">
      <c r="A32" s="3" t="s">
        <v>58</v>
      </c>
      <c r="B32" s="5">
        <v>0.01</v>
      </c>
      <c r="C32" s="6">
        <v>1.7119461581732707</v>
      </c>
      <c r="D32" s="6">
        <v>1.058306269151335</v>
      </c>
      <c r="E32" s="6">
        <v>0.58468388868535115</v>
      </c>
      <c r="F32" s="6">
        <v>0.01</v>
      </c>
      <c r="G32" s="6">
        <v>0.63931923493027676</v>
      </c>
      <c r="H32" s="6">
        <v>1.6978882171773262</v>
      </c>
      <c r="I32" s="6">
        <v>0.01</v>
      </c>
      <c r="J32" s="6">
        <v>0.01</v>
      </c>
      <c r="K32" s="6">
        <v>0.90865026890010225</v>
      </c>
      <c r="L32" s="6">
        <v>0.65719190444853048</v>
      </c>
      <c r="M32" s="6">
        <v>0.01</v>
      </c>
      <c r="N32" s="6">
        <v>0.01</v>
      </c>
      <c r="O32" s="6">
        <v>1.097850960020583</v>
      </c>
      <c r="P32" s="6">
        <v>1.2460918169902975</v>
      </c>
      <c r="Q32" s="6">
        <v>2.3559091948428179</v>
      </c>
      <c r="R32" s="6">
        <v>0.01</v>
      </c>
      <c r="S32" s="6">
        <v>1.5589993557962007</v>
      </c>
      <c r="T32" s="6">
        <v>0.01</v>
      </c>
      <c r="U32" s="6">
        <v>0.77936596748391962</v>
      </c>
      <c r="V32" s="6">
        <v>0.01</v>
      </c>
      <c r="W32" s="7"/>
    </row>
    <row r="33" spans="1:23" x14ac:dyDescent="0.25">
      <c r="A33" s="3" t="s">
        <v>59</v>
      </c>
      <c r="B33" s="5">
        <v>1.8952540309820038</v>
      </c>
      <c r="C33" s="6">
        <v>3.303846522504561</v>
      </c>
      <c r="D33" s="6">
        <v>2.4489198332406681</v>
      </c>
      <c r="E33" s="6">
        <v>2.7647364745626697</v>
      </c>
      <c r="F33" s="6">
        <v>0.98205585257253569</v>
      </c>
      <c r="G33" s="6">
        <v>1.1124662519555004</v>
      </c>
      <c r="H33" s="6">
        <v>1.0102875169351093</v>
      </c>
      <c r="I33" s="6">
        <v>0.27827804389871164</v>
      </c>
      <c r="J33" s="6">
        <v>1.0227923417026137</v>
      </c>
      <c r="K33" s="6">
        <v>1.6762118768451961</v>
      </c>
      <c r="L33" s="6">
        <v>1.9954719745709104</v>
      </c>
      <c r="M33" s="6">
        <v>1.5902661997457916</v>
      </c>
      <c r="N33" s="6">
        <v>1.275792315475605</v>
      </c>
      <c r="O33" s="6">
        <v>2.5379054972490862</v>
      </c>
      <c r="P33" s="6">
        <v>3.9374636000954935</v>
      </c>
      <c r="Q33" s="6">
        <v>3.9343074207876141</v>
      </c>
      <c r="R33" s="6">
        <v>0.01</v>
      </c>
      <c r="S33" s="6">
        <v>3.4803633764652653</v>
      </c>
      <c r="T33" s="6">
        <v>4.9304661700936459</v>
      </c>
      <c r="U33" s="6">
        <v>4.8830626791582041</v>
      </c>
      <c r="V33" s="6">
        <v>0.94144695177522697</v>
      </c>
      <c r="W33" s="7"/>
    </row>
    <row r="34" spans="1:23" x14ac:dyDescent="0.25">
      <c r="A34" s="3" t="s">
        <v>79</v>
      </c>
      <c r="B34" s="5">
        <v>2.6855409658998219</v>
      </c>
      <c r="C34" s="6">
        <v>0.67471630171155117</v>
      </c>
      <c r="D34" s="6">
        <v>0.01</v>
      </c>
      <c r="E34" s="6">
        <v>1.4525549222335807</v>
      </c>
      <c r="F34" s="6">
        <v>0.72918436361391359</v>
      </c>
      <c r="G34" s="6">
        <v>0.87977021012447498</v>
      </c>
      <c r="H34" s="6">
        <v>0.01</v>
      </c>
      <c r="I34" s="6">
        <v>0.496091682989105</v>
      </c>
      <c r="J34" s="6">
        <v>0.46047842088652341</v>
      </c>
      <c r="K34" s="6">
        <v>0.45270794716351553</v>
      </c>
      <c r="L34" s="6">
        <v>1.8270808721324798</v>
      </c>
      <c r="M34" s="6">
        <v>0.59240319099560335</v>
      </c>
      <c r="N34" s="6">
        <v>1.9492333482625523</v>
      </c>
      <c r="O34" s="6">
        <v>0.84395490795380024</v>
      </c>
      <c r="P34" s="6">
        <v>1.3533052631801985</v>
      </c>
      <c r="Q34" s="6">
        <v>0.55522866450832442</v>
      </c>
      <c r="R34" s="6">
        <v>0.55118080960365423</v>
      </c>
      <c r="S34" s="6">
        <v>1.1284330959034949</v>
      </c>
      <c r="T34" s="6">
        <v>5.2778238090932152</v>
      </c>
      <c r="U34" s="6">
        <v>3.9617760996725759</v>
      </c>
      <c r="V34" s="6">
        <v>0.66580231706752147</v>
      </c>
      <c r="W34" s="7"/>
    </row>
    <row r="35" spans="1:23" x14ac:dyDescent="0.25">
      <c r="A35" s="3" t="s">
        <v>80</v>
      </c>
      <c r="B35" s="5">
        <v>0.01</v>
      </c>
      <c r="C35" s="6">
        <v>0.01</v>
      </c>
      <c r="D35" s="6">
        <v>0.01</v>
      </c>
      <c r="E35" s="6">
        <v>0.01</v>
      </c>
      <c r="F35" s="6">
        <v>0.01</v>
      </c>
      <c r="G35" s="6">
        <v>0.01</v>
      </c>
      <c r="H35" s="6">
        <v>0.01</v>
      </c>
      <c r="I35" s="6">
        <v>0.01</v>
      </c>
      <c r="J35" s="6">
        <v>0.01</v>
      </c>
      <c r="K35" s="6">
        <v>0.01</v>
      </c>
      <c r="L35" s="6">
        <v>0.01</v>
      </c>
      <c r="M35" s="6">
        <v>0.01</v>
      </c>
      <c r="N35" s="6">
        <v>0.01</v>
      </c>
      <c r="O35" s="6">
        <v>0.01</v>
      </c>
      <c r="P35" s="6">
        <v>0.01</v>
      </c>
      <c r="Q35" s="6">
        <v>0.01</v>
      </c>
      <c r="R35" s="6">
        <v>0.01</v>
      </c>
      <c r="S35" s="6">
        <v>0.01</v>
      </c>
      <c r="T35" s="6">
        <v>0.01</v>
      </c>
      <c r="U35" s="6">
        <v>0.58812894080473965</v>
      </c>
      <c r="V35" s="6">
        <v>0.01</v>
      </c>
      <c r="W35" s="7"/>
    </row>
    <row r="36" spans="1:23" x14ac:dyDescent="0.25">
      <c r="A36" s="3" t="s">
        <v>60</v>
      </c>
      <c r="B36" s="5">
        <v>0.61000350423983085</v>
      </c>
      <c r="C36" s="6">
        <v>0.44539574867280379</v>
      </c>
      <c r="D36" s="6">
        <v>0.71624723043441119</v>
      </c>
      <c r="E36" s="6">
        <v>0.48247510153453294</v>
      </c>
      <c r="F36" s="6">
        <v>0.01</v>
      </c>
      <c r="G36" s="6">
        <v>0.01</v>
      </c>
      <c r="H36" s="6">
        <v>0.01</v>
      </c>
      <c r="I36" s="6">
        <v>0.01</v>
      </c>
      <c r="J36" s="6">
        <v>0.47403193943050825</v>
      </c>
      <c r="K36" s="6">
        <v>0.60478686042869667</v>
      </c>
      <c r="L36" s="6">
        <v>0.01</v>
      </c>
      <c r="M36" s="6">
        <v>0.80891299624955026</v>
      </c>
      <c r="N36" s="6">
        <v>0.01</v>
      </c>
      <c r="O36" s="6">
        <v>0.6113952563545404</v>
      </c>
      <c r="P36" s="6">
        <v>0.01</v>
      </c>
      <c r="Q36" s="6">
        <v>0.20398272546906243</v>
      </c>
      <c r="R36" s="6">
        <v>0.01</v>
      </c>
      <c r="S36" s="6">
        <v>0.65487044472466871</v>
      </c>
      <c r="T36" s="6">
        <v>1.0982817137119512</v>
      </c>
      <c r="U36" s="6">
        <v>1.186186995378866</v>
      </c>
      <c r="V36" s="6">
        <v>0.35553410544300795</v>
      </c>
      <c r="W36" s="7"/>
    </row>
    <row r="37" spans="1:23" x14ac:dyDescent="0.25">
      <c r="A37" s="3" t="s">
        <v>81</v>
      </c>
      <c r="B37" s="5">
        <v>0.01</v>
      </c>
      <c r="C37" s="6">
        <v>0.01</v>
      </c>
      <c r="D37" s="6">
        <v>0.01</v>
      </c>
      <c r="E37" s="6">
        <v>0.01</v>
      </c>
      <c r="F37" s="6">
        <v>0.01</v>
      </c>
      <c r="G37" s="6">
        <v>0.27008815257586649</v>
      </c>
      <c r="H37" s="6">
        <v>0.01</v>
      </c>
      <c r="I37" s="6">
        <v>0.01</v>
      </c>
      <c r="J37" s="6">
        <v>0.01</v>
      </c>
      <c r="K37" s="6">
        <v>0.01</v>
      </c>
      <c r="L37" s="6">
        <v>0.01</v>
      </c>
      <c r="M37" s="6">
        <v>0.01</v>
      </c>
      <c r="N37" s="6">
        <v>0.01</v>
      </c>
      <c r="O37" s="6">
        <v>0.39933028613850063</v>
      </c>
      <c r="P37" s="6">
        <v>0.01</v>
      </c>
      <c r="Q37" s="6">
        <v>0.01</v>
      </c>
      <c r="R37" s="6">
        <v>0.01</v>
      </c>
      <c r="S37" s="6">
        <v>0.01</v>
      </c>
      <c r="T37" s="6">
        <v>1.1620551122343492</v>
      </c>
      <c r="U37" s="6">
        <v>0.97199004036532077</v>
      </c>
      <c r="V37" s="6">
        <v>0.01</v>
      </c>
      <c r="W37" s="7"/>
    </row>
    <row r="38" spans="1:23" x14ac:dyDescent="0.25">
      <c r="A38" s="3" t="s">
        <v>82</v>
      </c>
      <c r="B38" s="5">
        <v>0.37703041864637959</v>
      </c>
      <c r="C38" s="6">
        <v>0.01</v>
      </c>
      <c r="D38" s="6">
        <v>0.01</v>
      </c>
      <c r="E38" s="6">
        <v>0.01</v>
      </c>
      <c r="F38" s="6">
        <v>0.01</v>
      </c>
      <c r="G38" s="6">
        <v>0.01</v>
      </c>
      <c r="H38" s="6">
        <v>0.01</v>
      </c>
      <c r="I38" s="6">
        <v>0.01</v>
      </c>
      <c r="J38" s="6">
        <v>0.01</v>
      </c>
      <c r="K38" s="6">
        <v>0.01</v>
      </c>
      <c r="L38" s="6">
        <v>0.01</v>
      </c>
      <c r="M38" s="6">
        <v>0.01</v>
      </c>
      <c r="N38" s="6">
        <v>0.01</v>
      </c>
      <c r="O38" s="6">
        <v>0.01</v>
      </c>
      <c r="P38" s="6">
        <v>0.25867750704294068</v>
      </c>
      <c r="Q38" s="6">
        <v>0.01</v>
      </c>
      <c r="R38" s="6">
        <v>0.01</v>
      </c>
      <c r="S38" s="6">
        <v>0.01</v>
      </c>
      <c r="T38" s="6">
        <v>0.6629615031893471</v>
      </c>
      <c r="U38" s="6">
        <v>0.59298442370724247</v>
      </c>
      <c r="V38" s="6">
        <v>0.01</v>
      </c>
      <c r="W38" s="7"/>
    </row>
    <row r="39" spans="1:23" x14ac:dyDescent="0.25">
      <c r="A39" s="3" t="s">
        <v>83</v>
      </c>
      <c r="B39" s="5">
        <v>0.01</v>
      </c>
      <c r="C39" s="6">
        <v>0.01</v>
      </c>
      <c r="D39" s="6">
        <v>0.01</v>
      </c>
      <c r="E39" s="6">
        <v>0.01</v>
      </c>
      <c r="F39" s="6">
        <v>0.01</v>
      </c>
      <c r="G39" s="6">
        <v>0.01</v>
      </c>
      <c r="H39" s="6">
        <v>0.85332010790514867</v>
      </c>
      <c r="I39" s="6">
        <v>0.33595563893123143</v>
      </c>
      <c r="J39" s="6">
        <v>0.86495366141804797</v>
      </c>
      <c r="K39" s="6">
        <v>0.01</v>
      </c>
      <c r="L39" s="6">
        <v>0.01</v>
      </c>
      <c r="M39" s="6">
        <v>0.01</v>
      </c>
      <c r="N39" s="6">
        <v>0.01</v>
      </c>
      <c r="O39" s="6">
        <v>0.01</v>
      </c>
      <c r="P39" s="6">
        <v>0.01</v>
      </c>
      <c r="Q39" s="6">
        <v>0.01</v>
      </c>
      <c r="R39" s="6">
        <v>0.65764861587894163</v>
      </c>
      <c r="S39" s="6">
        <v>0.01</v>
      </c>
      <c r="T39" s="6">
        <v>0.01</v>
      </c>
      <c r="U39" s="6">
        <v>0.76980687439813733</v>
      </c>
      <c r="V39" s="6">
        <v>0.01</v>
      </c>
      <c r="W39" s="7"/>
    </row>
    <row r="40" spans="1:23" x14ac:dyDescent="0.25">
      <c r="A40" s="3" t="s">
        <v>84</v>
      </c>
      <c r="B40" s="5">
        <v>0.01</v>
      </c>
      <c r="C40" s="6">
        <v>0.41120196279590093</v>
      </c>
      <c r="D40" s="6">
        <v>0.01</v>
      </c>
      <c r="E40" s="6">
        <v>0.01</v>
      </c>
      <c r="F40" s="6">
        <v>1.181017578467721</v>
      </c>
      <c r="G40" s="6">
        <v>0.52758440809056095</v>
      </c>
      <c r="H40" s="6">
        <v>0.80942191259395846</v>
      </c>
      <c r="I40" s="6">
        <v>0.95041383017547532</v>
      </c>
      <c r="J40" s="6">
        <v>0.01</v>
      </c>
      <c r="K40" s="6">
        <v>0.38075837238524529</v>
      </c>
      <c r="L40" s="6">
        <v>0.01</v>
      </c>
      <c r="M40" s="6">
        <v>0.01</v>
      </c>
      <c r="N40" s="6">
        <v>0.46313606626910619</v>
      </c>
      <c r="O40" s="6">
        <v>0.01</v>
      </c>
      <c r="P40" s="6">
        <v>0.01</v>
      </c>
      <c r="Q40" s="6">
        <v>0.30366656751445043</v>
      </c>
      <c r="R40" s="6">
        <v>0.58356230584670565</v>
      </c>
      <c r="S40" s="6">
        <v>0.01</v>
      </c>
      <c r="T40" s="6">
        <v>0.59223299635637383</v>
      </c>
      <c r="U40" s="6">
        <v>0.01</v>
      </c>
      <c r="V40" s="6">
        <v>0.24150439524172651</v>
      </c>
      <c r="W40" s="7"/>
    </row>
    <row r="41" spans="1:23" x14ac:dyDescent="0.25">
      <c r="A41" s="3" t="s">
        <v>61</v>
      </c>
      <c r="B41" s="5">
        <v>1.0312358404930471</v>
      </c>
      <c r="C41" s="6">
        <v>0.75905728406935746</v>
      </c>
      <c r="D41" s="6">
        <v>1.2428919326116457</v>
      </c>
      <c r="E41" s="6">
        <v>0.95246451467066573</v>
      </c>
      <c r="F41" s="6">
        <v>2.9544840970274202</v>
      </c>
      <c r="G41" s="6">
        <v>1.0416409253843488</v>
      </c>
      <c r="H41" s="6">
        <v>0.80449125556510059</v>
      </c>
      <c r="I41" s="6">
        <v>1.5654559120775597</v>
      </c>
      <c r="J41" s="6">
        <v>0.01</v>
      </c>
      <c r="K41" s="6">
        <v>0.67734211482574214</v>
      </c>
      <c r="L41" s="6">
        <v>1.0578311622499494</v>
      </c>
      <c r="M41" s="6">
        <v>0.96767019228323514</v>
      </c>
      <c r="N41" s="6">
        <v>0.80715434662612473</v>
      </c>
      <c r="O41" s="6">
        <v>0.56712738283718078</v>
      </c>
      <c r="P41" s="6">
        <v>0.60702120371308244</v>
      </c>
      <c r="Q41" s="6">
        <v>1.054284565599733</v>
      </c>
      <c r="R41" s="6">
        <v>0.65641725966386288</v>
      </c>
      <c r="S41" s="6">
        <v>1.190362303984482</v>
      </c>
      <c r="T41" s="6">
        <v>1.4047940568400337</v>
      </c>
      <c r="U41" s="6">
        <v>0.01</v>
      </c>
      <c r="V41" s="6">
        <v>0.57927005372584595</v>
      </c>
      <c r="W41" s="7"/>
    </row>
    <row r="42" spans="1:23" x14ac:dyDescent="0.25">
      <c r="A42" s="3" t="s">
        <v>85</v>
      </c>
      <c r="B42" s="5">
        <v>0.01</v>
      </c>
      <c r="C42" s="6">
        <v>0.01</v>
      </c>
      <c r="D42" s="6">
        <v>0.01</v>
      </c>
      <c r="E42" s="6">
        <v>0.01</v>
      </c>
      <c r="F42" s="6">
        <v>1.5798238422891748</v>
      </c>
      <c r="G42" s="6">
        <v>0.66699851431552659</v>
      </c>
      <c r="H42" s="6">
        <v>0.7104159531180243</v>
      </c>
      <c r="I42" s="6">
        <v>1.0915713030256153</v>
      </c>
      <c r="J42" s="6">
        <v>0.01</v>
      </c>
      <c r="K42" s="6">
        <v>0.46806906154693573</v>
      </c>
      <c r="L42" s="6">
        <v>0.01</v>
      </c>
      <c r="M42" s="6">
        <v>0.01</v>
      </c>
      <c r="N42" s="6">
        <v>0.01</v>
      </c>
      <c r="O42" s="6">
        <v>0.01</v>
      </c>
      <c r="P42" s="6">
        <v>0.01</v>
      </c>
      <c r="Q42" s="6">
        <v>0.01</v>
      </c>
      <c r="R42" s="6">
        <v>0.8778845231406982</v>
      </c>
      <c r="S42" s="6">
        <v>0.01</v>
      </c>
      <c r="T42" s="6">
        <v>1.7281335000025804</v>
      </c>
      <c r="U42" s="6">
        <v>0.01</v>
      </c>
      <c r="V42" s="6">
        <v>0.01</v>
      </c>
      <c r="W42" s="7"/>
    </row>
    <row r="43" spans="1:23" x14ac:dyDescent="0.25">
      <c r="A43" s="3" t="s">
        <v>86</v>
      </c>
      <c r="B43" s="5">
        <v>0.01</v>
      </c>
      <c r="C43" s="6">
        <v>0.47608895403983864</v>
      </c>
      <c r="D43" s="6">
        <v>0.01</v>
      </c>
      <c r="E43" s="6">
        <v>0.01</v>
      </c>
      <c r="F43" s="6">
        <v>0.01</v>
      </c>
      <c r="G43" s="6">
        <v>0.01</v>
      </c>
      <c r="H43" s="6">
        <v>0.01</v>
      </c>
      <c r="I43" s="6">
        <v>0.01</v>
      </c>
      <c r="J43" s="6">
        <v>0.01</v>
      </c>
      <c r="K43" s="6">
        <v>0.01</v>
      </c>
      <c r="L43" s="6">
        <v>0.01</v>
      </c>
      <c r="M43" s="6">
        <v>0.01</v>
      </c>
      <c r="N43" s="6">
        <v>0.01</v>
      </c>
      <c r="O43" s="6">
        <v>0.31274850469324572</v>
      </c>
      <c r="P43" s="6">
        <v>0.01</v>
      </c>
      <c r="Q43" s="6">
        <v>0.01</v>
      </c>
      <c r="R43" s="6">
        <v>0.01</v>
      </c>
      <c r="S43" s="6">
        <v>0.01</v>
      </c>
      <c r="T43" s="6">
        <v>0.01</v>
      </c>
      <c r="U43" s="6">
        <v>0.86407481224257154</v>
      </c>
      <c r="V43" s="6">
        <v>0.01</v>
      </c>
      <c r="W43" s="7"/>
    </row>
    <row r="44" spans="1:23" x14ac:dyDescent="0.25">
      <c r="A44" s="3" t="s">
        <v>62</v>
      </c>
      <c r="B44" s="5">
        <v>0.54510317117694984</v>
      </c>
      <c r="C44" s="6">
        <v>0.97938298131082302</v>
      </c>
      <c r="D44" s="6">
        <v>0.97707193893392252</v>
      </c>
      <c r="E44" s="6">
        <v>0.75145094917440813</v>
      </c>
      <c r="F44" s="6">
        <v>0.01</v>
      </c>
      <c r="G44" s="6">
        <v>0.01</v>
      </c>
      <c r="H44" s="6">
        <v>0.01</v>
      </c>
      <c r="I44" s="6">
        <v>0.01</v>
      </c>
      <c r="J44" s="6">
        <v>0.01</v>
      </c>
      <c r="K44" s="6">
        <v>0.55569201548636449</v>
      </c>
      <c r="L44" s="6">
        <v>0.01</v>
      </c>
      <c r="M44" s="6">
        <v>0.74870960637182826</v>
      </c>
      <c r="N44" s="6">
        <v>0.01</v>
      </c>
      <c r="O44" s="6">
        <v>0.01</v>
      </c>
      <c r="P44" s="6">
        <v>1.2602872068260935</v>
      </c>
      <c r="Q44" s="6">
        <v>1.2262809917790993</v>
      </c>
      <c r="R44" s="6">
        <v>0.01</v>
      </c>
      <c r="S44" s="6">
        <v>1.9870947226495765</v>
      </c>
      <c r="T44" s="6">
        <v>0.97430285684898632</v>
      </c>
      <c r="U44" s="6">
        <v>0.01</v>
      </c>
      <c r="V44" s="6">
        <v>0.01</v>
      </c>
      <c r="W44" s="7"/>
    </row>
    <row r="45" spans="1:23" x14ac:dyDescent="0.25">
      <c r="A45" s="3" t="s">
        <v>87</v>
      </c>
      <c r="B45" s="5">
        <v>1.4091262959811339</v>
      </c>
      <c r="C45" s="6">
        <v>0.01</v>
      </c>
      <c r="D45" s="6">
        <v>0.01</v>
      </c>
      <c r="E45" s="6">
        <v>0.43277531202317232</v>
      </c>
      <c r="F45" s="6">
        <v>0.01</v>
      </c>
      <c r="G45" s="6">
        <v>0.01</v>
      </c>
      <c r="H45" s="6">
        <v>0.01</v>
      </c>
      <c r="I45" s="6">
        <v>0.01</v>
      </c>
      <c r="J45" s="6">
        <v>0.01</v>
      </c>
      <c r="K45" s="6">
        <v>0.01</v>
      </c>
      <c r="L45" s="6">
        <v>0.01</v>
      </c>
      <c r="M45" s="6">
        <v>0.01</v>
      </c>
      <c r="N45" s="6">
        <v>0.5428384240000752</v>
      </c>
      <c r="O45" s="6">
        <v>0.01</v>
      </c>
      <c r="P45" s="6">
        <v>0.6120823476257905</v>
      </c>
      <c r="Q45" s="6">
        <v>0.01</v>
      </c>
      <c r="R45" s="6">
        <v>0.01</v>
      </c>
      <c r="S45" s="6">
        <v>0.65708980272448358</v>
      </c>
      <c r="T45" s="6">
        <v>1.388043495632171</v>
      </c>
      <c r="U45" s="6">
        <v>0.56939169237611298</v>
      </c>
      <c r="V45" s="6">
        <v>0.44064987613903961</v>
      </c>
      <c r="W45" s="7"/>
    </row>
    <row r="46" spans="1:23" x14ac:dyDescent="0.25">
      <c r="A46" s="3" t="s">
        <v>63</v>
      </c>
      <c r="B46" s="5">
        <v>2.3307961674408455</v>
      </c>
      <c r="C46" s="6">
        <v>1.6674058185790903</v>
      </c>
      <c r="D46" s="6">
        <v>4.1784469178800814</v>
      </c>
      <c r="E46" s="6">
        <v>3.4719005561769101</v>
      </c>
      <c r="F46" s="6">
        <v>7.030992287094934</v>
      </c>
      <c r="G46" s="6">
        <v>3.5201096980520625</v>
      </c>
      <c r="H46" s="6">
        <v>1.718050615938747</v>
      </c>
      <c r="I46" s="6">
        <v>6.531884274349653</v>
      </c>
      <c r="J46" s="6">
        <v>2.0320425681688659</v>
      </c>
      <c r="K46" s="6">
        <v>1.966409978824055</v>
      </c>
      <c r="L46" s="6">
        <v>2.7134876105487353</v>
      </c>
      <c r="M46" s="6">
        <v>2.3024539045299597</v>
      </c>
      <c r="N46" s="6">
        <v>2.865741693434058</v>
      </c>
      <c r="O46" s="6">
        <v>1.9584920797471612</v>
      </c>
      <c r="P46" s="6">
        <v>1.1152517788824499</v>
      </c>
      <c r="Q46" s="6">
        <v>2.5727140924734382</v>
      </c>
      <c r="R46" s="6">
        <v>3.9520212611838761</v>
      </c>
      <c r="S46" s="6">
        <v>2.3667696779627474</v>
      </c>
      <c r="T46" s="6">
        <v>3.4115957162884314</v>
      </c>
      <c r="U46" s="6">
        <v>1.5549200456487029</v>
      </c>
      <c r="V46" s="6">
        <v>1.1968920486770493</v>
      </c>
      <c r="W46" s="7"/>
    </row>
    <row r="47" spans="1:23" x14ac:dyDescent="0.25">
      <c r="A47" s="3" t="s">
        <v>64</v>
      </c>
      <c r="B47" s="5">
        <v>3.994554439657187</v>
      </c>
      <c r="C47" s="6">
        <v>1.9521819515012899</v>
      </c>
      <c r="D47" s="6">
        <v>5.2042680456141559</v>
      </c>
      <c r="E47" s="6">
        <v>4.3699975004954705</v>
      </c>
      <c r="F47" s="6">
        <v>9.4176296154286501</v>
      </c>
      <c r="G47" s="6">
        <v>5.0991090633610492</v>
      </c>
      <c r="H47" s="6">
        <v>2.3884617509070627</v>
      </c>
      <c r="I47" s="6">
        <v>8.3951431686345366</v>
      </c>
      <c r="J47" s="6">
        <v>2.8895722719513954</v>
      </c>
      <c r="K47" s="6">
        <v>2.8014435887680831</v>
      </c>
      <c r="L47" s="6">
        <v>4.0747007996338445</v>
      </c>
      <c r="M47" s="6">
        <v>3.6904688759271318</v>
      </c>
      <c r="N47" s="6">
        <v>3.9178766819718103</v>
      </c>
      <c r="O47" s="6">
        <v>3.0589135531049685</v>
      </c>
      <c r="P47" s="6">
        <v>1.5669061254062766</v>
      </c>
      <c r="Q47" s="6">
        <v>3.4784641463813513</v>
      </c>
      <c r="R47" s="6">
        <v>5.4072799336506927</v>
      </c>
      <c r="S47" s="6">
        <v>3.7822517754123042</v>
      </c>
      <c r="T47" s="6">
        <v>4.6905059402833782</v>
      </c>
      <c r="U47" s="6">
        <v>2.3459595377278997</v>
      </c>
      <c r="V47" s="6">
        <v>1.6496099693846922</v>
      </c>
      <c r="W47" s="7"/>
    </row>
    <row r="48" spans="1:23" x14ac:dyDescent="0.25">
      <c r="A48" s="3" t="s">
        <v>88</v>
      </c>
      <c r="B48" s="5">
        <v>0.01</v>
      </c>
      <c r="C48" s="6">
        <v>0.01</v>
      </c>
      <c r="D48" s="6">
        <v>0.01</v>
      </c>
      <c r="E48" s="6">
        <v>0.01</v>
      </c>
      <c r="F48" s="6">
        <v>0.01</v>
      </c>
      <c r="G48" s="6">
        <v>0.01</v>
      </c>
      <c r="H48" s="6">
        <v>0.01</v>
      </c>
      <c r="I48" s="6">
        <v>0.01</v>
      </c>
      <c r="J48" s="6">
        <v>0.01</v>
      </c>
      <c r="K48" s="6">
        <v>0.42398674213937737</v>
      </c>
      <c r="L48" s="6">
        <v>0.01</v>
      </c>
      <c r="M48" s="6">
        <v>0.01</v>
      </c>
      <c r="N48" s="6">
        <v>0.01</v>
      </c>
      <c r="O48" s="6">
        <v>0.01</v>
      </c>
      <c r="P48" s="6">
        <v>1.009155658961542</v>
      </c>
      <c r="Q48" s="6">
        <v>0.01</v>
      </c>
      <c r="R48" s="6">
        <v>0.01</v>
      </c>
      <c r="S48" s="6">
        <v>0.01</v>
      </c>
      <c r="T48" s="6">
        <v>0.01</v>
      </c>
      <c r="U48" s="6">
        <v>0.01</v>
      </c>
      <c r="V48" s="6">
        <v>0.01</v>
      </c>
      <c r="W48" s="7"/>
    </row>
    <row r="49" spans="1:23" x14ac:dyDescent="0.25">
      <c r="A49" s="3" t="s">
        <v>89</v>
      </c>
      <c r="B49" s="5">
        <v>0.01</v>
      </c>
      <c r="C49" s="6">
        <v>0.01</v>
      </c>
      <c r="D49" s="6">
        <v>0.01</v>
      </c>
      <c r="E49" s="6">
        <v>0.01</v>
      </c>
      <c r="F49" s="6">
        <v>0.01</v>
      </c>
      <c r="G49" s="6">
        <v>0.01</v>
      </c>
      <c r="H49" s="6">
        <v>0.01</v>
      </c>
      <c r="I49" s="6">
        <v>0.01</v>
      </c>
      <c r="J49" s="6">
        <v>0.79527184963329411</v>
      </c>
      <c r="K49" s="6">
        <v>0.01</v>
      </c>
      <c r="L49" s="6">
        <v>0.67175034764287145</v>
      </c>
      <c r="M49" s="6">
        <v>0.01</v>
      </c>
      <c r="N49" s="6">
        <v>0.63505180534179217</v>
      </c>
      <c r="O49" s="6">
        <v>0.01</v>
      </c>
      <c r="P49" s="6">
        <v>0.77725352146731241</v>
      </c>
      <c r="Q49" s="6">
        <v>0.01</v>
      </c>
      <c r="R49" s="6">
        <v>0.01</v>
      </c>
      <c r="S49" s="6">
        <v>0.01</v>
      </c>
      <c r="T49" s="6">
        <v>0.01</v>
      </c>
      <c r="U49" s="6">
        <v>0.01</v>
      </c>
      <c r="V49" s="6">
        <v>0.01</v>
      </c>
      <c r="W49" s="7"/>
    </row>
    <row r="50" spans="1:23" x14ac:dyDescent="0.25">
      <c r="A50" s="3" t="s">
        <v>90</v>
      </c>
      <c r="B50" s="5">
        <v>0.01</v>
      </c>
      <c r="C50" s="6">
        <v>0.36645655564608431</v>
      </c>
      <c r="D50" s="6">
        <v>0.01</v>
      </c>
      <c r="E50" s="6">
        <v>0.31776682846386867</v>
      </c>
      <c r="F50" s="6">
        <v>0.01</v>
      </c>
      <c r="G50" s="6">
        <v>0.01</v>
      </c>
      <c r="H50" s="6">
        <v>0.01</v>
      </c>
      <c r="I50" s="6">
        <v>0.01</v>
      </c>
      <c r="J50" s="6">
        <v>0.01</v>
      </c>
      <c r="K50" s="6">
        <v>0.20862838016352117</v>
      </c>
      <c r="L50" s="6">
        <v>0.01</v>
      </c>
      <c r="M50" s="6">
        <v>0.28446472615071661</v>
      </c>
      <c r="N50" s="6">
        <v>0.01</v>
      </c>
      <c r="O50" s="6">
        <v>0.20456592999629078</v>
      </c>
      <c r="P50" s="6">
        <v>1.2861314151106058</v>
      </c>
      <c r="Q50" s="6">
        <v>0.58078222308405292</v>
      </c>
      <c r="R50" s="6">
        <v>0.01</v>
      </c>
      <c r="S50" s="6">
        <v>0.70071561657459991</v>
      </c>
      <c r="T50" s="6">
        <v>0.87155767343829238</v>
      </c>
      <c r="U50" s="6">
        <v>0.01</v>
      </c>
      <c r="V50" s="6">
        <v>0.01</v>
      </c>
      <c r="W50" s="7"/>
    </row>
    <row r="51" spans="1:23" x14ac:dyDescent="0.25">
      <c r="A51" s="3" t="s">
        <v>91</v>
      </c>
      <c r="B51" s="5">
        <v>0.34810217324208775</v>
      </c>
      <c r="C51" s="6">
        <v>0.19747555683823195</v>
      </c>
      <c r="D51" s="6">
        <v>0.01</v>
      </c>
      <c r="E51" s="6">
        <v>0.37920785724949102</v>
      </c>
      <c r="F51" s="6">
        <v>0.01</v>
      </c>
      <c r="G51" s="6">
        <v>0.01</v>
      </c>
      <c r="H51" s="6">
        <v>0.01</v>
      </c>
      <c r="I51" s="6">
        <v>0.01</v>
      </c>
      <c r="J51" s="6">
        <v>0.01</v>
      </c>
      <c r="K51" s="6">
        <v>0.01</v>
      </c>
      <c r="L51" s="6">
        <v>0.40841355566839666</v>
      </c>
      <c r="M51" s="6">
        <v>0.01</v>
      </c>
      <c r="N51" s="6">
        <v>0.43578016244918572</v>
      </c>
      <c r="O51" s="6">
        <v>0.01</v>
      </c>
      <c r="P51" s="6">
        <v>0.45122844223832403</v>
      </c>
      <c r="Q51" s="6">
        <v>0.01</v>
      </c>
      <c r="R51" s="6">
        <v>0.01</v>
      </c>
      <c r="S51" s="6">
        <v>0.01</v>
      </c>
      <c r="T51" s="6">
        <v>3.0708094946413969</v>
      </c>
      <c r="U51" s="6">
        <v>0.01</v>
      </c>
      <c r="V51" s="6">
        <v>0.01</v>
      </c>
      <c r="W51" s="7"/>
    </row>
    <row r="52" spans="1:23" x14ac:dyDescent="0.25">
      <c r="A52" s="3" t="s">
        <v>92</v>
      </c>
      <c r="B52" s="5">
        <v>0.57797858271560043</v>
      </c>
      <c r="C52" s="6">
        <v>0.38170518128914099</v>
      </c>
      <c r="D52" s="6">
        <v>0.01</v>
      </c>
      <c r="E52" s="6">
        <v>0.53333573652490118</v>
      </c>
      <c r="F52" s="6">
        <v>1.0641076597178645</v>
      </c>
      <c r="G52" s="6">
        <v>1.2667893396847887</v>
      </c>
      <c r="H52" s="6">
        <v>0.50302510107296194</v>
      </c>
      <c r="I52" s="6">
        <v>1.5203255917048331</v>
      </c>
      <c r="J52" s="6">
        <v>0.5454251369785329</v>
      </c>
      <c r="K52" s="6">
        <v>0.48207688775764113</v>
      </c>
      <c r="L52" s="6">
        <v>0.98602794535407146</v>
      </c>
      <c r="M52" s="6">
        <v>0.57865591490918011</v>
      </c>
      <c r="N52" s="6">
        <v>0.7549202324800568</v>
      </c>
      <c r="O52" s="6">
        <v>0.39869191517500613</v>
      </c>
      <c r="P52" s="6">
        <v>0.47002861394090822</v>
      </c>
      <c r="Q52" s="6">
        <v>0.58428124469554121</v>
      </c>
      <c r="R52" s="6">
        <v>1.0952958169463198</v>
      </c>
      <c r="S52" s="6">
        <v>0.57718834643142491</v>
      </c>
      <c r="T52" s="6">
        <v>0.63921535390644413</v>
      </c>
      <c r="U52" s="6">
        <v>0.37825953709433568</v>
      </c>
      <c r="V52" s="6">
        <v>0.40497878938128173</v>
      </c>
      <c r="W52" s="7"/>
    </row>
    <row r="53" spans="1:23" x14ac:dyDescent="0.25">
      <c r="A53" s="3" t="s">
        <v>93</v>
      </c>
      <c r="B53" s="5">
        <v>1.1145227908162976</v>
      </c>
      <c r="C53" s="6">
        <v>0.80814711623948976</v>
      </c>
      <c r="D53" s="6">
        <v>0.01</v>
      </c>
      <c r="E53" s="6">
        <v>1.0662031777216701</v>
      </c>
      <c r="F53" s="6">
        <v>2.6235188308106459</v>
      </c>
      <c r="G53" s="6">
        <v>1.43682359485603</v>
      </c>
      <c r="H53" s="6">
        <v>0.43923130387214532</v>
      </c>
      <c r="I53" s="6">
        <v>2.3300642698992862</v>
      </c>
      <c r="J53" s="6">
        <v>0.68598157887526878</v>
      </c>
      <c r="K53" s="6">
        <v>0.61729197179759698</v>
      </c>
      <c r="L53" s="6">
        <v>1.2215182471188581</v>
      </c>
      <c r="M53" s="6">
        <v>0.92454214371235877</v>
      </c>
      <c r="N53" s="6">
        <v>1.5307160764923582</v>
      </c>
      <c r="O53" s="6">
        <v>1.0402160484010055</v>
      </c>
      <c r="P53" s="6">
        <v>0.35817807880256186</v>
      </c>
      <c r="Q53" s="6">
        <v>1.131339340768039</v>
      </c>
      <c r="R53" s="6">
        <v>1.7112097603596432</v>
      </c>
      <c r="S53" s="6">
        <v>0.99983590444558335</v>
      </c>
      <c r="T53" s="6">
        <v>0.58713740013828064</v>
      </c>
      <c r="U53" s="6">
        <v>0.60820951889268138</v>
      </c>
      <c r="V53" s="6">
        <v>0.58345724277443756</v>
      </c>
      <c r="W53" s="7"/>
    </row>
    <row r="54" spans="1:23" x14ac:dyDescent="0.25">
      <c r="A54" s="3" t="s">
        <v>94</v>
      </c>
      <c r="B54" s="5">
        <v>0.01</v>
      </c>
      <c r="C54" s="6">
        <v>0.01</v>
      </c>
      <c r="D54" s="6">
        <v>0.01</v>
      </c>
      <c r="E54" s="6">
        <v>0.01</v>
      </c>
      <c r="F54" s="6">
        <v>0.01</v>
      </c>
      <c r="G54" s="6">
        <v>0.01</v>
      </c>
      <c r="H54" s="6">
        <v>0.01</v>
      </c>
      <c r="I54" s="6">
        <v>0.01</v>
      </c>
      <c r="J54" s="6">
        <v>0.01</v>
      </c>
      <c r="K54" s="6">
        <v>0.01</v>
      </c>
      <c r="L54" s="6">
        <v>0.01</v>
      </c>
      <c r="M54" s="6">
        <v>0.01</v>
      </c>
      <c r="N54" s="6">
        <v>0.01</v>
      </c>
      <c r="O54" s="6">
        <v>0.01</v>
      </c>
      <c r="P54" s="6">
        <v>0.62106304384594724</v>
      </c>
      <c r="Q54" s="6">
        <v>0.01</v>
      </c>
      <c r="R54" s="6">
        <v>0.01</v>
      </c>
      <c r="S54" s="6">
        <v>0.01</v>
      </c>
      <c r="T54" s="6">
        <v>0.01</v>
      </c>
      <c r="U54" s="6">
        <v>0.01</v>
      </c>
      <c r="V54" s="6">
        <v>0.01</v>
      </c>
      <c r="W54" s="7"/>
    </row>
    <row r="55" spans="1:23" x14ac:dyDescent="0.25">
      <c r="A55" s="3" t="s">
        <v>95</v>
      </c>
      <c r="B55" s="5">
        <v>0.01</v>
      </c>
      <c r="C55" s="6">
        <v>0.34859385771488793</v>
      </c>
      <c r="D55" s="6">
        <v>0.01</v>
      </c>
      <c r="E55" s="6">
        <v>0.01</v>
      </c>
      <c r="F55" s="6">
        <v>0.01</v>
      </c>
      <c r="G55" s="6">
        <v>0.34513154227205406</v>
      </c>
      <c r="H55" s="6">
        <v>0.01</v>
      </c>
      <c r="I55" s="6">
        <v>0.01</v>
      </c>
      <c r="J55" s="6">
        <v>0.01</v>
      </c>
      <c r="K55" s="6">
        <v>0.37489783730314863</v>
      </c>
      <c r="L55" s="6">
        <v>0.01</v>
      </c>
      <c r="M55" s="6">
        <v>0.84922212757335558</v>
      </c>
      <c r="N55" s="6">
        <v>0.01</v>
      </c>
      <c r="O55" s="6">
        <v>0.01</v>
      </c>
      <c r="P55" s="6">
        <v>1.1642776211866341</v>
      </c>
      <c r="Q55" s="6">
        <v>0.59927934782222803</v>
      </c>
      <c r="R55" s="6">
        <v>0.01</v>
      </c>
      <c r="S55" s="6">
        <v>0.67450098573545747</v>
      </c>
      <c r="T55" s="6">
        <v>1.0357696889208103</v>
      </c>
      <c r="U55" s="6">
        <v>0.77345607054986132</v>
      </c>
      <c r="V55" s="6">
        <v>0.61798216078085455</v>
      </c>
      <c r="W55" s="7"/>
    </row>
    <row r="56" spans="1:23" x14ac:dyDescent="0.25">
      <c r="A56" s="3" t="s">
        <v>96</v>
      </c>
      <c r="B56" s="5">
        <v>0.27964112389248336</v>
      </c>
      <c r="C56" s="6">
        <v>0.4914490975643353</v>
      </c>
      <c r="D56" s="6">
        <v>0.01</v>
      </c>
      <c r="E56" s="6">
        <v>0.01</v>
      </c>
      <c r="F56" s="6">
        <v>0.01</v>
      </c>
      <c r="G56" s="6">
        <v>0.76632573510033719</v>
      </c>
      <c r="H56" s="6">
        <v>0.01</v>
      </c>
      <c r="I56" s="6">
        <v>0.01</v>
      </c>
      <c r="J56" s="6">
        <v>0.01</v>
      </c>
      <c r="K56" s="6">
        <v>0.4884402990222167</v>
      </c>
      <c r="L56" s="6">
        <v>0.01</v>
      </c>
      <c r="M56" s="6">
        <v>1.5665922932161565</v>
      </c>
      <c r="N56" s="6">
        <v>0.92494101535172102</v>
      </c>
      <c r="O56" s="6">
        <v>0.01</v>
      </c>
      <c r="P56" s="6">
        <v>1.0024824112881696</v>
      </c>
      <c r="Q56" s="6">
        <v>0.37350060152534009</v>
      </c>
      <c r="R56" s="6">
        <v>0.01</v>
      </c>
      <c r="S56" s="6">
        <v>0.01</v>
      </c>
      <c r="T56" s="6">
        <v>3.785754599942333</v>
      </c>
      <c r="U56" s="6">
        <v>2.0807113217143032</v>
      </c>
      <c r="V56" s="6">
        <v>0.98324754637674627</v>
      </c>
      <c r="W56" s="7"/>
    </row>
    <row r="57" spans="1:23" x14ac:dyDescent="0.25">
      <c r="A57" s="3" t="s">
        <v>97</v>
      </c>
      <c r="B57" s="5">
        <v>0.01</v>
      </c>
      <c r="C57" s="6">
        <v>0.84650340263200297</v>
      </c>
      <c r="D57" s="6">
        <v>0.01</v>
      </c>
      <c r="E57" s="6">
        <v>0.01</v>
      </c>
      <c r="F57" s="6">
        <v>1.1615626083327175</v>
      </c>
      <c r="G57" s="6">
        <v>0.98608824905252435</v>
      </c>
      <c r="H57" s="6">
        <v>0.01</v>
      </c>
      <c r="I57" s="6">
        <v>0.01</v>
      </c>
      <c r="J57" s="6">
        <v>1.992954617620168</v>
      </c>
      <c r="K57" s="6">
        <v>1.0619445014735698</v>
      </c>
      <c r="L57" s="6">
        <v>0.64151469750226542</v>
      </c>
      <c r="M57" s="6">
        <v>0.74130475368834436</v>
      </c>
      <c r="N57" s="6">
        <v>0.32385712873196343</v>
      </c>
      <c r="O57" s="6">
        <v>0.01</v>
      </c>
      <c r="P57" s="6">
        <v>1.9556421922332052</v>
      </c>
      <c r="Q57" s="6">
        <v>0.01</v>
      </c>
      <c r="R57" s="6">
        <v>0.01</v>
      </c>
      <c r="S57" s="6">
        <v>0.01</v>
      </c>
      <c r="T57" s="6">
        <v>0.01</v>
      </c>
      <c r="U57" s="6">
        <v>0.59047378989397215</v>
      </c>
      <c r="V57" s="6">
        <v>0.01</v>
      </c>
      <c r="W57" s="7"/>
    </row>
    <row r="58" spans="1:23" x14ac:dyDescent="0.25">
      <c r="A58" s="3" t="s">
        <v>98</v>
      </c>
      <c r="B58" s="5">
        <v>0.01</v>
      </c>
      <c r="C58" s="6">
        <v>0.22629331260595309</v>
      </c>
      <c r="D58" s="6">
        <v>0.01</v>
      </c>
      <c r="E58" s="6">
        <v>0.01</v>
      </c>
      <c r="F58" s="6">
        <v>0.60679774258117569</v>
      </c>
      <c r="G58" s="6">
        <v>0.01</v>
      </c>
      <c r="H58" s="6">
        <v>0.01</v>
      </c>
      <c r="I58" s="6">
        <v>0.01</v>
      </c>
      <c r="J58" s="6">
        <v>1.393150665064071</v>
      </c>
      <c r="K58" s="6">
        <v>0.21636638478136919</v>
      </c>
      <c r="L58" s="6">
        <v>0.38472784964529361</v>
      </c>
      <c r="M58" s="6">
        <v>0.3944296199603648</v>
      </c>
      <c r="N58" s="6">
        <v>0.6120073740980666</v>
      </c>
      <c r="O58" s="6">
        <v>0.01</v>
      </c>
      <c r="P58" s="6">
        <v>0.29685161637272961</v>
      </c>
      <c r="Q58" s="6">
        <v>0.01</v>
      </c>
      <c r="R58" s="6">
        <v>0.01</v>
      </c>
      <c r="S58" s="6">
        <v>0.01</v>
      </c>
      <c r="T58" s="6">
        <v>0.01</v>
      </c>
      <c r="U58" s="6">
        <v>0.44209626865779528</v>
      </c>
      <c r="V58" s="6">
        <v>0.01</v>
      </c>
      <c r="W58" s="7"/>
    </row>
    <row r="59" spans="1:23" x14ac:dyDescent="0.25">
      <c r="A59" s="3" t="s">
        <v>99</v>
      </c>
      <c r="B59" s="5">
        <v>0.01</v>
      </c>
      <c r="C59" s="6">
        <v>0.45145146575105077</v>
      </c>
      <c r="D59" s="6">
        <v>0.01</v>
      </c>
      <c r="E59" s="6">
        <v>0.01</v>
      </c>
      <c r="F59" s="6">
        <v>0.01</v>
      </c>
      <c r="G59" s="6">
        <v>3.0195031486973933</v>
      </c>
      <c r="H59" s="6">
        <v>0.01</v>
      </c>
      <c r="I59" s="6">
        <v>0.01</v>
      </c>
      <c r="J59" s="6">
        <v>0.63298515150485868</v>
      </c>
      <c r="K59" s="6">
        <v>0.74539740884355943</v>
      </c>
      <c r="L59" s="6">
        <v>0.01</v>
      </c>
      <c r="M59" s="6">
        <v>0.01</v>
      </c>
      <c r="N59" s="6">
        <v>0.01</v>
      </c>
      <c r="O59" s="6">
        <v>0.01</v>
      </c>
      <c r="P59" s="6">
        <v>1.7386887907997726</v>
      </c>
      <c r="Q59" s="6">
        <v>0.01</v>
      </c>
      <c r="R59" s="6">
        <v>0.01</v>
      </c>
      <c r="S59" s="6">
        <v>0.01</v>
      </c>
      <c r="T59" s="6">
        <v>0.01</v>
      </c>
      <c r="U59" s="6">
        <v>0.01</v>
      </c>
      <c r="V59" s="6">
        <v>0.01</v>
      </c>
      <c r="W59" s="7"/>
    </row>
    <row r="60" spans="1:23" x14ac:dyDescent="0.25">
      <c r="A60" s="3" t="s">
        <v>100</v>
      </c>
      <c r="B60" s="5">
        <v>0.01</v>
      </c>
      <c r="C60" s="6">
        <v>0.35543134992847847</v>
      </c>
      <c r="D60" s="6">
        <v>0.01</v>
      </c>
      <c r="E60" s="6">
        <v>0.01</v>
      </c>
      <c r="F60" s="6">
        <v>0.39546780941677201</v>
      </c>
      <c r="G60" s="6">
        <v>0.21181882166078397</v>
      </c>
      <c r="H60" s="6">
        <v>0.01</v>
      </c>
      <c r="I60" s="6">
        <v>0.01</v>
      </c>
      <c r="J60" s="6">
        <v>3.0877779333525019</v>
      </c>
      <c r="K60" s="6">
        <v>1.0074487536591872</v>
      </c>
      <c r="L60" s="6">
        <v>0.59542300546733551</v>
      </c>
      <c r="M60" s="6">
        <v>0.43457948751421749</v>
      </c>
      <c r="N60" s="6">
        <v>0.72124721573633011</v>
      </c>
      <c r="O60" s="6">
        <v>0.01</v>
      </c>
      <c r="P60" s="6">
        <v>2.3249868369412088</v>
      </c>
      <c r="Q60" s="6">
        <v>0.01</v>
      </c>
      <c r="R60" s="6">
        <v>0.01</v>
      </c>
      <c r="S60" s="6">
        <v>0.01</v>
      </c>
      <c r="T60" s="6">
        <v>0.01</v>
      </c>
      <c r="U60" s="6">
        <v>0.6800021782093566</v>
      </c>
      <c r="V60" s="6">
        <v>0.01</v>
      </c>
      <c r="W60" s="7"/>
    </row>
    <row r="61" spans="1:23" x14ac:dyDescent="0.25">
      <c r="A61" s="3" t="s">
        <v>101</v>
      </c>
      <c r="B61" s="5">
        <v>0.01</v>
      </c>
      <c r="C61" s="6">
        <v>0.39788211639125853</v>
      </c>
      <c r="D61" s="6">
        <v>0.01</v>
      </c>
      <c r="E61" s="6">
        <v>0.01</v>
      </c>
      <c r="F61" s="6">
        <v>0.01</v>
      </c>
      <c r="G61" s="6">
        <v>0.01</v>
      </c>
      <c r="H61" s="6">
        <v>0.01</v>
      </c>
      <c r="I61" s="6">
        <v>0.01</v>
      </c>
      <c r="J61" s="6">
        <v>2.1516202398937438</v>
      </c>
      <c r="K61" s="6">
        <v>0.2437821920882218</v>
      </c>
      <c r="L61" s="6">
        <v>0.65646483777445586</v>
      </c>
      <c r="M61" s="6">
        <v>0.01</v>
      </c>
      <c r="N61" s="6">
        <v>0.94476224025441569</v>
      </c>
      <c r="O61" s="6">
        <v>0.01</v>
      </c>
      <c r="P61" s="6">
        <v>0.9902902286352121</v>
      </c>
      <c r="Q61" s="6">
        <v>0.01</v>
      </c>
      <c r="R61" s="6">
        <v>0.01</v>
      </c>
      <c r="S61" s="6">
        <v>0.01</v>
      </c>
      <c r="T61" s="6">
        <v>0.01</v>
      </c>
      <c r="U61" s="6">
        <v>0.64156041057292645</v>
      </c>
      <c r="V61" s="6">
        <v>0.01</v>
      </c>
      <c r="W61" s="7"/>
    </row>
    <row r="62" spans="1:23" x14ac:dyDescent="0.25">
      <c r="A62" s="3" t="s">
        <v>102</v>
      </c>
      <c r="B62" s="5">
        <v>0.01</v>
      </c>
      <c r="C62" s="6">
        <v>0.01</v>
      </c>
      <c r="D62" s="6">
        <v>0.01</v>
      </c>
      <c r="E62" s="6">
        <v>0.01</v>
      </c>
      <c r="F62" s="6">
        <v>0.01</v>
      </c>
      <c r="G62" s="6">
        <v>0.3257246994170912</v>
      </c>
      <c r="H62" s="6">
        <v>0.01</v>
      </c>
      <c r="I62" s="6">
        <v>0.74879478562091617</v>
      </c>
      <c r="J62" s="6">
        <v>0.01</v>
      </c>
      <c r="K62" s="6">
        <v>0.01</v>
      </c>
      <c r="L62" s="6">
        <v>0.78095371469065766</v>
      </c>
      <c r="M62" s="6">
        <v>0.01</v>
      </c>
      <c r="N62" s="6">
        <v>1.1456808196368613</v>
      </c>
      <c r="O62" s="6">
        <v>0.01</v>
      </c>
      <c r="P62" s="6">
        <v>0.84397804051569991</v>
      </c>
      <c r="Q62" s="6">
        <v>0.01</v>
      </c>
      <c r="R62" s="6">
        <v>0.77177978797014546</v>
      </c>
      <c r="S62" s="6">
        <v>0.01</v>
      </c>
      <c r="T62" s="6">
        <v>0.01</v>
      </c>
      <c r="U62" s="6">
        <v>0.01</v>
      </c>
      <c r="V62" s="6">
        <v>0.46170272230971798</v>
      </c>
      <c r="W62" s="7"/>
    </row>
    <row r="63" spans="1:23" x14ac:dyDescent="0.25">
      <c r="A63" s="3" t="s">
        <v>103</v>
      </c>
      <c r="B63" s="5">
        <v>0.43855482195219853</v>
      </c>
      <c r="C63" s="6">
        <v>0.6680638676580094</v>
      </c>
      <c r="D63" s="6">
        <v>0.01</v>
      </c>
      <c r="E63" s="6">
        <v>0.72061137469256242</v>
      </c>
      <c r="F63" s="6">
        <v>0.5958668368657194</v>
      </c>
      <c r="G63" s="6">
        <v>0.51901421544896398</v>
      </c>
      <c r="H63" s="6">
        <v>0.66089785877650231</v>
      </c>
      <c r="I63" s="6">
        <v>1.1595137157149735</v>
      </c>
      <c r="J63" s="6">
        <v>0.42093809869816529</v>
      </c>
      <c r="K63" s="6">
        <v>0.43779532399113852</v>
      </c>
      <c r="L63" s="6">
        <v>0.91970272022914978</v>
      </c>
      <c r="M63" s="6">
        <v>0.50525225891952974</v>
      </c>
      <c r="N63" s="6">
        <v>0.77820614172327329</v>
      </c>
      <c r="O63" s="6">
        <v>0.65121615520754439</v>
      </c>
      <c r="P63" s="6">
        <v>0.61841929903372839</v>
      </c>
      <c r="Q63" s="6">
        <v>0.30917369048264454</v>
      </c>
      <c r="R63" s="6">
        <v>1.7675173303837044</v>
      </c>
      <c r="S63" s="6">
        <v>0.43042408549163341</v>
      </c>
      <c r="T63" s="6">
        <v>0.01</v>
      </c>
      <c r="U63" s="6">
        <v>0.01</v>
      </c>
      <c r="V63" s="6">
        <v>1.2884697119742687</v>
      </c>
      <c r="W63" s="7"/>
    </row>
    <row r="64" spans="1:23" x14ac:dyDescent="0.25">
      <c r="A64" s="3" t="s">
        <v>104</v>
      </c>
      <c r="B64" s="5">
        <v>0.40911276415796227</v>
      </c>
      <c r="C64" s="6">
        <v>0.20722388425080643</v>
      </c>
      <c r="D64" s="6">
        <v>0.01</v>
      </c>
      <c r="E64" s="6">
        <v>0.37821460060315959</v>
      </c>
      <c r="F64" s="6">
        <v>0.36219766131002512</v>
      </c>
      <c r="G64" s="6">
        <v>0.15380003916706816</v>
      </c>
      <c r="H64" s="6">
        <v>0.4665244992416071</v>
      </c>
      <c r="I64" s="6">
        <v>0.01</v>
      </c>
      <c r="J64" s="6">
        <v>0.49203347581836299</v>
      </c>
      <c r="K64" s="6">
        <v>0.21327481035902379</v>
      </c>
      <c r="L64" s="6">
        <v>0.30933764873613656</v>
      </c>
      <c r="M64" s="6">
        <v>0.44171261364808495</v>
      </c>
      <c r="N64" s="6">
        <v>0.35961218655491273</v>
      </c>
      <c r="O64" s="6">
        <v>0.25191999508074547</v>
      </c>
      <c r="P64" s="6">
        <v>0.34552852538300838</v>
      </c>
      <c r="Q64" s="6">
        <v>8.5008201955871651E-2</v>
      </c>
      <c r="R64" s="6">
        <v>0.37616567278772212</v>
      </c>
      <c r="S64" s="6">
        <v>0.6784635957666052</v>
      </c>
      <c r="T64" s="6">
        <v>0.39715429366478511</v>
      </c>
      <c r="U64" s="6">
        <v>0.21669249333548038</v>
      </c>
      <c r="V64" s="6">
        <v>0.27336027808760571</v>
      </c>
      <c r="W64" s="7"/>
    </row>
    <row r="65" spans="1:23" x14ac:dyDescent="0.25">
      <c r="A65" s="3" t="s">
        <v>105</v>
      </c>
      <c r="B65" s="5">
        <v>0.01</v>
      </c>
      <c r="C65" s="6">
        <v>0.94697057787466932</v>
      </c>
      <c r="D65" s="6">
        <v>0.01</v>
      </c>
      <c r="E65" s="6">
        <v>0.95209481457717238</v>
      </c>
      <c r="F65" s="6">
        <v>0.01</v>
      </c>
      <c r="G65" s="6">
        <v>0.55386660706682878</v>
      </c>
      <c r="H65" s="6">
        <v>0.73964488300049092</v>
      </c>
      <c r="I65" s="6">
        <v>0.01</v>
      </c>
      <c r="J65" s="6">
        <v>0.01</v>
      </c>
      <c r="K65" s="6">
        <v>0.66044248656106697</v>
      </c>
      <c r="L65" s="6">
        <v>0.36642660870437438</v>
      </c>
      <c r="M65" s="6">
        <v>0.24898447420391287</v>
      </c>
      <c r="N65" s="6">
        <v>0.01</v>
      </c>
      <c r="O65" s="6">
        <v>0.36472163273387448</v>
      </c>
      <c r="P65" s="6">
        <v>0.19705131447218605</v>
      </c>
      <c r="Q65" s="6">
        <v>0.36239389551425544</v>
      </c>
      <c r="R65" s="6">
        <v>0.01</v>
      </c>
      <c r="S65" s="6">
        <v>0.48542218009838856</v>
      </c>
      <c r="T65" s="6">
        <v>0.62322855570638391</v>
      </c>
      <c r="U65" s="6">
        <v>0.59369726903726194</v>
      </c>
      <c r="V65" s="6">
        <v>0.76093895994154426</v>
      </c>
      <c r="W65" s="7"/>
    </row>
    <row r="66" spans="1:23" x14ac:dyDescent="0.25">
      <c r="A66" s="3" t="s">
        <v>65</v>
      </c>
      <c r="B66" s="5">
        <v>0.33548613037199904</v>
      </c>
      <c r="C66" s="6">
        <v>1.0283157282259441</v>
      </c>
      <c r="D66" s="6">
        <v>0.9913785339983997</v>
      </c>
      <c r="E66" s="6">
        <v>0.66379437783540773</v>
      </c>
      <c r="F66" s="6">
        <v>0.24295747770833931</v>
      </c>
      <c r="G66" s="6">
        <v>0.35986626045348802</v>
      </c>
      <c r="H66" s="6">
        <v>3.2060826927549955</v>
      </c>
      <c r="I66" s="6">
        <v>0.01</v>
      </c>
      <c r="J66" s="6">
        <v>0.01</v>
      </c>
      <c r="K66" s="6">
        <v>0.47524043284346146</v>
      </c>
      <c r="L66" s="6">
        <v>0.39396755116284454</v>
      </c>
      <c r="M66" s="6">
        <v>1.0462958559683124</v>
      </c>
      <c r="N66" s="6">
        <v>0.20591041016506567</v>
      </c>
      <c r="O66" s="6">
        <v>1.2222829804721798</v>
      </c>
      <c r="P66" s="6">
        <v>0.45942962153593619</v>
      </c>
      <c r="Q66" s="6">
        <v>2.6722196372641198</v>
      </c>
      <c r="R66" s="6">
        <v>0.01</v>
      </c>
      <c r="S66" s="6">
        <v>0.4882762532045592</v>
      </c>
      <c r="T66" s="6">
        <v>0.17376782947437819</v>
      </c>
      <c r="U66" s="6">
        <v>0.38151354535930149</v>
      </c>
      <c r="V66" s="6">
        <v>0.56032419856093985</v>
      </c>
      <c r="W66" s="7"/>
    </row>
    <row r="67" spans="1:23" x14ac:dyDescent="0.25">
      <c r="A67" s="3" t="s">
        <v>106</v>
      </c>
      <c r="B67" s="5">
        <v>0.26442178279129713</v>
      </c>
      <c r="C67" s="6">
        <v>0.27432314991977358</v>
      </c>
      <c r="D67" s="6">
        <v>0.01</v>
      </c>
      <c r="E67" s="6">
        <v>0.18683968679224902</v>
      </c>
      <c r="F67" s="6">
        <v>0.01</v>
      </c>
      <c r="G67" s="6">
        <v>0.01</v>
      </c>
      <c r="H67" s="6">
        <v>0.24510775737925172</v>
      </c>
      <c r="I67" s="6">
        <v>0.01</v>
      </c>
      <c r="J67" s="6">
        <v>0.01</v>
      </c>
      <c r="K67" s="6">
        <v>0.01</v>
      </c>
      <c r="L67" s="6">
        <v>0.19324100186533957</v>
      </c>
      <c r="M67" s="6">
        <v>0.01</v>
      </c>
      <c r="N67" s="6">
        <v>0.17626932896551453</v>
      </c>
      <c r="O67" s="6">
        <v>0.43577247517479273</v>
      </c>
      <c r="P67" s="6">
        <v>0.20238117036502351</v>
      </c>
      <c r="Q67" s="6">
        <v>0.3193652091869657</v>
      </c>
      <c r="R67" s="6">
        <v>0.01</v>
      </c>
      <c r="S67" s="6">
        <v>0.01</v>
      </c>
      <c r="T67" s="6">
        <v>0.01</v>
      </c>
      <c r="U67" s="6">
        <v>0.01</v>
      </c>
      <c r="V67" s="6">
        <v>0.28958972585322112</v>
      </c>
      <c r="W67" s="7"/>
    </row>
    <row r="68" spans="1:23" x14ac:dyDescent="0.25">
      <c r="A68" s="3" t="s">
        <v>107</v>
      </c>
      <c r="B68" s="5">
        <v>0.01</v>
      </c>
      <c r="C68" s="6">
        <v>0.20908182562898148</v>
      </c>
      <c r="D68" s="6">
        <v>0.01</v>
      </c>
      <c r="E68" s="6">
        <v>0.32851042851183443</v>
      </c>
      <c r="F68" s="6">
        <v>0.01</v>
      </c>
      <c r="G68" s="6">
        <v>0.26291807163435865</v>
      </c>
      <c r="H68" s="6">
        <v>0.01</v>
      </c>
      <c r="I68" s="6">
        <v>0.01</v>
      </c>
      <c r="J68" s="6">
        <v>0.14229077580566754</v>
      </c>
      <c r="K68" s="6">
        <v>0.01</v>
      </c>
      <c r="L68" s="6">
        <v>0.20508711100904131</v>
      </c>
      <c r="M68" s="6">
        <v>0.45427030216334896</v>
      </c>
      <c r="N68" s="6">
        <v>0.2872744030467122</v>
      </c>
      <c r="O68" s="6">
        <v>0.57206130685908108</v>
      </c>
      <c r="P68" s="6">
        <v>0.18160668011896655</v>
      </c>
      <c r="Q68" s="6">
        <v>0.01</v>
      </c>
      <c r="R68" s="6">
        <v>0.01</v>
      </c>
      <c r="S68" s="6">
        <v>0.01</v>
      </c>
      <c r="T68" s="6">
        <v>0.21705659271293204</v>
      </c>
      <c r="U68" s="6">
        <v>0.33505766590785407</v>
      </c>
      <c r="V68" s="6">
        <v>0.55379819286967891</v>
      </c>
      <c r="W68" s="7"/>
    </row>
    <row r="69" spans="1:23" x14ac:dyDescent="0.25">
      <c r="A69" s="3" t="s">
        <v>66</v>
      </c>
      <c r="B69" s="5">
        <v>0.85776126424564736</v>
      </c>
      <c r="C69" s="6">
        <v>1.2549950410471986</v>
      </c>
      <c r="D69" s="6">
        <v>1.0038407391372575</v>
      </c>
      <c r="E69" s="6">
        <v>0.7182992177681542</v>
      </c>
      <c r="F69" s="6">
        <v>0.53214023615784833</v>
      </c>
      <c r="G69" s="6">
        <v>0.81895601694395004</v>
      </c>
      <c r="H69" s="6">
        <v>1.5181477636059539</v>
      </c>
      <c r="I69" s="6">
        <v>0.79205790968772616</v>
      </c>
      <c r="J69" s="6">
        <v>0.85556979061268379</v>
      </c>
      <c r="K69" s="6">
        <v>1.0318965407506453</v>
      </c>
      <c r="L69" s="6">
        <v>1.719836807510791</v>
      </c>
      <c r="M69" s="6">
        <v>1.3258665323630505</v>
      </c>
      <c r="N69" s="6">
        <v>0.91357475090611795</v>
      </c>
      <c r="O69" s="6">
        <v>0.64282102223848214</v>
      </c>
      <c r="P69" s="6">
        <v>1.6575227540705988</v>
      </c>
      <c r="Q69" s="6">
        <v>0.89708462873427508</v>
      </c>
      <c r="R69" s="6">
        <v>0.89234565650970343</v>
      </c>
      <c r="S69" s="6">
        <v>1.7415939613780833</v>
      </c>
      <c r="T69" s="6">
        <v>0.51794556410710291</v>
      </c>
      <c r="U69" s="6">
        <v>0.94522015493471045</v>
      </c>
      <c r="V69" s="6">
        <v>0.60950038280664343</v>
      </c>
      <c r="W69" s="7"/>
    </row>
    <row r="70" spans="1:23" x14ac:dyDescent="0.25">
      <c r="A70" s="3" t="s">
        <v>108</v>
      </c>
      <c r="B70" s="5">
        <v>0.38166577873127816</v>
      </c>
      <c r="C70" s="6">
        <v>0.34331192351340228</v>
      </c>
      <c r="D70" s="6">
        <v>0.01</v>
      </c>
      <c r="E70" s="6">
        <v>0.19872346243184608</v>
      </c>
      <c r="F70" s="6">
        <v>0.01</v>
      </c>
      <c r="G70" s="6">
        <v>0.26709131187667307</v>
      </c>
      <c r="H70" s="6">
        <v>0.01</v>
      </c>
      <c r="I70" s="6">
        <v>0.01</v>
      </c>
      <c r="J70" s="6">
        <v>0.28279725746634377</v>
      </c>
      <c r="K70" s="6">
        <v>0.25491664377411377</v>
      </c>
      <c r="L70" s="6">
        <v>0.52103982650568537</v>
      </c>
      <c r="M70" s="6">
        <v>0.43874093796871133</v>
      </c>
      <c r="N70" s="6">
        <v>0.57497333087747926</v>
      </c>
      <c r="O70" s="6">
        <v>0.01</v>
      </c>
      <c r="P70" s="6">
        <v>0.66021463153098303</v>
      </c>
      <c r="Q70" s="6">
        <v>0.12877510539464071</v>
      </c>
      <c r="R70" s="6">
        <v>0.23182402058307905</v>
      </c>
      <c r="S70" s="6">
        <v>0.56727457892716837</v>
      </c>
      <c r="T70" s="6">
        <v>0.80808774312872633</v>
      </c>
      <c r="U70" s="6">
        <v>0.56595180426904412</v>
      </c>
      <c r="V70" s="6">
        <v>0.37681957533884158</v>
      </c>
      <c r="W70" s="7"/>
    </row>
    <row r="71" spans="1:23" x14ac:dyDescent="0.25">
      <c r="A71" s="9" t="s">
        <v>32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5">
      <c r="A72" s="3" t="s">
        <v>109</v>
      </c>
      <c r="B72" s="6">
        <v>8.387771586207375</v>
      </c>
      <c r="C72" s="6">
        <v>10.515009713819111</v>
      </c>
      <c r="D72" s="6">
        <v>12.262305562287144</v>
      </c>
      <c r="E72" s="6">
        <v>9.1082684237455922</v>
      </c>
      <c r="F72" s="6">
        <v>10.417845522163653</v>
      </c>
      <c r="G72" s="6">
        <v>4.2004757176955474</v>
      </c>
      <c r="H72" s="6">
        <v>11.056634310180943</v>
      </c>
      <c r="I72" s="6">
        <v>3.3874542346612397</v>
      </c>
      <c r="J72" s="6">
        <v>2.8458823184686493</v>
      </c>
      <c r="K72" s="6">
        <v>8.8722141269341552</v>
      </c>
      <c r="L72" s="6">
        <v>8.0385491154306692</v>
      </c>
      <c r="M72" s="6">
        <v>9.9924874395174665</v>
      </c>
      <c r="N72" s="6">
        <v>7.8449011401260078</v>
      </c>
      <c r="O72" s="6">
        <v>17.743952869092215</v>
      </c>
      <c r="P72" s="6">
        <v>6.981557628105965</v>
      </c>
      <c r="Q72" s="6">
        <v>8.5187611956104661</v>
      </c>
      <c r="R72" s="6">
        <v>4.6554081690093279</v>
      </c>
      <c r="S72" s="6">
        <v>8.113244927760551</v>
      </c>
      <c r="T72" s="6">
        <v>4.2167247526925928</v>
      </c>
      <c r="U72" s="6">
        <v>9.6863041679713948</v>
      </c>
      <c r="V72" s="6">
        <v>13.056856766358083</v>
      </c>
    </row>
    <row r="73" spans="1:23" x14ac:dyDescent="0.25">
      <c r="A73" s="3" t="s">
        <v>110</v>
      </c>
      <c r="B73" s="6">
        <v>51.413024387132523</v>
      </c>
      <c r="C73" s="6">
        <v>55.330734781455547</v>
      </c>
      <c r="D73" s="6">
        <v>53.710540564223159</v>
      </c>
      <c r="E73" s="6">
        <v>52.922937186634094</v>
      </c>
      <c r="F73" s="6">
        <v>36.121432655851869</v>
      </c>
      <c r="G73" s="6">
        <v>58.923573138667955</v>
      </c>
      <c r="H73" s="6">
        <v>56.176763113037708</v>
      </c>
      <c r="I73" s="6">
        <v>56.478265432186006</v>
      </c>
      <c r="J73" s="6">
        <v>67.297988822330666</v>
      </c>
      <c r="K73" s="6">
        <v>62.525251892654552</v>
      </c>
      <c r="L73" s="6">
        <v>52.113297315217032</v>
      </c>
      <c r="M73" s="6">
        <v>58.120697792057129</v>
      </c>
      <c r="N73" s="6">
        <v>57.261679422519059</v>
      </c>
      <c r="O73" s="6">
        <v>48.804510388839518</v>
      </c>
      <c r="P73" s="6">
        <v>50.126060530408935</v>
      </c>
      <c r="Q73" s="6">
        <v>53.12204841171684</v>
      </c>
      <c r="R73" s="6">
        <v>63.076897057838409</v>
      </c>
      <c r="S73" s="6">
        <v>51.924157368815521</v>
      </c>
      <c r="T73" s="6">
        <v>39.727309462235425</v>
      </c>
      <c r="U73" s="6">
        <v>49.472420505992645</v>
      </c>
      <c r="V73" s="6">
        <v>67.417379791430648</v>
      </c>
    </row>
    <row r="74" spans="1:23" x14ac:dyDescent="0.25">
      <c r="A74" s="3" t="s">
        <v>235</v>
      </c>
      <c r="B74" s="6">
        <v>37.512201484409715</v>
      </c>
      <c r="C74" s="6">
        <v>29.221969506606563</v>
      </c>
      <c r="D74" s="6">
        <v>32.053293138382401</v>
      </c>
      <c r="E74" s="6">
        <v>33.821706426407928</v>
      </c>
      <c r="F74" s="6">
        <v>51.727559609942546</v>
      </c>
      <c r="G74" s="6">
        <v>33.614713921628088</v>
      </c>
      <c r="H74" s="6">
        <v>25.930197122022541</v>
      </c>
      <c r="I74" s="6">
        <v>37.433913922129143</v>
      </c>
      <c r="J74" s="6">
        <v>27.662499460799452</v>
      </c>
      <c r="K74" s="6">
        <v>25.528967742131833</v>
      </c>
      <c r="L74" s="6">
        <v>34.438560578938286</v>
      </c>
      <c r="M74" s="6">
        <v>27.425691793190445</v>
      </c>
      <c r="N74" s="6">
        <v>30.451918065478996</v>
      </c>
      <c r="O74" s="6">
        <v>29.310741174301565</v>
      </c>
      <c r="P74" s="6">
        <v>37.726249804458966</v>
      </c>
      <c r="Q74" s="6">
        <v>33.585170024139927</v>
      </c>
      <c r="R74" s="6">
        <v>28.228062304917902</v>
      </c>
      <c r="S74" s="6">
        <v>35.571143048557481</v>
      </c>
      <c r="T74" s="6">
        <v>53.318725206277662</v>
      </c>
      <c r="U74" s="6">
        <v>37.803142393192296</v>
      </c>
      <c r="V74" s="6">
        <v>14.351259694468808</v>
      </c>
    </row>
    <row r="75" spans="1:23" x14ac:dyDescent="0.25">
      <c r="A75" s="3" t="s">
        <v>236</v>
      </c>
      <c r="B75" s="6">
        <v>2.6870025422503825</v>
      </c>
      <c r="C75" s="6">
        <v>4.9322859981187852</v>
      </c>
      <c r="D75" s="6">
        <v>1.9738607351073021</v>
      </c>
      <c r="E75" s="6">
        <v>4.1470879632123863</v>
      </c>
      <c r="F75" s="6">
        <v>1.7331622120419321</v>
      </c>
      <c r="G75" s="6">
        <v>3.2612372220084223</v>
      </c>
      <c r="H75" s="6">
        <v>6.8364054547588022</v>
      </c>
      <c r="I75" s="6">
        <v>2.7003664110236159</v>
      </c>
      <c r="J75" s="6">
        <v>2.1936293984012236</v>
      </c>
      <c r="K75" s="6">
        <v>3.07356623827945</v>
      </c>
      <c r="L75" s="6">
        <v>5.409592990414021</v>
      </c>
      <c r="M75" s="6">
        <v>4.4611229752349519</v>
      </c>
      <c r="N75" s="6">
        <v>4.4415013718759369</v>
      </c>
      <c r="O75" s="6">
        <v>4.1407955677667001</v>
      </c>
      <c r="P75" s="6">
        <v>5.1661320370261308</v>
      </c>
      <c r="Q75" s="6">
        <v>4.7740203685327733</v>
      </c>
      <c r="R75" s="6">
        <v>4.0396324682343545</v>
      </c>
      <c r="S75" s="6">
        <v>4.3914546548664379</v>
      </c>
      <c r="T75" s="6">
        <v>2.7372405787943084</v>
      </c>
      <c r="U75" s="6">
        <v>3.0381329328436522</v>
      </c>
      <c r="V75" s="6">
        <v>5.1745037477424622</v>
      </c>
    </row>
    <row r="76" spans="1:23" x14ac:dyDescent="0.25">
      <c r="A76" s="3" t="s">
        <v>111</v>
      </c>
      <c r="B76" s="6">
        <v>3.4122518592986948</v>
      </c>
      <c r="C76" s="6">
        <v>9.649016254287659</v>
      </c>
      <c r="D76" s="6">
        <v>5.6486249025124593</v>
      </c>
      <c r="E76" s="6">
        <v>11.369232841654851</v>
      </c>
      <c r="F76" s="6">
        <v>12.052808582548145</v>
      </c>
      <c r="G76" s="6">
        <v>12.060910050363139</v>
      </c>
      <c r="H76" s="6">
        <v>14.463522490549384</v>
      </c>
      <c r="I76" s="6">
        <v>4.3261761464392201</v>
      </c>
      <c r="J76" s="6">
        <v>10.048403611782078</v>
      </c>
      <c r="K76" s="6">
        <v>9.0612883114165665</v>
      </c>
      <c r="L76" s="6">
        <v>9.3622567325797892</v>
      </c>
      <c r="M76" s="6">
        <v>11.906218426238413</v>
      </c>
      <c r="N76" s="6">
        <v>8.2662981278972385</v>
      </c>
      <c r="O76" s="6">
        <v>7.3024642182360306</v>
      </c>
      <c r="P76" s="6">
        <v>2.9678671080122054</v>
      </c>
      <c r="Q76" s="6">
        <v>7.1301130572461657</v>
      </c>
      <c r="R76" s="6">
        <v>4.1290606125816414</v>
      </c>
      <c r="S76" s="6">
        <v>3.6835915991125256</v>
      </c>
      <c r="T76" s="6">
        <v>10.830434465997559</v>
      </c>
      <c r="U76" s="6">
        <v>7.3349125720303512</v>
      </c>
      <c r="V76" s="6">
        <v>16.649999214130091</v>
      </c>
    </row>
    <row r="77" spans="1:23" x14ac:dyDescent="0.25">
      <c r="A77" s="3" t="s">
        <v>237</v>
      </c>
      <c r="B77" s="6">
        <v>26.478035840616762</v>
      </c>
      <c r="C77" s="6">
        <v>28.442516381123294</v>
      </c>
      <c r="D77" s="6">
        <v>21.447625669680619</v>
      </c>
      <c r="E77" s="6">
        <v>23.184381917879648</v>
      </c>
      <c r="F77" s="6">
        <v>18.549416105323679</v>
      </c>
      <c r="G77" s="6">
        <v>16.244406357262957</v>
      </c>
      <c r="H77" s="6">
        <v>25.960823670352884</v>
      </c>
      <c r="I77" s="6">
        <v>8.6783894369628349</v>
      </c>
      <c r="J77" s="6">
        <v>20.432184485486349</v>
      </c>
      <c r="K77" s="6">
        <v>20.815400038605087</v>
      </c>
      <c r="L77" s="6">
        <v>21.206568383197371</v>
      </c>
      <c r="M77" s="6">
        <v>22.498354271257089</v>
      </c>
      <c r="N77" s="6">
        <v>20.741296118453512</v>
      </c>
      <c r="O77" s="6">
        <v>32.997982486111432</v>
      </c>
      <c r="P77" s="6">
        <v>34.434571871182094</v>
      </c>
      <c r="Q77" s="6">
        <v>27.365936254297576</v>
      </c>
      <c r="R77" s="6">
        <v>12.404954835699938</v>
      </c>
      <c r="S77" s="6">
        <v>24.291575544779157</v>
      </c>
      <c r="T77" s="6">
        <v>33.468208650791496</v>
      </c>
      <c r="U77" s="6">
        <v>35.62952180031207</v>
      </c>
      <c r="V77" s="6">
        <v>21.291928197037688</v>
      </c>
    </row>
    <row r="78" spans="1:23" x14ac:dyDescent="0.25">
      <c r="A78" s="3" t="s">
        <v>112</v>
      </c>
      <c r="B78" s="6">
        <v>70.871874514228054</v>
      </c>
      <c r="C78" s="6">
        <v>60.124890588872887</v>
      </c>
      <c r="D78" s="6">
        <v>66.357639267289315</v>
      </c>
      <c r="E78" s="6">
        <v>71.149690276532084</v>
      </c>
      <c r="F78" s="6">
        <v>116.05810917025909</v>
      </c>
      <c r="G78" s="6">
        <v>79.084338705528651</v>
      </c>
      <c r="H78" s="6">
        <v>48.402654025174577</v>
      </c>
      <c r="I78" s="6">
        <v>91.803085524595531</v>
      </c>
      <c r="J78" s="6">
        <v>52.321373698498547</v>
      </c>
      <c r="K78" s="6">
        <v>53.989487566656727</v>
      </c>
      <c r="L78" s="6">
        <v>73.946551813906339</v>
      </c>
      <c r="M78" s="6">
        <v>64.329116036505155</v>
      </c>
      <c r="N78" s="6">
        <v>68.526901164757362</v>
      </c>
      <c r="O78" s="6">
        <v>57.655476966611616</v>
      </c>
      <c r="P78" s="6">
        <v>80.558397487906461</v>
      </c>
      <c r="Q78" s="6">
        <v>73.57076742342592</v>
      </c>
      <c r="R78" s="6">
        <v>61.908892048552708</v>
      </c>
      <c r="S78" s="6">
        <v>76.380256383988836</v>
      </c>
      <c r="T78" s="6">
        <v>123.74393949516129</v>
      </c>
      <c r="U78" s="6">
        <v>77.812689743193459</v>
      </c>
      <c r="V78" s="6">
        <v>34.652969880287088</v>
      </c>
    </row>
    <row r="79" spans="1:23" x14ac:dyDescent="0.25">
      <c r="A79" s="3" t="s">
        <v>25</v>
      </c>
      <c r="B79" s="6">
        <v>2.2100408520002723</v>
      </c>
      <c r="C79" s="6">
        <v>2.5830585874537868</v>
      </c>
      <c r="D79" s="6">
        <v>4.4460445314448149</v>
      </c>
      <c r="E79" s="6">
        <v>2.7982533697077168</v>
      </c>
      <c r="F79" s="6">
        <v>0.47690636218516852</v>
      </c>
      <c r="G79" s="6">
        <v>0.78524214091352162</v>
      </c>
      <c r="H79" s="6">
        <v>2.0292662927000737</v>
      </c>
      <c r="I79" s="6">
        <v>0.44437927863431964</v>
      </c>
      <c r="J79" s="6">
        <v>1.4366777372592017</v>
      </c>
      <c r="K79" s="6">
        <v>1.2000310856048575</v>
      </c>
      <c r="L79" s="6">
        <v>0.01</v>
      </c>
      <c r="M79" s="6">
        <v>2.4339483068947083</v>
      </c>
      <c r="N79" s="6">
        <v>0.01</v>
      </c>
      <c r="O79" s="6">
        <v>4.4629466099876094</v>
      </c>
      <c r="P79" s="6">
        <v>0.25867750704294068</v>
      </c>
      <c r="Q79" s="6">
        <v>2.2111828724005855</v>
      </c>
      <c r="R79" s="6">
        <v>0.9685605131462901</v>
      </c>
      <c r="S79" s="6">
        <v>1.824620691790017</v>
      </c>
      <c r="T79" s="6">
        <v>4.3590649533395576</v>
      </c>
      <c r="U79" s="6">
        <v>2.7511614594514291</v>
      </c>
      <c r="V79" s="6">
        <v>0.35553410544300795</v>
      </c>
    </row>
    <row r="80" spans="1:23" x14ac:dyDescent="0.25">
      <c r="A80" s="3" t="s">
        <v>113</v>
      </c>
      <c r="B80" s="6">
        <v>0.01</v>
      </c>
      <c r="C80" s="6">
        <v>2.2775616473087439</v>
      </c>
      <c r="D80" s="6">
        <v>0.01</v>
      </c>
      <c r="E80" s="6">
        <v>0.01</v>
      </c>
      <c r="F80" s="6">
        <v>2.1638281603306653</v>
      </c>
      <c r="G80" s="6">
        <v>4.2174102194107013</v>
      </c>
      <c r="H80" s="6">
        <v>0.01</v>
      </c>
      <c r="I80" s="6">
        <v>0.01</v>
      </c>
      <c r="J80" s="6">
        <v>9.2584886074353445</v>
      </c>
      <c r="K80" s="6">
        <v>3.2749392408459075</v>
      </c>
      <c r="L80" s="6">
        <v>2.2781303903893506</v>
      </c>
      <c r="M80" s="6">
        <v>1.5703138611629266</v>
      </c>
      <c r="N80" s="6">
        <v>2.601873958820776</v>
      </c>
      <c r="O80" s="6">
        <v>0.01</v>
      </c>
      <c r="P80" s="6">
        <v>7.3064596649821283</v>
      </c>
      <c r="Q80" s="6">
        <v>0.01</v>
      </c>
      <c r="R80" s="6">
        <v>0.01</v>
      </c>
      <c r="S80" s="6">
        <v>0.01</v>
      </c>
      <c r="T80" s="6">
        <v>0.01</v>
      </c>
      <c r="U80" s="6">
        <v>2.3541326473340503</v>
      </c>
      <c r="V80" s="6">
        <v>0.01</v>
      </c>
    </row>
    <row r="81" spans="1:22" x14ac:dyDescent="0.25">
      <c r="A81" s="3" t="s">
        <v>114</v>
      </c>
      <c r="B81" s="6">
        <v>13.023526952662689</v>
      </c>
      <c r="C81" s="6">
        <v>9.6791892728676938</v>
      </c>
      <c r="D81" s="6">
        <v>11.450434541255914</v>
      </c>
      <c r="E81" s="6">
        <v>12.848075247388946</v>
      </c>
      <c r="F81" s="6">
        <v>26.484092446225635</v>
      </c>
      <c r="G81" s="6">
        <v>15.781970098489149</v>
      </c>
      <c r="H81" s="6">
        <v>10.017486543114709</v>
      </c>
      <c r="I81" s="6">
        <v>23.530586784797045</v>
      </c>
      <c r="J81" s="6">
        <v>10.042158198120628</v>
      </c>
      <c r="K81" s="6">
        <v>10.73236212848467</v>
      </c>
      <c r="L81" s="6">
        <v>11.805480015859599</v>
      </c>
      <c r="M81" s="6">
        <v>14.801094008155138</v>
      </c>
      <c r="N81" s="6">
        <v>14.438149325109803</v>
      </c>
      <c r="O81" s="6">
        <v>7.5407554139548587</v>
      </c>
      <c r="P81" s="6">
        <v>16.875579726045302</v>
      </c>
      <c r="Q81" s="6">
        <v>12.877373070990842</v>
      </c>
      <c r="R81" s="6">
        <v>16.421125491402393</v>
      </c>
      <c r="S81" s="6">
        <v>13.610310121656116</v>
      </c>
      <c r="T81" s="6">
        <v>29.001377062102659</v>
      </c>
      <c r="U81" s="6">
        <v>14.156892618111646</v>
      </c>
      <c r="V81" s="6">
        <v>8.2988217896392751</v>
      </c>
    </row>
    <row r="82" spans="1:22" x14ac:dyDescent="0.25">
      <c r="A82" s="3" t="s">
        <v>28</v>
      </c>
      <c r="B82" s="6">
        <v>32.153434959810383</v>
      </c>
      <c r="C82" s="6">
        <v>18.559939249382062</v>
      </c>
      <c r="D82" s="6">
        <v>22.680677963678374</v>
      </c>
      <c r="E82" s="6">
        <v>29.25914465422365</v>
      </c>
      <c r="F82" s="6">
        <v>51.048082117017387</v>
      </c>
      <c r="G82" s="6">
        <v>29.906291024435227</v>
      </c>
      <c r="H82" s="6">
        <v>13.776822315171103</v>
      </c>
      <c r="I82" s="6">
        <v>41.667505333234452</v>
      </c>
      <c r="J82" s="6">
        <v>23.686778090207827</v>
      </c>
      <c r="K82" s="6">
        <v>18.807578042470972</v>
      </c>
      <c r="L82" s="6">
        <v>31.882554886676189</v>
      </c>
      <c r="M82" s="6">
        <v>21.263240592185213</v>
      </c>
      <c r="N82" s="6">
        <v>31.305180516108763</v>
      </c>
      <c r="O82" s="6">
        <v>21.07804486981513</v>
      </c>
      <c r="P82" s="6">
        <v>22.990865914211319</v>
      </c>
      <c r="Q82" s="6">
        <v>23.681987411632146</v>
      </c>
      <c r="R82" s="6">
        <v>28.017869703664211</v>
      </c>
      <c r="S82" s="6">
        <v>26.482040107367347</v>
      </c>
      <c r="T82" s="6">
        <v>45.148710640194601</v>
      </c>
      <c r="U82" s="6">
        <v>30.339218607669309</v>
      </c>
      <c r="V82" s="6">
        <v>11.550117839650532</v>
      </c>
    </row>
    <row r="83" spans="1:22" x14ac:dyDescent="0.25">
      <c r="A83" s="3" t="s">
        <v>29</v>
      </c>
      <c r="B83" s="6">
        <v>30.673041759032895</v>
      </c>
      <c r="C83" s="6">
        <v>32.711247812874056</v>
      </c>
      <c r="D83" s="6">
        <v>40.327766457916091</v>
      </c>
      <c r="E83" s="6">
        <v>36.466218839704119</v>
      </c>
      <c r="F83" s="6">
        <v>65.010027053241686</v>
      </c>
      <c r="G83" s="6">
        <v>44.192042266452134</v>
      </c>
      <c r="H83" s="6">
        <v>34.625831710003474</v>
      </c>
      <c r="I83" s="6">
        <v>50.135580191361058</v>
      </c>
      <c r="J83" s="6">
        <v>26.095988030163117</v>
      </c>
      <c r="K83" s="6">
        <v>27.93374060228486</v>
      </c>
      <c r="L83" s="6">
        <v>39.495255564939214</v>
      </c>
      <c r="M83" s="6">
        <v>29.433978377466985</v>
      </c>
      <c r="N83" s="6">
        <v>29.858835641210437</v>
      </c>
      <c r="O83" s="6">
        <v>33.316786212435034</v>
      </c>
      <c r="P83" s="6">
        <v>33.990310256363934</v>
      </c>
      <c r="Q83" s="6">
        <v>41.394786110655026</v>
      </c>
      <c r="R83" s="6">
        <v>33.891022344888505</v>
      </c>
      <c r="S83" s="6">
        <v>38.499955543758396</v>
      </c>
      <c r="T83" s="6">
        <v>36.910740832041448</v>
      </c>
      <c r="U83" s="6">
        <v>27.687545638327261</v>
      </c>
      <c r="V83" s="6">
        <v>15.105565248842062</v>
      </c>
    </row>
  </sheetData>
  <mergeCells count="1">
    <mergeCell ref="A1:H1"/>
  </mergeCell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zoomScale="85" zoomScaleNormal="85" workbookViewId="0">
      <selection sqref="A1:H1"/>
    </sheetView>
  </sheetViews>
  <sheetFormatPr defaultRowHeight="15" x14ac:dyDescent="0.25"/>
  <cols>
    <col min="1" max="1" width="16" bestFit="1" customWidth="1"/>
    <col min="2" max="3" width="27" bestFit="1" customWidth="1"/>
    <col min="4" max="4" width="26.140625" bestFit="1" customWidth="1"/>
    <col min="5" max="5" width="23.28515625" bestFit="1" customWidth="1"/>
    <col min="6" max="6" width="22.28515625" bestFit="1" customWidth="1"/>
    <col min="7" max="7" width="22.42578125" bestFit="1" customWidth="1"/>
    <col min="8" max="8" width="23.140625" bestFit="1" customWidth="1"/>
    <col min="9" max="9" width="24.85546875" bestFit="1" customWidth="1"/>
    <col min="10" max="10" width="23" bestFit="1" customWidth="1"/>
    <col min="11" max="11" width="22.5703125" bestFit="1" customWidth="1"/>
    <col min="12" max="12" width="21.140625" bestFit="1" customWidth="1"/>
    <col min="13" max="13" width="25.85546875" bestFit="1" customWidth="1"/>
    <col min="14" max="14" width="24.85546875" bestFit="1" customWidth="1"/>
    <col min="15" max="15" width="26.7109375" bestFit="1" customWidth="1"/>
    <col min="16" max="16" width="21.85546875" bestFit="1" customWidth="1"/>
    <col min="17" max="17" width="26.42578125" bestFit="1" customWidth="1"/>
    <col min="18" max="18" width="25" bestFit="1" customWidth="1"/>
    <col min="19" max="19" width="23.140625" bestFit="1" customWidth="1"/>
    <col min="20" max="20" width="23.28515625" bestFit="1" customWidth="1"/>
    <col min="21" max="21" width="23" bestFit="1" customWidth="1"/>
    <col min="22" max="22" width="22.42578125" bestFit="1" customWidth="1"/>
  </cols>
  <sheetData>
    <row r="1" spans="1:22" ht="32.25" customHeight="1" x14ac:dyDescent="0.25">
      <c r="A1" s="18" t="s">
        <v>248</v>
      </c>
      <c r="B1" s="18"/>
      <c r="C1" s="18"/>
      <c r="D1" s="18"/>
      <c r="E1" s="18"/>
      <c r="F1" s="18"/>
      <c r="G1" s="18"/>
      <c r="H1" s="18"/>
    </row>
    <row r="2" spans="1:22" x14ac:dyDescent="0.25">
      <c r="A2" s="4" t="s">
        <v>31</v>
      </c>
      <c r="B2" s="2" t="s">
        <v>115</v>
      </c>
      <c r="C2" s="1" t="s">
        <v>116</v>
      </c>
      <c r="D2" s="1" t="s">
        <v>135</v>
      </c>
      <c r="E2" s="1" t="s">
        <v>134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126</v>
      </c>
      <c r="P2" s="1" t="s">
        <v>127</v>
      </c>
      <c r="Q2" s="1" t="s">
        <v>128</v>
      </c>
      <c r="R2" s="1" t="s">
        <v>129</v>
      </c>
      <c r="S2" s="1" t="s">
        <v>130</v>
      </c>
      <c r="T2" s="1" t="s">
        <v>131</v>
      </c>
      <c r="U2" s="1" t="s">
        <v>132</v>
      </c>
      <c r="V2" s="1" t="s">
        <v>133</v>
      </c>
    </row>
    <row r="3" spans="1:22" x14ac:dyDescent="0.25">
      <c r="A3" s="3" t="s">
        <v>0</v>
      </c>
      <c r="B3" s="5">
        <v>0.76387525864524675</v>
      </c>
      <c r="C3" s="6">
        <v>0.55644105420502388</v>
      </c>
      <c r="D3" s="6">
        <v>0.52109671680288849</v>
      </c>
      <c r="E3" s="6">
        <v>0.96548344093391325</v>
      </c>
      <c r="F3" s="6">
        <v>0.7785255700563164</v>
      </c>
      <c r="G3" s="6">
        <v>0.56340944038141838</v>
      </c>
      <c r="H3" s="6">
        <v>1.4325385177472854</v>
      </c>
      <c r="I3" s="6">
        <v>1.7074635412832631</v>
      </c>
      <c r="J3" s="6">
        <v>1.2270758675093507</v>
      </c>
      <c r="K3" s="6">
        <v>0.77231220096551445</v>
      </c>
      <c r="L3" s="6">
        <v>0.43237297068051106</v>
      </c>
      <c r="M3" s="6">
        <v>0.71422808151313077</v>
      </c>
      <c r="N3" s="6">
        <v>0.56293761454154678</v>
      </c>
      <c r="O3" s="6">
        <v>0.59478362723282485</v>
      </c>
      <c r="P3" s="6">
        <v>0.45294005522931635</v>
      </c>
      <c r="Q3" s="6">
        <v>0.60288158830331329</v>
      </c>
      <c r="R3" s="6">
        <v>0.19679527579218026</v>
      </c>
      <c r="S3" s="6">
        <v>0.62690667469496242</v>
      </c>
      <c r="T3" s="6">
        <v>0.59463954376812767</v>
      </c>
      <c r="U3" s="6">
        <v>0.76171979605051743</v>
      </c>
      <c r="V3" s="6">
        <v>0.47082341768117936</v>
      </c>
    </row>
    <row r="4" spans="1:22" x14ac:dyDescent="0.25">
      <c r="A4" s="3" t="s">
        <v>1</v>
      </c>
      <c r="B4" s="5">
        <v>0.01</v>
      </c>
      <c r="C4" s="6">
        <v>0.01</v>
      </c>
      <c r="D4" s="6">
        <v>0.01</v>
      </c>
      <c r="E4" s="6">
        <v>0.01</v>
      </c>
      <c r="F4" s="6">
        <v>0.01</v>
      </c>
      <c r="G4" s="6">
        <v>0.01</v>
      </c>
      <c r="H4" s="6">
        <v>0.50277325734453993</v>
      </c>
      <c r="I4" s="6">
        <v>0.78381806868980186</v>
      </c>
      <c r="J4" s="6">
        <v>0.47820851088799649</v>
      </c>
      <c r="K4" s="6">
        <v>0.01</v>
      </c>
      <c r="L4" s="6">
        <v>0.01</v>
      </c>
      <c r="M4" s="6">
        <v>0.01</v>
      </c>
      <c r="N4" s="6">
        <v>0.01</v>
      </c>
      <c r="O4" s="6">
        <v>0.01</v>
      </c>
      <c r="P4" s="6">
        <v>0.01</v>
      </c>
      <c r="Q4" s="6">
        <v>0.01</v>
      </c>
      <c r="R4" s="6">
        <v>0.01</v>
      </c>
      <c r="S4" s="6">
        <v>0.01</v>
      </c>
      <c r="T4" s="6">
        <v>0.01</v>
      </c>
      <c r="U4" s="6">
        <v>0.01</v>
      </c>
      <c r="V4" s="6">
        <v>0.01</v>
      </c>
    </row>
    <row r="5" spans="1:22" x14ac:dyDescent="0.25">
      <c r="A5" s="3" t="s">
        <v>2</v>
      </c>
      <c r="B5" s="5">
        <v>0.01</v>
      </c>
      <c r="C5" s="6">
        <v>0.01</v>
      </c>
      <c r="D5" s="6">
        <v>0.01</v>
      </c>
      <c r="E5" s="6">
        <v>0.01</v>
      </c>
      <c r="F5" s="6">
        <v>0.01</v>
      </c>
      <c r="G5" s="6">
        <v>0.01</v>
      </c>
      <c r="H5" s="6">
        <v>0.01</v>
      </c>
      <c r="I5" s="6">
        <v>0.80387515681124044</v>
      </c>
      <c r="J5" s="6">
        <v>0.01</v>
      </c>
      <c r="K5" s="6">
        <v>0.01</v>
      </c>
      <c r="L5" s="6">
        <v>0.01</v>
      </c>
      <c r="M5" s="6">
        <v>0.01</v>
      </c>
      <c r="N5" s="6">
        <v>0.01</v>
      </c>
      <c r="O5" s="6">
        <v>0.01</v>
      </c>
      <c r="P5" s="6">
        <v>0.01</v>
      </c>
      <c r="Q5" s="6">
        <v>0.01</v>
      </c>
      <c r="R5" s="6">
        <v>0.01</v>
      </c>
      <c r="S5" s="6">
        <v>0.01</v>
      </c>
      <c r="T5" s="6">
        <v>0.01</v>
      </c>
      <c r="U5" s="6">
        <v>0.01</v>
      </c>
      <c r="V5" s="6">
        <v>0.01</v>
      </c>
    </row>
    <row r="6" spans="1:22" x14ac:dyDescent="0.25">
      <c r="A6" s="3" t="s">
        <v>3</v>
      </c>
      <c r="B6" s="5">
        <v>0.36171326898036016</v>
      </c>
      <c r="C6" s="6">
        <v>0.01</v>
      </c>
      <c r="D6" s="6">
        <v>0.01</v>
      </c>
      <c r="E6" s="6">
        <v>0.6202904267678484</v>
      </c>
      <c r="F6" s="6">
        <v>0.01</v>
      </c>
      <c r="G6" s="6">
        <v>0.52306468831673536</v>
      </c>
      <c r="H6" s="6">
        <v>6.3518590729088933</v>
      </c>
      <c r="I6" s="6">
        <v>0.01</v>
      </c>
      <c r="J6" s="6">
        <v>0.01</v>
      </c>
      <c r="K6" s="6">
        <v>0.74755658396236579</v>
      </c>
      <c r="L6" s="6">
        <v>1.5234483587463412</v>
      </c>
      <c r="M6" s="6">
        <v>0.92959857454833317</v>
      </c>
      <c r="N6" s="6">
        <v>1.8034179581152401</v>
      </c>
      <c r="O6" s="6">
        <v>0.73336147490704873</v>
      </c>
      <c r="P6" s="6">
        <v>2.2180202623488392</v>
      </c>
      <c r="Q6" s="6">
        <v>0.9948372246109477</v>
      </c>
      <c r="R6" s="6">
        <v>0.01</v>
      </c>
      <c r="S6" s="6">
        <v>0.39953934887839043</v>
      </c>
      <c r="T6" s="6">
        <v>0.54026242918221035</v>
      </c>
      <c r="U6" s="6">
        <v>0.01</v>
      </c>
      <c r="V6" s="6">
        <v>0.54868889704164692</v>
      </c>
    </row>
    <row r="7" spans="1:22" x14ac:dyDescent="0.25">
      <c r="A7" s="3" t="s">
        <v>4</v>
      </c>
      <c r="B7" s="5">
        <v>29.107115551614299</v>
      </c>
      <c r="C7" s="6">
        <v>10.936524285967735</v>
      </c>
      <c r="D7" s="6">
        <v>16.982662934448275</v>
      </c>
      <c r="E7" s="6">
        <v>17.220456274698019</v>
      </c>
      <c r="F7" s="6">
        <v>19.432886038252871</v>
      </c>
      <c r="G7" s="6">
        <v>24.728180572177948</v>
      </c>
      <c r="H7" s="6">
        <v>11.331163996470572</v>
      </c>
      <c r="I7" s="6">
        <v>24.672191312167769</v>
      </c>
      <c r="J7" s="6">
        <v>14.168205111065916</v>
      </c>
      <c r="K7" s="6">
        <v>26.877436554851204</v>
      </c>
      <c r="L7" s="6">
        <v>19.793419169719542</v>
      </c>
      <c r="M7" s="6">
        <v>10.854497704298732</v>
      </c>
      <c r="N7" s="6">
        <v>16.878685971052082</v>
      </c>
      <c r="O7" s="6">
        <v>20.331336625343322</v>
      </c>
      <c r="P7" s="6">
        <v>12.034233672784749</v>
      </c>
      <c r="Q7" s="6">
        <v>24.200148836271513</v>
      </c>
      <c r="R7" s="6">
        <v>35.306414489529409</v>
      </c>
      <c r="S7" s="6">
        <v>16.960710753072863</v>
      </c>
      <c r="T7" s="6">
        <v>42.6078165571314</v>
      </c>
      <c r="U7" s="6">
        <v>20.723870625870404</v>
      </c>
      <c r="V7" s="6">
        <v>16.149435479692041</v>
      </c>
    </row>
    <row r="8" spans="1:22" x14ac:dyDescent="0.25">
      <c r="A8" s="3" t="s">
        <v>5</v>
      </c>
      <c r="B8" s="5">
        <v>0.27652094172343772</v>
      </c>
      <c r="C8" s="6">
        <v>0.70113064384468027</v>
      </c>
      <c r="D8" s="6">
        <v>0.01</v>
      </c>
      <c r="E8" s="6">
        <v>1.4198371600463411</v>
      </c>
      <c r="F8" s="6">
        <v>4.6169308209939786</v>
      </c>
      <c r="G8" s="6">
        <v>0.71522347758843929</v>
      </c>
      <c r="H8" s="6">
        <v>12.262297083434616</v>
      </c>
      <c r="I8" s="6">
        <v>17.349131844992446</v>
      </c>
      <c r="J8" s="6">
        <v>9.1975826100650284</v>
      </c>
      <c r="K8" s="6">
        <v>0.27452775523578987</v>
      </c>
      <c r="L8" s="6">
        <v>0.93202264442626837</v>
      </c>
      <c r="M8" s="6">
        <v>0.53278240965311141</v>
      </c>
      <c r="N8" s="6">
        <v>0.52769650989992556</v>
      </c>
      <c r="O8" s="6">
        <v>1.0990285291094686</v>
      </c>
      <c r="P8" s="6">
        <v>0.65221903299913642</v>
      </c>
      <c r="Q8" s="6">
        <v>1.1594313709032773</v>
      </c>
      <c r="R8" s="6">
        <v>0.01</v>
      </c>
      <c r="S8" s="6">
        <v>1.3295167344263319</v>
      </c>
      <c r="T8" s="6">
        <v>2.3713267688398925</v>
      </c>
      <c r="U8" s="6">
        <v>0.8901853553544371</v>
      </c>
      <c r="V8" s="6">
        <v>0.8815106985454717</v>
      </c>
    </row>
    <row r="9" spans="1:22" x14ac:dyDescent="0.25">
      <c r="A9" s="3" t="s">
        <v>6</v>
      </c>
      <c r="B9" s="5">
        <v>0.01</v>
      </c>
      <c r="C9" s="6">
        <v>0.01</v>
      </c>
      <c r="D9" s="6">
        <v>0.01</v>
      </c>
      <c r="E9" s="6">
        <v>0.01</v>
      </c>
      <c r="F9" s="6">
        <v>0.01</v>
      </c>
      <c r="G9" s="6">
        <v>0.01</v>
      </c>
      <c r="H9" s="6">
        <v>2.6394880865324084</v>
      </c>
      <c r="I9" s="6">
        <v>7.4858715711322859</v>
      </c>
      <c r="J9" s="6">
        <v>1.5900364456144036</v>
      </c>
      <c r="K9" s="6">
        <v>0.01</v>
      </c>
      <c r="L9" s="6">
        <v>0.01</v>
      </c>
      <c r="M9" s="6">
        <v>0.01</v>
      </c>
      <c r="N9" s="6">
        <v>0.01</v>
      </c>
      <c r="O9" s="6">
        <v>0.01</v>
      </c>
      <c r="P9" s="6">
        <v>0.01</v>
      </c>
      <c r="Q9" s="6">
        <v>0.01</v>
      </c>
      <c r="R9" s="6">
        <v>0.01</v>
      </c>
      <c r="S9" s="6">
        <v>0.01</v>
      </c>
      <c r="T9" s="6">
        <v>0.01</v>
      </c>
      <c r="U9" s="6">
        <v>0.01</v>
      </c>
      <c r="V9" s="6">
        <v>0.01</v>
      </c>
    </row>
    <row r="10" spans="1:22" x14ac:dyDescent="0.25">
      <c r="A10" s="3" t="s">
        <v>7</v>
      </c>
      <c r="B10" s="5">
        <v>0.46175031048267273</v>
      </c>
      <c r="C10" s="6">
        <v>0.97195877179615309</v>
      </c>
      <c r="D10" s="6">
        <v>0.64940441669021132</v>
      </c>
      <c r="E10" s="6">
        <v>1.1198430971818227</v>
      </c>
      <c r="F10" s="6">
        <v>0.53883982067377667</v>
      </c>
      <c r="G10" s="6">
        <v>0.46165029163476062</v>
      </c>
      <c r="H10" s="6">
        <v>2.4310880016263927</v>
      </c>
      <c r="I10" s="6">
        <v>0.01</v>
      </c>
      <c r="J10" s="6">
        <v>0.79726402147167164</v>
      </c>
      <c r="K10" s="6">
        <v>1.1336824009396851</v>
      </c>
      <c r="L10" s="6">
        <v>0.01</v>
      </c>
      <c r="M10" s="6">
        <v>0.52790632835178519</v>
      </c>
      <c r="N10" s="6">
        <v>0.45353075242344526</v>
      </c>
      <c r="O10" s="6">
        <v>0.86530018925626451</v>
      </c>
      <c r="P10" s="6">
        <v>0.71836296913278119</v>
      </c>
      <c r="Q10" s="6">
        <v>0.83576812804765499</v>
      </c>
      <c r="R10" s="6">
        <v>0.01</v>
      </c>
      <c r="S10" s="6">
        <v>1.2026121203883999</v>
      </c>
      <c r="T10" s="6">
        <v>0.01</v>
      </c>
      <c r="U10" s="6">
        <v>1.1164420452739223</v>
      </c>
      <c r="V10" s="6">
        <v>0.6429685795522827</v>
      </c>
    </row>
    <row r="11" spans="1:22" x14ac:dyDescent="0.25">
      <c r="A11" s="3" t="s">
        <v>8</v>
      </c>
      <c r="B11" s="5">
        <v>0.01</v>
      </c>
      <c r="C11" s="6">
        <v>0.01</v>
      </c>
      <c r="D11" s="6">
        <v>0.01</v>
      </c>
      <c r="E11" s="6">
        <v>0.01</v>
      </c>
      <c r="F11" s="6">
        <v>0.01</v>
      </c>
      <c r="G11" s="6">
        <v>0.01</v>
      </c>
      <c r="H11" s="6">
        <v>1.4498655801615097</v>
      </c>
      <c r="I11" s="6">
        <v>3.6530316806167171</v>
      </c>
      <c r="J11" s="6">
        <v>1.4106424919237117</v>
      </c>
      <c r="K11" s="6">
        <v>0.01</v>
      </c>
      <c r="L11" s="6">
        <v>0.01</v>
      </c>
      <c r="M11" s="6">
        <v>0.01</v>
      </c>
      <c r="N11" s="6">
        <v>0.01</v>
      </c>
      <c r="O11" s="6">
        <v>0.01</v>
      </c>
      <c r="P11" s="6">
        <v>0.01</v>
      </c>
      <c r="Q11" s="6">
        <v>0.01</v>
      </c>
      <c r="R11" s="6">
        <v>0.01</v>
      </c>
      <c r="S11" s="6">
        <v>0.01</v>
      </c>
      <c r="T11" s="6">
        <v>0.01</v>
      </c>
      <c r="U11" s="6">
        <v>0.01</v>
      </c>
      <c r="V11" s="6">
        <v>0.01</v>
      </c>
    </row>
    <row r="12" spans="1:22" x14ac:dyDescent="0.25">
      <c r="A12" s="3" t="s">
        <v>9</v>
      </c>
      <c r="B12" s="5">
        <v>31.320039329295565</v>
      </c>
      <c r="C12" s="6">
        <v>22.84558644163879</v>
      </c>
      <c r="D12" s="6">
        <v>23.207447523624655</v>
      </c>
      <c r="E12" s="6">
        <v>25.024033604860204</v>
      </c>
      <c r="F12" s="6">
        <v>25.257178699656418</v>
      </c>
      <c r="G12" s="6">
        <v>24.043838676368377</v>
      </c>
      <c r="H12" s="6">
        <v>22.386087697671552</v>
      </c>
      <c r="I12" s="6">
        <v>26.324190886630571</v>
      </c>
      <c r="J12" s="6">
        <v>12.610861423806419</v>
      </c>
      <c r="K12" s="6">
        <v>25.498312668669001</v>
      </c>
      <c r="L12" s="6">
        <v>44.790007835531242</v>
      </c>
      <c r="M12" s="6">
        <v>31.467969504434603</v>
      </c>
      <c r="N12" s="6">
        <v>36.323780906032304</v>
      </c>
      <c r="O12" s="6">
        <v>20.656615547872534</v>
      </c>
      <c r="P12" s="6">
        <v>39.378361160641965</v>
      </c>
      <c r="Q12" s="6">
        <v>35.032136132259517</v>
      </c>
      <c r="R12" s="6">
        <v>46.970366844914132</v>
      </c>
      <c r="S12" s="6">
        <v>15.864793585204239</v>
      </c>
      <c r="T12" s="6">
        <v>34.508645833237772</v>
      </c>
      <c r="U12" s="6">
        <v>14.750998406580022</v>
      </c>
      <c r="V12" s="6">
        <v>23.730936590502626</v>
      </c>
    </row>
    <row r="13" spans="1:22" x14ac:dyDescent="0.25">
      <c r="A13" s="3" t="s">
        <v>10</v>
      </c>
      <c r="B13" s="5">
        <v>5.8978640168020036</v>
      </c>
      <c r="C13" s="6">
        <v>5.5022065263167308</v>
      </c>
      <c r="D13" s="6">
        <v>4.4652717702342102</v>
      </c>
      <c r="E13" s="6">
        <v>7.9970065761803886</v>
      </c>
      <c r="F13" s="6">
        <v>7.8766549653522278</v>
      </c>
      <c r="G13" s="6">
        <v>4.068661485564343</v>
      </c>
      <c r="H13" s="6">
        <v>32.40673194815151</v>
      </c>
      <c r="I13" s="6">
        <v>2.2266359690087545</v>
      </c>
      <c r="J13" s="6">
        <v>5.432365011302803</v>
      </c>
      <c r="K13" s="6">
        <v>3.6297154647746166</v>
      </c>
      <c r="L13" s="6">
        <v>1.8457113191652181</v>
      </c>
      <c r="M13" s="6">
        <v>6.9239480812438954</v>
      </c>
      <c r="N13" s="6">
        <v>2.0770713335284241</v>
      </c>
      <c r="O13" s="6">
        <v>7.8514685249837912</v>
      </c>
      <c r="P13" s="6">
        <v>3.1638039642985185</v>
      </c>
      <c r="Q13" s="6">
        <v>7.5505822123820936</v>
      </c>
      <c r="R13" s="6">
        <v>0.01</v>
      </c>
      <c r="S13" s="6">
        <v>7.9438598155502262</v>
      </c>
      <c r="T13" s="6">
        <v>2.1531369338752433</v>
      </c>
      <c r="U13" s="6">
        <v>4.3832580010459763</v>
      </c>
      <c r="V13" s="6">
        <v>4.6777649506444341</v>
      </c>
    </row>
    <row r="14" spans="1:22" x14ac:dyDescent="0.25">
      <c r="A14" s="3" t="s">
        <v>11</v>
      </c>
      <c r="B14" s="5">
        <v>0.97349733147762552</v>
      </c>
      <c r="C14" s="6">
        <v>5.6346999166766336</v>
      </c>
      <c r="D14" s="6">
        <v>3.1622956791221406</v>
      </c>
      <c r="E14" s="6">
        <v>5.0893210546114114</v>
      </c>
      <c r="F14" s="6">
        <v>3.3832153940628173</v>
      </c>
      <c r="G14" s="6">
        <v>6.281783289938744</v>
      </c>
      <c r="H14" s="6">
        <v>0.01</v>
      </c>
      <c r="I14" s="6">
        <v>3.0577554700698606</v>
      </c>
      <c r="J14" s="6">
        <v>6.8861008467536005</v>
      </c>
      <c r="K14" s="6">
        <v>2.6870025625985723</v>
      </c>
      <c r="L14" s="6">
        <v>2.1615393272453671</v>
      </c>
      <c r="M14" s="6">
        <v>2.7456317658877474</v>
      </c>
      <c r="N14" s="6">
        <v>5.5456276792514778</v>
      </c>
      <c r="O14" s="6">
        <v>2.750096614082199</v>
      </c>
      <c r="P14" s="6">
        <v>4.8310970315825443</v>
      </c>
      <c r="Q14" s="6">
        <v>2.5821514363252747</v>
      </c>
      <c r="R14" s="6">
        <v>0.01</v>
      </c>
      <c r="S14" s="6">
        <v>4.2325359616644382</v>
      </c>
      <c r="T14" s="6">
        <v>2.3040256141561528</v>
      </c>
      <c r="U14" s="6">
        <v>5.0173662163406467</v>
      </c>
      <c r="V14" s="6">
        <v>6.9230961043463664</v>
      </c>
    </row>
    <row r="15" spans="1:22" x14ac:dyDescent="0.25">
      <c r="A15" s="3" t="s">
        <v>12</v>
      </c>
      <c r="B15" s="5">
        <v>0.01</v>
      </c>
      <c r="C15" s="6">
        <v>0.01</v>
      </c>
      <c r="D15" s="6">
        <v>0.01</v>
      </c>
      <c r="E15" s="6">
        <v>0.01</v>
      </c>
      <c r="F15" s="6">
        <v>0.01</v>
      </c>
      <c r="G15" s="6">
        <v>0.01</v>
      </c>
      <c r="H15" s="6">
        <v>0.01</v>
      </c>
      <c r="I15" s="6">
        <v>2.1975272087796318</v>
      </c>
      <c r="J15" s="6">
        <v>1.0556891234681649</v>
      </c>
      <c r="K15" s="6">
        <v>0.01</v>
      </c>
      <c r="L15" s="6">
        <v>0.01</v>
      </c>
      <c r="M15" s="6">
        <v>0.01</v>
      </c>
      <c r="N15" s="6">
        <v>0.01</v>
      </c>
      <c r="O15" s="6">
        <v>0.01</v>
      </c>
      <c r="P15" s="6">
        <v>0.01</v>
      </c>
      <c r="Q15" s="6">
        <v>0.01</v>
      </c>
      <c r="R15" s="6">
        <v>0.01</v>
      </c>
      <c r="S15" s="6">
        <v>0.01</v>
      </c>
      <c r="T15" s="6">
        <v>0.01</v>
      </c>
      <c r="U15" s="6">
        <v>0.01</v>
      </c>
      <c r="V15" s="6">
        <v>0.01</v>
      </c>
    </row>
    <row r="16" spans="1:22" x14ac:dyDescent="0.25">
      <c r="A16" s="3" t="s">
        <v>13</v>
      </c>
      <c r="B16" s="5">
        <v>0.53913126798536759</v>
      </c>
      <c r="C16" s="6">
        <v>0.9385481174536916</v>
      </c>
      <c r="D16" s="6">
        <v>1.3468673276489771</v>
      </c>
      <c r="E16" s="6">
        <v>0.82213502710056685</v>
      </c>
      <c r="F16" s="6">
        <v>1.2230149090239184</v>
      </c>
      <c r="G16" s="6">
        <v>0.70075946847539772</v>
      </c>
      <c r="H16" s="6">
        <v>1.9608050693174957</v>
      </c>
      <c r="I16" s="6">
        <v>2.3254083883958252</v>
      </c>
      <c r="J16" s="6">
        <v>2.4318157758994081</v>
      </c>
      <c r="K16" s="6">
        <v>0.34640432997475051</v>
      </c>
      <c r="L16" s="6">
        <v>0.01</v>
      </c>
      <c r="M16" s="6">
        <v>1.2493185369449107</v>
      </c>
      <c r="N16" s="6">
        <v>0.01</v>
      </c>
      <c r="O16" s="6">
        <v>0.84357781540352239</v>
      </c>
      <c r="P16" s="6">
        <v>0.01</v>
      </c>
      <c r="Q16" s="6">
        <v>0.01</v>
      </c>
      <c r="R16" s="6">
        <v>0.01</v>
      </c>
      <c r="S16" s="6">
        <v>0.01</v>
      </c>
      <c r="T16" s="6">
        <v>0.01</v>
      </c>
      <c r="U16" s="6">
        <v>1.0146275295521463</v>
      </c>
      <c r="V16" s="6">
        <v>0.01</v>
      </c>
    </row>
    <row r="17" spans="1:22" x14ac:dyDescent="0.25">
      <c r="A17" s="3" t="s">
        <v>14</v>
      </c>
      <c r="B17" s="5">
        <v>0.01</v>
      </c>
      <c r="C17" s="6">
        <v>0.01</v>
      </c>
      <c r="D17" s="6">
        <v>0.01</v>
      </c>
      <c r="E17" s="6">
        <v>0.01</v>
      </c>
      <c r="F17" s="6">
        <v>0.01</v>
      </c>
      <c r="G17" s="6">
        <v>1.156102844989608</v>
      </c>
      <c r="H17" s="6">
        <v>0.01</v>
      </c>
      <c r="I17" s="6">
        <v>0.01</v>
      </c>
      <c r="J17" s="6">
        <v>0.01</v>
      </c>
      <c r="K17" s="6">
        <v>0.01</v>
      </c>
      <c r="L17" s="6">
        <v>0.01</v>
      </c>
      <c r="M17" s="6">
        <v>0.01</v>
      </c>
      <c r="N17" s="6">
        <v>0.01</v>
      </c>
      <c r="O17" s="6">
        <v>0.01</v>
      </c>
      <c r="P17" s="6">
        <v>0.70154847369183626</v>
      </c>
      <c r="Q17" s="6">
        <v>0.01</v>
      </c>
      <c r="R17" s="6">
        <v>0.01</v>
      </c>
      <c r="S17" s="6">
        <v>0.01</v>
      </c>
      <c r="T17" s="6">
        <v>0.01</v>
      </c>
      <c r="U17" s="6">
        <v>0.01</v>
      </c>
      <c r="V17" s="6">
        <v>1.4651761325179482</v>
      </c>
    </row>
    <row r="18" spans="1:22" x14ac:dyDescent="0.25">
      <c r="A18" s="3" t="s">
        <v>15</v>
      </c>
      <c r="B18" s="5">
        <v>0.01</v>
      </c>
      <c r="C18" s="6">
        <v>0.01</v>
      </c>
      <c r="D18" s="6">
        <v>0.01</v>
      </c>
      <c r="E18" s="6">
        <v>0.01</v>
      </c>
      <c r="F18" s="6">
        <v>0.01</v>
      </c>
      <c r="G18" s="6">
        <v>0.01</v>
      </c>
      <c r="H18" s="6">
        <v>0.01</v>
      </c>
      <c r="I18" s="6">
        <v>0.01</v>
      </c>
      <c r="J18" s="6">
        <v>0.01</v>
      </c>
      <c r="K18" s="6">
        <v>3.64829871044779</v>
      </c>
      <c r="L18" s="6">
        <v>3.4666313767403416</v>
      </c>
      <c r="M18" s="6">
        <v>0.01</v>
      </c>
      <c r="N18" s="6">
        <v>4.8505254794195167</v>
      </c>
      <c r="O18" s="6">
        <v>1.3163062679532194</v>
      </c>
      <c r="P18" s="6">
        <v>5.3704351966388364</v>
      </c>
      <c r="Q18" s="6">
        <v>0.01</v>
      </c>
      <c r="R18" s="6">
        <v>0.01</v>
      </c>
      <c r="S18" s="6">
        <v>0.01</v>
      </c>
      <c r="T18" s="6">
        <v>0.01</v>
      </c>
      <c r="U18" s="6">
        <v>3.4921704524663517</v>
      </c>
      <c r="V18" s="6">
        <v>1.1667101434463738</v>
      </c>
    </row>
    <row r="19" spans="1:22" x14ac:dyDescent="0.25">
      <c r="A19" s="3" t="s">
        <v>16</v>
      </c>
      <c r="B19" s="5">
        <v>26.006322242890672</v>
      </c>
      <c r="C19" s="6">
        <v>42.422388406192987</v>
      </c>
      <c r="D19" s="6">
        <v>41.145671603806377</v>
      </c>
      <c r="E19" s="6">
        <v>34.042836044308821</v>
      </c>
      <c r="F19" s="6">
        <v>29.526449819598934</v>
      </c>
      <c r="G19" s="6">
        <v>33.117552221829762</v>
      </c>
      <c r="H19" s="6">
        <v>4.8453016886332287</v>
      </c>
      <c r="I19" s="6">
        <v>7.4130989014218338</v>
      </c>
      <c r="J19" s="6">
        <v>31.724336891144201</v>
      </c>
      <c r="K19" s="6">
        <v>30.436666066166264</v>
      </c>
      <c r="L19" s="6">
        <v>22.435314878186887</v>
      </c>
      <c r="M19" s="6">
        <v>35.371131499243987</v>
      </c>
      <c r="N19" s="6">
        <v>27.196766990616357</v>
      </c>
      <c r="O19" s="6">
        <v>35.88228102774633</v>
      </c>
      <c r="P19" s="6">
        <v>25.494493901563047</v>
      </c>
      <c r="Q19" s="6">
        <v>27.042063070896415</v>
      </c>
      <c r="R19" s="6">
        <v>17.526423389764279</v>
      </c>
      <c r="S19" s="6">
        <v>37.866273910614034</v>
      </c>
      <c r="T19" s="6">
        <v>14.56749546302261</v>
      </c>
      <c r="U19" s="6">
        <v>33.828128852598716</v>
      </c>
      <c r="V19" s="6">
        <v>38.151672574618857</v>
      </c>
    </row>
    <row r="20" spans="1:22" x14ac:dyDescent="0.25">
      <c r="A20" s="3" t="s">
        <v>17</v>
      </c>
      <c r="B20" s="5">
        <v>0.01</v>
      </c>
      <c r="C20" s="6">
        <v>0.01</v>
      </c>
      <c r="D20" s="6">
        <v>4.6566167768729398</v>
      </c>
      <c r="E20" s="6">
        <v>0.01</v>
      </c>
      <c r="F20" s="6">
        <v>1.3371571134709939</v>
      </c>
      <c r="G20" s="6">
        <v>0.72630691340884568</v>
      </c>
      <c r="H20" s="6">
        <v>0.01</v>
      </c>
      <c r="I20" s="6">
        <v>0.01</v>
      </c>
      <c r="J20" s="6">
        <v>0.01</v>
      </c>
      <c r="K20" s="6">
        <v>1.4590007826724027</v>
      </c>
      <c r="L20" s="6">
        <v>0.01</v>
      </c>
      <c r="M20" s="6">
        <v>0.56428861888833393</v>
      </c>
      <c r="N20" s="6">
        <v>1.8425834014217048</v>
      </c>
      <c r="O20" s="6">
        <v>1.6790025398967436</v>
      </c>
      <c r="P20" s="6">
        <v>2.921997975348015</v>
      </c>
      <c r="Q20" s="6">
        <v>0.01</v>
      </c>
      <c r="R20" s="6">
        <v>0.01</v>
      </c>
      <c r="S20" s="6">
        <v>0.01</v>
      </c>
      <c r="T20" s="6">
        <v>0.01</v>
      </c>
      <c r="U20" s="6">
        <v>2.775807914370116</v>
      </c>
      <c r="V20" s="6">
        <v>2.0604595620440027</v>
      </c>
    </row>
    <row r="21" spans="1:22" x14ac:dyDescent="0.25">
      <c r="A21" s="3" t="s">
        <v>18</v>
      </c>
      <c r="B21" s="5">
        <v>2.3923010287964237</v>
      </c>
      <c r="C21" s="6">
        <v>3.3242787107477301</v>
      </c>
      <c r="D21" s="6">
        <v>3.8626652507493247</v>
      </c>
      <c r="E21" s="6">
        <v>0.01</v>
      </c>
      <c r="F21" s="6">
        <v>3.8174296727488479</v>
      </c>
      <c r="G21" s="6">
        <v>2.9134666293256228</v>
      </c>
      <c r="H21" s="6">
        <v>0.01</v>
      </c>
      <c r="I21" s="6">
        <v>0.01</v>
      </c>
      <c r="J21" s="6">
        <v>5.172467077290448</v>
      </c>
      <c r="K21" s="6">
        <v>2.4890839187420561</v>
      </c>
      <c r="L21" s="6">
        <v>0.01</v>
      </c>
      <c r="M21" s="6">
        <v>7.4200568155979427</v>
      </c>
      <c r="N21" s="6">
        <v>0.01</v>
      </c>
      <c r="O21" s="6">
        <v>3.0312402472489475</v>
      </c>
      <c r="P21" s="6">
        <v>0.01</v>
      </c>
      <c r="Q21" s="6">
        <v>0.01</v>
      </c>
      <c r="R21" s="6">
        <v>0.01</v>
      </c>
      <c r="S21" s="6">
        <v>3.5047564869209338</v>
      </c>
      <c r="T21" s="6">
        <v>0.35265085678659164</v>
      </c>
      <c r="U21" s="6">
        <v>7.709007996365707</v>
      </c>
      <c r="V21" s="6">
        <v>3.1307568693667833</v>
      </c>
    </row>
    <row r="22" spans="1:22" x14ac:dyDescent="0.25">
      <c r="A22" s="3" t="s">
        <v>19</v>
      </c>
      <c r="B22" s="5">
        <v>0.01</v>
      </c>
      <c r="C22" s="6">
        <v>0.01</v>
      </c>
      <c r="D22" s="6">
        <v>0.01</v>
      </c>
      <c r="E22" s="6">
        <v>0.01</v>
      </c>
      <c r="F22" s="6">
        <v>0.01</v>
      </c>
      <c r="G22" s="6">
        <v>0.01</v>
      </c>
      <c r="H22" s="6">
        <v>0.01</v>
      </c>
      <c r="I22" s="6">
        <v>0.01</v>
      </c>
      <c r="J22" s="6">
        <v>0.01</v>
      </c>
      <c r="K22" s="6">
        <v>0.01</v>
      </c>
      <c r="L22" s="6">
        <v>0.01</v>
      </c>
      <c r="M22" s="6">
        <v>0.69864207939348899</v>
      </c>
      <c r="N22" s="6">
        <v>0.01</v>
      </c>
      <c r="O22" s="6">
        <v>0.01</v>
      </c>
      <c r="P22" s="6">
        <v>0.01</v>
      </c>
      <c r="Q22" s="6">
        <v>0.01</v>
      </c>
      <c r="R22" s="6">
        <v>0.01</v>
      </c>
      <c r="S22" s="6">
        <v>0.01</v>
      </c>
      <c r="T22" s="6">
        <v>0.01</v>
      </c>
      <c r="U22" s="6">
        <v>3.5364168081310332</v>
      </c>
      <c r="V22" s="6">
        <v>0.01</v>
      </c>
    </row>
    <row r="23" spans="1:22" x14ac:dyDescent="0.25">
      <c r="A23" s="3" t="s">
        <v>20</v>
      </c>
      <c r="B23" s="5">
        <v>0.01</v>
      </c>
      <c r="C23" s="6">
        <v>0.01</v>
      </c>
      <c r="D23" s="6">
        <v>0.01</v>
      </c>
      <c r="E23" s="6">
        <v>0.01</v>
      </c>
      <c r="F23" s="6">
        <v>0.01</v>
      </c>
      <c r="G23" s="6">
        <v>0.01</v>
      </c>
      <c r="H23" s="6">
        <v>0.01</v>
      </c>
      <c r="I23" s="6">
        <v>0.01</v>
      </c>
      <c r="J23" s="6">
        <v>0.01</v>
      </c>
      <c r="K23" s="6">
        <v>0.01</v>
      </c>
      <c r="L23" s="6">
        <v>0.01</v>
      </c>
      <c r="M23" s="6">
        <v>0.01</v>
      </c>
      <c r="N23" s="6">
        <v>0.01</v>
      </c>
      <c r="O23" s="6">
        <v>0.01</v>
      </c>
      <c r="P23" s="6">
        <v>1.4551180657384331</v>
      </c>
      <c r="Q23" s="6">
        <v>0.01</v>
      </c>
      <c r="R23" s="6">
        <v>0.01</v>
      </c>
      <c r="S23" s="6">
        <v>0.01</v>
      </c>
      <c r="T23" s="6">
        <v>0.01</v>
      </c>
      <c r="U23" s="6">
        <v>0.01</v>
      </c>
      <c r="V23" s="6">
        <v>0.01</v>
      </c>
    </row>
    <row r="24" spans="1:22" x14ac:dyDescent="0.25">
      <c r="A24" s="3" t="s">
        <v>21</v>
      </c>
      <c r="B24" s="5">
        <v>1.2183786695801118</v>
      </c>
      <c r="C24" s="6">
        <v>5.2221813642852366</v>
      </c>
      <c r="D24" s="6">
        <v>0.01</v>
      </c>
      <c r="E24" s="6">
        <v>5.6787572933106674</v>
      </c>
      <c r="F24" s="6">
        <v>2.2117171761088996</v>
      </c>
      <c r="G24" s="6">
        <v>0.01</v>
      </c>
      <c r="H24" s="6">
        <v>0.01</v>
      </c>
      <c r="I24" s="6">
        <v>0.01</v>
      </c>
      <c r="J24" s="6">
        <v>3.1132900821924196</v>
      </c>
      <c r="K24" s="6">
        <v>0.01</v>
      </c>
      <c r="L24" s="6">
        <v>2.6195321195582846</v>
      </c>
      <c r="M24" s="6">
        <v>0.01</v>
      </c>
      <c r="N24" s="6">
        <v>1.9373754036979793</v>
      </c>
      <c r="O24" s="6">
        <v>2.3656009689637738</v>
      </c>
      <c r="P24" s="6">
        <v>0.60736823800197504</v>
      </c>
      <c r="Q24" s="6">
        <v>0.01</v>
      </c>
      <c r="R24" s="6">
        <v>0.01</v>
      </c>
      <c r="S24" s="6">
        <v>7.788588208041328</v>
      </c>
      <c r="T24" s="6">
        <v>0.01</v>
      </c>
      <c r="U24" s="6">
        <v>0.01</v>
      </c>
      <c r="V24" s="6">
        <v>0.01</v>
      </c>
    </row>
    <row r="25" spans="1:22" x14ac:dyDescent="0.25">
      <c r="A25" s="3" t="s">
        <v>22</v>
      </c>
      <c r="B25" s="5">
        <v>0.68149078172621336</v>
      </c>
      <c r="C25" s="6">
        <v>0.94405576087460341</v>
      </c>
      <c r="D25" s="6">
        <v>0.01</v>
      </c>
      <c r="E25" s="6">
        <v>0.01</v>
      </c>
      <c r="F25" s="6">
        <v>0.01</v>
      </c>
      <c r="G25" s="6">
        <v>0.01</v>
      </c>
      <c r="H25" s="6">
        <v>0.01</v>
      </c>
      <c r="I25" s="6">
        <v>0.01</v>
      </c>
      <c r="J25" s="6">
        <v>2.7040587096044484</v>
      </c>
      <c r="K25" s="6">
        <v>0.01</v>
      </c>
      <c r="L25" s="6">
        <v>0.01</v>
      </c>
      <c r="M25" s="6">
        <v>0.01</v>
      </c>
      <c r="N25" s="6">
        <v>0.01</v>
      </c>
      <c r="O25" s="6">
        <v>0.01</v>
      </c>
      <c r="P25" s="6">
        <v>0.01</v>
      </c>
      <c r="Q25" s="6">
        <v>0.01</v>
      </c>
      <c r="R25" s="6">
        <v>0.01</v>
      </c>
      <c r="S25" s="6">
        <v>2.279906400543855</v>
      </c>
      <c r="T25" s="6">
        <v>0.01</v>
      </c>
      <c r="U25" s="6">
        <v>0.01</v>
      </c>
      <c r="V25" s="6">
        <v>0.01</v>
      </c>
    </row>
    <row r="26" spans="1:22" x14ac:dyDescent="0.25">
      <c r="A26" s="4" t="s">
        <v>32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3" t="s">
        <v>241</v>
      </c>
      <c r="B27" s="5">
        <v>0.76387525864524675</v>
      </c>
      <c r="C27" s="6">
        <v>0.55644105420502388</v>
      </c>
      <c r="D27" s="6">
        <v>0.52109671680288849</v>
      </c>
      <c r="E27" s="6">
        <v>0.96548344093391325</v>
      </c>
      <c r="F27" s="6">
        <v>0.7785255700563164</v>
      </c>
      <c r="G27" s="6">
        <v>0.56340944038141838</v>
      </c>
      <c r="H27" s="6">
        <v>1.4325385177472854</v>
      </c>
      <c r="I27" s="6">
        <v>1.7074635412832631</v>
      </c>
      <c r="J27" s="6">
        <v>1.2270758675093507</v>
      </c>
      <c r="K27" s="6">
        <v>0.77231220096551445</v>
      </c>
      <c r="L27" s="6">
        <v>0.43237297068051106</v>
      </c>
      <c r="M27" s="6">
        <v>0.71422808151313077</v>
      </c>
      <c r="N27" s="6">
        <v>0.56293761454154678</v>
      </c>
      <c r="O27" s="6">
        <v>0.59478362723282485</v>
      </c>
      <c r="P27" s="6">
        <v>0.45294005522931635</v>
      </c>
      <c r="Q27" s="6">
        <v>0.60288158830331329</v>
      </c>
      <c r="R27" s="6">
        <v>0.19679527579218026</v>
      </c>
      <c r="S27" s="6">
        <v>0.62690667469496242</v>
      </c>
      <c r="T27" s="6">
        <v>0.59463954376812767</v>
      </c>
      <c r="U27" s="6">
        <v>0.76171979605051743</v>
      </c>
      <c r="V27" s="6">
        <v>0.47082341768117936</v>
      </c>
    </row>
    <row r="28" spans="1:22" x14ac:dyDescent="0.25">
      <c r="A28" s="3" t="s">
        <v>23</v>
      </c>
      <c r="B28" s="5">
        <v>60.78886814989022</v>
      </c>
      <c r="C28" s="6">
        <v>33.782110727606522</v>
      </c>
      <c r="D28" s="6">
        <v>40.19011045807293</v>
      </c>
      <c r="E28" s="6">
        <v>42.864780306326068</v>
      </c>
      <c r="F28" s="6">
        <v>44.690064737909289</v>
      </c>
      <c r="G28" s="6">
        <v>49.295083936863065</v>
      </c>
      <c r="H28" s="6">
        <v>40.069110767051015</v>
      </c>
      <c r="I28" s="6">
        <v>50.996382198798344</v>
      </c>
      <c r="J28" s="6">
        <v>26.779066534872335</v>
      </c>
      <c r="K28" s="6">
        <v>56.771604517930356</v>
      </c>
      <c r="L28" s="6">
        <v>69.573506740737457</v>
      </c>
      <c r="M28" s="6">
        <v>43.252065783281665</v>
      </c>
      <c r="N28" s="6">
        <v>59.85641031461914</v>
      </c>
      <c r="O28" s="6">
        <v>43.037619916076117</v>
      </c>
      <c r="P28" s="6">
        <v>59.001050292414391</v>
      </c>
      <c r="Q28" s="6">
        <v>60.22712219314198</v>
      </c>
      <c r="R28" s="6">
        <v>82.276781334443541</v>
      </c>
      <c r="S28" s="6">
        <v>33.225043687155491</v>
      </c>
      <c r="T28" s="6">
        <v>77.656724819551386</v>
      </c>
      <c r="U28" s="6">
        <v>38.967039484916782</v>
      </c>
      <c r="V28" s="6">
        <v>41.595771110682684</v>
      </c>
    </row>
    <row r="29" spans="1:22" x14ac:dyDescent="0.25">
      <c r="A29" s="3" t="s">
        <v>24</v>
      </c>
      <c r="B29" s="5">
        <v>38.44725659146453</v>
      </c>
      <c r="C29" s="6">
        <v>65.661448218188454</v>
      </c>
      <c r="D29" s="6">
        <v>59.288792825124183</v>
      </c>
      <c r="E29" s="6">
        <v>56.169736252740023</v>
      </c>
      <c r="F29" s="6">
        <v>54.531409692034401</v>
      </c>
      <c r="G29" s="6">
        <v>50.141506622755529</v>
      </c>
      <c r="H29" s="6">
        <v>58.498350715201703</v>
      </c>
      <c r="I29" s="6">
        <v>47.296154259918396</v>
      </c>
      <c r="J29" s="6">
        <v>71.993857597618316</v>
      </c>
      <c r="K29" s="6">
        <v>42.456083281104142</v>
      </c>
      <c r="L29" s="6">
        <v>29.994120288582025</v>
      </c>
      <c r="M29" s="6">
        <v>56.0337061352052</v>
      </c>
      <c r="N29" s="6">
        <v>39.580652070839314</v>
      </c>
      <c r="O29" s="6">
        <v>56.367596456691039</v>
      </c>
      <c r="P29" s="6">
        <v>40.546009652356283</v>
      </c>
      <c r="Q29" s="6">
        <v>39.169996218554715</v>
      </c>
      <c r="R29" s="6">
        <v>17.526423389764279</v>
      </c>
      <c r="S29" s="6">
        <v>66.148049638149544</v>
      </c>
      <c r="T29" s="6">
        <v>21.74863563668049</v>
      </c>
      <c r="U29" s="6">
        <v>60.271240719032704</v>
      </c>
      <c r="V29" s="6">
        <v>57.933405471636149</v>
      </c>
    </row>
    <row r="30" spans="1:22" x14ac:dyDescent="0.25">
      <c r="A30" s="3" t="s">
        <v>25</v>
      </c>
      <c r="B30" s="5">
        <v>3.6129230785080044</v>
      </c>
      <c r="C30" s="6">
        <v>5.2068825890760255</v>
      </c>
      <c r="D30" s="6">
        <v>5.2095325783983011</v>
      </c>
      <c r="E30" s="6">
        <v>0.82213502710056685</v>
      </c>
      <c r="F30" s="6">
        <v>5.0404445817727659</v>
      </c>
      <c r="G30" s="6">
        <v>3.6142260978010206</v>
      </c>
      <c r="H30" s="6">
        <v>3.4106706494790053</v>
      </c>
      <c r="I30" s="6">
        <v>5.9784400690125423</v>
      </c>
      <c r="J30" s="6">
        <v>11.718984054718016</v>
      </c>
      <c r="K30" s="6">
        <v>2.8354882487168065</v>
      </c>
      <c r="L30" s="6">
        <v>0.01</v>
      </c>
      <c r="M30" s="6">
        <v>9.3680174319363427</v>
      </c>
      <c r="N30" s="6">
        <v>0.01</v>
      </c>
      <c r="O30" s="6">
        <v>3.8748180626524698</v>
      </c>
      <c r="P30" s="6">
        <v>0.01</v>
      </c>
      <c r="Q30" s="6">
        <v>0.01</v>
      </c>
      <c r="R30" s="6">
        <v>0.01</v>
      </c>
      <c r="S30" s="6">
        <v>5.7846628874647887</v>
      </c>
      <c r="T30" s="6">
        <v>0.35265085678659164</v>
      </c>
      <c r="U30" s="6">
        <v>12.260052334048886</v>
      </c>
      <c r="V30" s="6">
        <v>3.1307568693667833</v>
      </c>
    </row>
    <row r="31" spans="1:22" x14ac:dyDescent="0.25">
      <c r="A31" s="3" t="s">
        <v>26</v>
      </c>
      <c r="B31" s="5">
        <v>0.01</v>
      </c>
      <c r="C31" s="6">
        <v>0.01</v>
      </c>
      <c r="D31" s="6">
        <v>0.01</v>
      </c>
      <c r="E31" s="6">
        <v>0.01</v>
      </c>
      <c r="F31" s="6">
        <v>0.01</v>
      </c>
      <c r="G31" s="6">
        <v>0.01</v>
      </c>
      <c r="H31" s="6">
        <v>1.4498655801615097</v>
      </c>
      <c r="I31" s="6">
        <v>3.6530316806167171</v>
      </c>
      <c r="J31" s="6">
        <v>1.4106424919237117</v>
      </c>
      <c r="K31" s="6">
        <v>0.01</v>
      </c>
      <c r="L31" s="6">
        <v>0.01</v>
      </c>
      <c r="M31" s="6">
        <v>0.01</v>
      </c>
      <c r="N31" s="6">
        <v>0.01</v>
      </c>
      <c r="O31" s="6">
        <v>0.01</v>
      </c>
      <c r="P31" s="6">
        <v>0.01</v>
      </c>
      <c r="Q31" s="6">
        <v>0.01</v>
      </c>
      <c r="R31" s="6">
        <v>0.01</v>
      </c>
      <c r="S31" s="6">
        <v>0.01</v>
      </c>
      <c r="T31" s="6">
        <v>0.01</v>
      </c>
      <c r="U31" s="6">
        <v>0.01</v>
      </c>
      <c r="V31" s="6">
        <v>0.01</v>
      </c>
    </row>
    <row r="32" spans="1:22" x14ac:dyDescent="0.25">
      <c r="A32" s="3" t="s">
        <v>27</v>
      </c>
      <c r="B32" s="5">
        <v>3.6129230785080044</v>
      </c>
      <c r="C32" s="6">
        <v>5.2068825890760255</v>
      </c>
      <c r="D32" s="6">
        <v>5.2095325783983011</v>
      </c>
      <c r="E32" s="6">
        <v>0.82213502710056685</v>
      </c>
      <c r="F32" s="6">
        <v>5.0404445817727659</v>
      </c>
      <c r="G32" s="6">
        <v>3.6142260978010206</v>
      </c>
      <c r="H32" s="6">
        <v>1.9608050693174957</v>
      </c>
      <c r="I32" s="6">
        <v>2.3254083883958252</v>
      </c>
      <c r="J32" s="6">
        <v>10.308341562794304</v>
      </c>
      <c r="K32" s="6">
        <v>2.8354882487168065</v>
      </c>
      <c r="L32" s="6">
        <v>0.01</v>
      </c>
      <c r="M32" s="6">
        <v>9.3680174319363427</v>
      </c>
      <c r="N32" s="6">
        <v>0.01</v>
      </c>
      <c r="O32" s="6">
        <v>3.8748180626524698</v>
      </c>
      <c r="P32" s="6">
        <v>0.01</v>
      </c>
      <c r="Q32" s="6">
        <v>0.01</v>
      </c>
      <c r="R32" s="6">
        <v>0.01</v>
      </c>
      <c r="S32" s="6">
        <v>5.7846628874647887</v>
      </c>
      <c r="T32" s="6">
        <v>0.35265085678659164</v>
      </c>
      <c r="U32" s="6">
        <v>12.260052334048886</v>
      </c>
      <c r="V32" s="6">
        <v>3.1307568693667833</v>
      </c>
    </row>
    <row r="33" spans="1:22" x14ac:dyDescent="0.25">
      <c r="A33" s="3" t="s">
        <v>242</v>
      </c>
      <c r="B33" s="5">
        <v>0.01</v>
      </c>
      <c r="C33" s="6">
        <v>0.01</v>
      </c>
      <c r="D33" s="6">
        <v>0.01</v>
      </c>
      <c r="E33" s="6">
        <v>0.01</v>
      </c>
      <c r="F33" s="6">
        <v>0.01</v>
      </c>
      <c r="G33" s="6">
        <v>1.156102844989608</v>
      </c>
      <c r="H33" s="6">
        <v>0.01</v>
      </c>
      <c r="I33" s="6">
        <v>0.01</v>
      </c>
      <c r="J33" s="6">
        <v>0.01</v>
      </c>
      <c r="K33" s="6">
        <v>0.01</v>
      </c>
      <c r="L33" s="6">
        <v>0.01</v>
      </c>
      <c r="M33" s="6">
        <v>0.01</v>
      </c>
      <c r="N33" s="6">
        <v>0.01</v>
      </c>
      <c r="O33" s="6">
        <v>0.01</v>
      </c>
      <c r="P33" s="6">
        <v>0.70154847369183626</v>
      </c>
      <c r="Q33" s="6">
        <v>0.01</v>
      </c>
      <c r="R33" s="6">
        <v>0.01</v>
      </c>
      <c r="S33" s="6">
        <v>0.01</v>
      </c>
      <c r="T33" s="6">
        <v>0.01</v>
      </c>
      <c r="U33" s="6">
        <v>0.01</v>
      </c>
      <c r="V33" s="6">
        <v>1.4651761325179482</v>
      </c>
    </row>
    <row r="34" spans="1:22" x14ac:dyDescent="0.25">
      <c r="A34" s="3" t="s">
        <v>28</v>
      </c>
      <c r="B34" s="5">
        <v>127.53340169019197</v>
      </c>
      <c r="C34" s="6">
        <v>148.76722102230161</v>
      </c>
      <c r="D34" s="6">
        <v>149.14385691462576</v>
      </c>
      <c r="E34" s="6">
        <v>136.71598230987138</v>
      </c>
      <c r="F34" s="6">
        <v>131.49729739087738</v>
      </c>
      <c r="G34" s="6">
        <v>134.95562815827765</v>
      </c>
      <c r="H34" s="6">
        <v>80.206480090503987</v>
      </c>
      <c r="I34" s="6">
        <v>73.432379829116456</v>
      </c>
      <c r="J34" s="6">
        <v>122.34680029155396</v>
      </c>
      <c r="K34" s="6">
        <v>128.94205551696928</v>
      </c>
      <c r="L34" s="6">
        <v>118.70037164715171</v>
      </c>
      <c r="M34" s="6">
        <v>141.87750994740918</v>
      </c>
      <c r="N34" s="6">
        <v>123.23214823375983</v>
      </c>
      <c r="O34" s="6">
        <v>139.21464488465321</v>
      </c>
      <c r="P34" s="6">
        <v>118.87512750195846</v>
      </c>
      <c r="Q34" s="6">
        <v>124.28491288707889</v>
      </c>
      <c r="R34" s="6">
        <v>117.32962811397209</v>
      </c>
      <c r="S34" s="6">
        <v>144.52374944703274</v>
      </c>
      <c r="T34" s="6">
        <v>111.41391757801898</v>
      </c>
      <c r="U34" s="6">
        <v>142.70528596759425</v>
      </c>
      <c r="V34" s="6">
        <v>140.27515584931498</v>
      </c>
    </row>
    <row r="35" spans="1:22" x14ac:dyDescent="0.25">
      <c r="A35" s="3" t="s">
        <v>29</v>
      </c>
      <c r="B35" s="5">
        <v>31.681752598275924</v>
      </c>
      <c r="C35" s="6">
        <v>22.84558644163879</v>
      </c>
      <c r="D35" s="6">
        <v>23.207447523624655</v>
      </c>
      <c r="E35" s="6">
        <v>25.644324031628052</v>
      </c>
      <c r="F35" s="6">
        <v>25.257178699656418</v>
      </c>
      <c r="G35" s="6">
        <v>24.566903364685114</v>
      </c>
      <c r="H35" s="6">
        <v>28.737946770580447</v>
      </c>
      <c r="I35" s="6">
        <v>26.324190886630571</v>
      </c>
      <c r="J35" s="6">
        <v>12.610861423806419</v>
      </c>
      <c r="K35" s="6">
        <v>29.894167963079155</v>
      </c>
      <c r="L35" s="6">
        <v>49.78008757101793</v>
      </c>
      <c r="M35" s="6">
        <v>32.397568078982935</v>
      </c>
      <c r="N35" s="6">
        <v>42.977724343567061</v>
      </c>
      <c r="O35" s="6">
        <v>22.706283290732802</v>
      </c>
      <c r="P35" s="6">
        <v>46.96681661962964</v>
      </c>
      <c r="Q35" s="6">
        <v>36.026973356870464</v>
      </c>
      <c r="R35" s="6">
        <v>46.970366844914132</v>
      </c>
      <c r="S35" s="6">
        <v>16.264332934082631</v>
      </c>
      <c r="T35" s="6">
        <v>35.048908262419985</v>
      </c>
      <c r="U35" s="6">
        <v>18.243168859046374</v>
      </c>
      <c r="V35" s="6">
        <v>25.446335630990646</v>
      </c>
    </row>
    <row r="36" spans="1:22" x14ac:dyDescent="0.25">
      <c r="A36" s="3" t="s">
        <v>30</v>
      </c>
      <c r="B36" s="5">
        <v>0.01</v>
      </c>
      <c r="C36" s="6">
        <v>0.01</v>
      </c>
      <c r="D36" s="6">
        <v>0.01</v>
      </c>
      <c r="E36" s="6">
        <v>0.01</v>
      </c>
      <c r="F36" s="6">
        <v>0.01</v>
      </c>
      <c r="G36" s="6">
        <v>0.01</v>
      </c>
      <c r="H36" s="6">
        <v>0.01</v>
      </c>
      <c r="I36" s="6">
        <v>0.01</v>
      </c>
      <c r="J36" s="6">
        <v>0.01</v>
      </c>
      <c r="K36" s="6">
        <v>3.64829871044779</v>
      </c>
      <c r="L36" s="6">
        <v>3.4666313767403416</v>
      </c>
      <c r="M36" s="6">
        <v>0.01</v>
      </c>
      <c r="N36" s="6">
        <v>4.8505254794195167</v>
      </c>
      <c r="O36" s="6">
        <v>1.3163062679532194</v>
      </c>
      <c r="P36" s="6">
        <v>5.3704351966388364</v>
      </c>
      <c r="Q36" s="6">
        <v>0.01</v>
      </c>
      <c r="R36" s="6">
        <v>0.01</v>
      </c>
      <c r="S36" s="6">
        <v>0.01</v>
      </c>
      <c r="T36" s="6">
        <v>0.01</v>
      </c>
      <c r="U36" s="6">
        <v>3.4921704524663517</v>
      </c>
      <c r="V36" s="6">
        <v>1.1667101434463738</v>
      </c>
    </row>
    <row r="37" spans="1:22" x14ac:dyDescent="0.25">
      <c r="A37" s="3" t="s">
        <v>240</v>
      </c>
      <c r="B37" s="5">
        <v>0.01</v>
      </c>
      <c r="C37" s="6">
        <v>0.01</v>
      </c>
      <c r="D37" s="6">
        <v>4.6566167768729398</v>
      </c>
      <c r="E37" s="6">
        <v>0.01</v>
      </c>
      <c r="F37" s="6">
        <v>1.3371571134709939</v>
      </c>
      <c r="G37" s="6">
        <v>0.72630691340884568</v>
      </c>
      <c r="H37" s="6">
        <v>2.6394880865324084</v>
      </c>
      <c r="I37" s="6">
        <v>8.2897467279435268</v>
      </c>
      <c r="J37" s="6">
        <v>1.5900364456144036</v>
      </c>
      <c r="K37" s="6">
        <v>1.4590007826724027</v>
      </c>
      <c r="L37" s="6">
        <v>0.01</v>
      </c>
      <c r="M37" s="6">
        <v>1.2629306982818229</v>
      </c>
      <c r="N37" s="6">
        <v>1.8425834014217048</v>
      </c>
      <c r="O37" s="6">
        <v>1.6790025398967436</v>
      </c>
      <c r="P37" s="6">
        <v>2.921997975348015</v>
      </c>
      <c r="Q37" s="6">
        <v>0.01</v>
      </c>
      <c r="R37" s="6">
        <v>0.01</v>
      </c>
      <c r="S37" s="6">
        <v>0.01</v>
      </c>
      <c r="T37" s="6">
        <v>0.01</v>
      </c>
      <c r="U37" s="6">
        <v>6.3122247225011492</v>
      </c>
      <c r="V37" s="6">
        <v>2.0604595620440027</v>
      </c>
    </row>
    <row r="38" spans="1:22" x14ac:dyDescent="0.25">
      <c r="A38" s="3" t="s">
        <v>239</v>
      </c>
      <c r="B38" s="5">
        <v>39.885375732288182</v>
      </c>
      <c r="C38" s="6">
        <v>70.85572657155214</v>
      </c>
      <c r="D38" s="6">
        <v>58.639388408433966</v>
      </c>
      <c r="E38" s="6">
        <v>60.728650448868862</v>
      </c>
      <c r="F38" s="6">
        <v>56.204287047469514</v>
      </c>
      <c r="G38" s="6">
        <v>49.679856331120767</v>
      </c>
      <c r="H38" s="6">
        <v>55.564489456230767</v>
      </c>
      <c r="I38" s="6">
        <v>47.905988243196987</v>
      </c>
      <c r="J38" s="6">
        <v>77.591422980523674</v>
      </c>
      <c r="K38" s="6">
        <v>41.322400880164452</v>
      </c>
      <c r="L38" s="6">
        <v>32.613652408140311</v>
      </c>
      <c r="M38" s="6">
        <v>55.505799806853418</v>
      </c>
      <c r="N38" s="6">
        <v>41.064496722113844</v>
      </c>
      <c r="O38" s="6">
        <v>57.867897236398548</v>
      </c>
      <c r="P38" s="6">
        <v>41.890132986963913</v>
      </c>
      <c r="Q38" s="6">
        <v>38.334228090507061</v>
      </c>
      <c r="R38" s="6">
        <v>17.526423389764279</v>
      </c>
      <c r="S38" s="6">
        <v>75.013932126346333</v>
      </c>
      <c r="T38" s="6">
        <v>21.74863563668049</v>
      </c>
      <c r="U38" s="6">
        <v>59.154798673758776</v>
      </c>
      <c r="V38" s="6">
        <v>57.290436892083868</v>
      </c>
    </row>
  </sheetData>
  <mergeCells count="1">
    <mergeCell ref="A1:H1"/>
  </mergeCells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zoomScale="85" zoomScaleNormal="85" workbookViewId="0">
      <selection activeCell="I10" sqref="I10"/>
    </sheetView>
  </sheetViews>
  <sheetFormatPr defaultRowHeight="15" x14ac:dyDescent="0.25"/>
  <cols>
    <col min="1" max="1" width="10.85546875" bestFit="1" customWidth="1"/>
    <col min="2" max="2" width="34.42578125" bestFit="1" customWidth="1"/>
    <col min="3" max="3" width="33.5703125" bestFit="1" customWidth="1"/>
    <col min="4" max="4" width="34.42578125" bestFit="1" customWidth="1"/>
    <col min="5" max="5" width="9.42578125" bestFit="1" customWidth="1"/>
    <col min="6" max="6" width="6.7109375" bestFit="1" customWidth="1"/>
    <col min="7" max="7" width="5.5703125" bestFit="1" customWidth="1"/>
  </cols>
  <sheetData>
    <row r="1" spans="1:7" ht="56.25" customHeight="1" x14ac:dyDescent="0.25">
      <c r="A1" s="17" t="s">
        <v>245</v>
      </c>
      <c r="B1" s="17"/>
      <c r="C1" s="17"/>
      <c r="D1" s="17"/>
      <c r="E1" s="17"/>
      <c r="F1" s="17"/>
      <c r="G1" s="17"/>
    </row>
    <row r="2" spans="1:7" x14ac:dyDescent="0.25">
      <c r="A2" s="19" t="s">
        <v>137</v>
      </c>
      <c r="B2" s="19"/>
      <c r="C2" s="19"/>
    </row>
    <row r="3" spans="1:7" x14ac:dyDescent="0.25">
      <c r="A3" s="4" t="s">
        <v>31</v>
      </c>
      <c r="B3" s="1" t="s">
        <v>36</v>
      </c>
      <c r="C3" s="1" t="s">
        <v>37</v>
      </c>
      <c r="D3" s="1" t="s">
        <v>38</v>
      </c>
      <c r="E3" s="1" t="s">
        <v>33</v>
      </c>
      <c r="F3" s="1" t="s">
        <v>35</v>
      </c>
      <c r="G3" s="1" t="s">
        <v>34</v>
      </c>
    </row>
    <row r="4" spans="1:7" x14ac:dyDescent="0.25">
      <c r="A4" s="3" t="s">
        <v>0</v>
      </c>
      <c r="B4" s="6">
        <v>0.56319479221735447</v>
      </c>
      <c r="C4" s="6">
        <v>0.4107981326316168</v>
      </c>
      <c r="D4" s="6">
        <v>0.4223283543749729</v>
      </c>
      <c r="E4" s="6">
        <f t="shared" ref="E4:E13" si="0">AVERAGE(B4:D4)</f>
        <v>0.46544042640798139</v>
      </c>
      <c r="F4" s="6">
        <f t="shared" ref="F4:F13" si="1">_xlfn.STDEV.S(B4:D4)</f>
        <v>8.485383626835788E-2</v>
      </c>
      <c r="G4" s="6">
        <f>F4/E4*100</f>
        <v>18.230869398950603</v>
      </c>
    </row>
    <row r="5" spans="1:7" x14ac:dyDescent="0.25">
      <c r="A5" s="3" t="s">
        <v>4</v>
      </c>
      <c r="B5" s="6">
        <v>17.081372535425217</v>
      </c>
      <c r="C5" s="6">
        <v>18.275474972125423</v>
      </c>
      <c r="D5" s="6">
        <v>17.754182426945945</v>
      </c>
      <c r="E5" s="6">
        <f t="shared" si="0"/>
        <v>17.703676644832196</v>
      </c>
      <c r="F5" s="6">
        <f t="shared" si="1"/>
        <v>0.59865121970437296</v>
      </c>
      <c r="G5" s="6">
        <f t="shared" ref="G5:G13" si="2">F5/E5*100</f>
        <v>3.3815078738411248</v>
      </c>
    </row>
    <row r="6" spans="1:7" x14ac:dyDescent="0.25">
      <c r="A6" s="3" t="s">
        <v>7</v>
      </c>
      <c r="B6" s="6">
        <v>0.6089415338814117</v>
      </c>
      <c r="C6" s="6">
        <v>0.55226766023192453</v>
      </c>
      <c r="D6" s="6">
        <v>0.21922124903129842</v>
      </c>
      <c r="E6" s="6">
        <f t="shared" si="0"/>
        <v>0.46014348104821151</v>
      </c>
      <c r="F6" s="6">
        <f t="shared" si="1"/>
        <v>0.21056026072983969</v>
      </c>
      <c r="G6" s="6">
        <f t="shared" si="2"/>
        <v>45.759696573377781</v>
      </c>
    </row>
    <row r="7" spans="1:7" x14ac:dyDescent="0.25">
      <c r="A7" s="3" t="s">
        <v>9</v>
      </c>
      <c r="B7" s="6">
        <v>23.112274653460688</v>
      </c>
      <c r="C7" s="6">
        <v>24.002177733970818</v>
      </c>
      <c r="D7" s="6">
        <v>23.383686798454264</v>
      </c>
      <c r="E7" s="6">
        <f t="shared" si="0"/>
        <v>23.499379728628593</v>
      </c>
      <c r="F7" s="6">
        <f t="shared" si="1"/>
        <v>0.45609265916543323</v>
      </c>
      <c r="G7" s="6">
        <f t="shared" si="2"/>
        <v>1.9408710546082593</v>
      </c>
    </row>
    <row r="8" spans="1:7" x14ac:dyDescent="0.25">
      <c r="A8" s="3" t="s">
        <v>10</v>
      </c>
      <c r="B8" s="6">
        <v>3.4352852262338542</v>
      </c>
      <c r="C8" s="6">
        <v>4.2287801494211328</v>
      </c>
      <c r="D8" s="6">
        <v>4.2720942624281921</v>
      </c>
      <c r="E8" s="6">
        <f t="shared" si="0"/>
        <v>3.9787198793610599</v>
      </c>
      <c r="F8" s="6">
        <f t="shared" si="1"/>
        <v>0.47112625140296704</v>
      </c>
      <c r="G8" s="6">
        <f t="shared" si="2"/>
        <v>11.841151568544829</v>
      </c>
    </row>
    <row r="9" spans="1:7" x14ac:dyDescent="0.25">
      <c r="A9" s="3" t="s">
        <v>11</v>
      </c>
      <c r="B9" s="6">
        <v>3.2309780575490263</v>
      </c>
      <c r="C9" s="6">
        <v>3.2751705401304072</v>
      </c>
      <c r="D9" s="6">
        <v>2.7478902259193418</v>
      </c>
      <c r="E9" s="6">
        <f t="shared" si="0"/>
        <v>3.0846796078662586</v>
      </c>
      <c r="F9" s="6">
        <f t="shared" si="1"/>
        <v>0.29250394821833769</v>
      </c>
      <c r="G9" s="6">
        <f t="shared" si="2"/>
        <v>9.4824742080967415</v>
      </c>
    </row>
    <row r="10" spans="1:7" x14ac:dyDescent="0.25">
      <c r="A10" s="3" t="s">
        <v>13</v>
      </c>
      <c r="B10" s="6">
        <v>1.4432573340378743</v>
      </c>
      <c r="C10" s="6">
        <v>1.251599591983434</v>
      </c>
      <c r="D10" s="6">
        <v>1.4792917211215233</v>
      </c>
      <c r="E10" s="6">
        <f t="shared" si="0"/>
        <v>1.3913828823809438</v>
      </c>
      <c r="F10" s="6">
        <f t="shared" si="1"/>
        <v>0.12238931925985003</v>
      </c>
      <c r="G10" s="6">
        <f t="shared" si="2"/>
        <v>8.7962358032187797</v>
      </c>
    </row>
    <row r="11" spans="1:7" x14ac:dyDescent="0.25">
      <c r="A11" s="3" t="s">
        <v>16</v>
      </c>
      <c r="B11" s="6">
        <v>42.765075956543882</v>
      </c>
      <c r="C11" s="6">
        <v>39.49530032621405</v>
      </c>
      <c r="D11" s="6">
        <v>40.27524807058888</v>
      </c>
      <c r="E11" s="6">
        <f t="shared" si="0"/>
        <v>40.845208117782271</v>
      </c>
      <c r="F11" s="6">
        <f t="shared" si="1"/>
        <v>1.7077760420272419</v>
      </c>
      <c r="G11" s="6">
        <f t="shared" si="2"/>
        <v>4.1810927663843849</v>
      </c>
    </row>
    <row r="12" spans="1:7" x14ac:dyDescent="0.25">
      <c r="A12" s="3" t="s">
        <v>17</v>
      </c>
      <c r="B12" s="6">
        <v>4.1348310108152964</v>
      </c>
      <c r="C12" s="6">
        <v>4.6472878479689204</v>
      </c>
      <c r="D12" s="6">
        <v>5.6606160631184865</v>
      </c>
      <c r="E12" s="6">
        <f t="shared" si="0"/>
        <v>4.8142449739675675</v>
      </c>
      <c r="F12" s="6">
        <f t="shared" si="1"/>
        <v>0.77647344957781639</v>
      </c>
      <c r="G12" s="6">
        <f t="shared" si="2"/>
        <v>16.128665113148589</v>
      </c>
    </row>
    <row r="13" spans="1:7" x14ac:dyDescent="0.25">
      <c r="A13" s="3" t="s">
        <v>18</v>
      </c>
      <c r="B13" s="6">
        <v>3.6247888998353863</v>
      </c>
      <c r="C13" s="6">
        <v>3.8611430453222733</v>
      </c>
      <c r="D13" s="6">
        <v>3.7854408280170935</v>
      </c>
      <c r="E13" s="6">
        <f t="shared" si="0"/>
        <v>3.757124257724918</v>
      </c>
      <c r="F13" s="6">
        <f t="shared" si="1"/>
        <v>0.12069462140892165</v>
      </c>
      <c r="G13" s="6">
        <f t="shared" si="2"/>
        <v>3.2124202749154445</v>
      </c>
    </row>
    <row r="15" spans="1:7" x14ac:dyDescent="0.25">
      <c r="A15" s="19" t="s">
        <v>138</v>
      </c>
      <c r="B15" s="19"/>
      <c r="C15" s="19"/>
    </row>
    <row r="16" spans="1:7" x14ac:dyDescent="0.25">
      <c r="A16" s="4" t="s">
        <v>31</v>
      </c>
      <c r="B16" s="1" t="s">
        <v>40</v>
      </c>
      <c r="C16" s="1" t="s">
        <v>41</v>
      </c>
      <c r="D16" s="1" t="s">
        <v>39</v>
      </c>
      <c r="E16" s="1" t="s">
        <v>33</v>
      </c>
      <c r="F16" s="1" t="s">
        <v>35</v>
      </c>
      <c r="G16" s="1" t="s">
        <v>34</v>
      </c>
    </row>
    <row r="17" spans="1:7" x14ac:dyDescent="0.25">
      <c r="A17" s="3" t="s">
        <v>0</v>
      </c>
      <c r="B17" s="6">
        <v>0.46544042640798139</v>
      </c>
      <c r="C17" s="6">
        <v>0.54103161748553641</v>
      </c>
      <c r="D17" s="6">
        <v>0.55681810651514774</v>
      </c>
      <c r="E17" s="6">
        <f t="shared" ref="E17:E26" si="3">AVERAGE(B17:D17)</f>
        <v>0.52109671680288849</v>
      </c>
      <c r="F17" s="6">
        <f t="shared" ref="F17:F26" si="4">_xlfn.STDEV.S(B17:D17)</f>
        <v>4.8841788504949149E-2</v>
      </c>
      <c r="G17" s="6">
        <f>F17/E17*100</f>
        <v>9.3728835607736478</v>
      </c>
    </row>
    <row r="18" spans="1:7" x14ac:dyDescent="0.25">
      <c r="A18" s="3" t="s">
        <v>4</v>
      </c>
      <c r="B18" s="6">
        <v>17.703676644832196</v>
      </c>
      <c r="C18" s="6">
        <v>16.686241768138572</v>
      </c>
      <c r="D18" s="6">
        <v>16.558070390374056</v>
      </c>
      <c r="E18" s="6">
        <f t="shared" si="3"/>
        <v>16.982662934448275</v>
      </c>
      <c r="F18" s="6">
        <f t="shared" si="4"/>
        <v>0.6276962270403621</v>
      </c>
      <c r="G18" s="6">
        <f t="shared" ref="G18:G26" si="5">F18/E18*100</f>
        <v>3.6961001314294437</v>
      </c>
    </row>
    <row r="19" spans="1:7" x14ac:dyDescent="0.25">
      <c r="A19" s="3" t="s">
        <v>7</v>
      </c>
      <c r="B19" s="6">
        <v>0.46014348104821151</v>
      </c>
      <c r="C19" s="6">
        <v>0.72284328390624319</v>
      </c>
      <c r="D19" s="6">
        <v>0.7652264851161793</v>
      </c>
      <c r="E19" s="6">
        <f t="shared" si="3"/>
        <v>0.64940441669021132</v>
      </c>
      <c r="F19" s="6">
        <f t="shared" si="4"/>
        <v>0.16526905413980067</v>
      </c>
      <c r="G19" s="6">
        <f t="shared" si="5"/>
        <v>25.449327089907953</v>
      </c>
    </row>
    <row r="20" spans="1:7" x14ac:dyDescent="0.25">
      <c r="A20" s="3" t="s">
        <v>9</v>
      </c>
      <c r="B20" s="6">
        <v>23.499379728628593</v>
      </c>
      <c r="C20" s="6">
        <v>22.794363608108359</v>
      </c>
      <c r="D20" s="6">
        <v>23.328599234137013</v>
      </c>
      <c r="E20" s="6">
        <f t="shared" si="3"/>
        <v>23.207447523624655</v>
      </c>
      <c r="F20" s="6">
        <f t="shared" si="4"/>
        <v>0.36779102119057089</v>
      </c>
      <c r="G20" s="6">
        <f t="shared" si="5"/>
        <v>1.5847973837543656</v>
      </c>
    </row>
    <row r="21" spans="1:7" x14ac:dyDescent="0.25">
      <c r="A21" s="3" t="s">
        <v>10</v>
      </c>
      <c r="B21" s="6">
        <v>3.9787198793610599</v>
      </c>
      <c r="C21" s="6">
        <v>4.9107640226736358</v>
      </c>
      <c r="D21" s="6">
        <v>4.5063314086679354</v>
      </c>
      <c r="E21" s="6">
        <f t="shared" si="3"/>
        <v>4.4652717702342102</v>
      </c>
      <c r="F21" s="6">
        <f t="shared" si="4"/>
        <v>0.46737671283671117</v>
      </c>
      <c r="G21" s="6">
        <f t="shared" si="5"/>
        <v>10.466926469118286</v>
      </c>
    </row>
    <row r="22" spans="1:7" x14ac:dyDescent="0.25">
      <c r="A22" s="3" t="s">
        <v>11</v>
      </c>
      <c r="B22" s="6">
        <v>3.0846796078662586</v>
      </c>
      <c r="C22" s="6">
        <v>3.3563857617711199</v>
      </c>
      <c r="D22" s="6">
        <v>3.0458216677290442</v>
      </c>
      <c r="E22" s="6">
        <f t="shared" si="3"/>
        <v>3.1622956791221406</v>
      </c>
      <c r="F22" s="6">
        <f t="shared" si="4"/>
        <v>0.16920610217998186</v>
      </c>
      <c r="G22" s="6">
        <f t="shared" si="5"/>
        <v>5.3507362798836642</v>
      </c>
    </row>
    <row r="23" spans="1:7" x14ac:dyDescent="0.25">
      <c r="A23" s="3" t="s">
        <v>13</v>
      </c>
      <c r="B23" s="6">
        <v>1.3913828823809438</v>
      </c>
      <c r="C23" s="6">
        <v>1.3628587248569317</v>
      </c>
      <c r="D23" s="6">
        <v>1.2863603757090565</v>
      </c>
      <c r="E23" s="6">
        <f t="shared" si="3"/>
        <v>1.3468673276489771</v>
      </c>
      <c r="F23" s="6">
        <f t="shared" si="4"/>
        <v>5.430677043802716E-2</v>
      </c>
      <c r="G23" s="6">
        <f t="shared" si="5"/>
        <v>4.0320801702735114</v>
      </c>
    </row>
    <row r="24" spans="1:7" x14ac:dyDescent="0.25">
      <c r="A24" s="3" t="s">
        <v>16</v>
      </c>
      <c r="B24" s="6">
        <v>40.845208117782271</v>
      </c>
      <c r="C24" s="6">
        <v>42.169828303926913</v>
      </c>
      <c r="D24" s="6">
        <v>40.421978389709949</v>
      </c>
      <c r="E24" s="6">
        <f t="shared" si="3"/>
        <v>41.145671603806377</v>
      </c>
      <c r="F24" s="6">
        <f t="shared" si="4"/>
        <v>0.91184075390518771</v>
      </c>
      <c r="G24" s="6">
        <f t="shared" si="5"/>
        <v>2.2161280114354325</v>
      </c>
    </row>
    <row r="25" spans="1:7" x14ac:dyDescent="0.25">
      <c r="A25" s="3" t="s">
        <v>17</v>
      </c>
      <c r="B25" s="6">
        <v>4.8142449739675675</v>
      </c>
      <c r="C25" s="6">
        <v>3.7381574566230662</v>
      </c>
      <c r="D25" s="6">
        <v>5.4174479000281863</v>
      </c>
      <c r="E25" s="6">
        <f t="shared" si="3"/>
        <v>4.6566167768729398</v>
      </c>
      <c r="F25" s="6">
        <f t="shared" si="4"/>
        <v>0.85066978594365228</v>
      </c>
      <c r="G25" s="6">
        <f t="shared" si="5"/>
        <v>18.267979236953721</v>
      </c>
    </row>
    <row r="26" spans="1:7" x14ac:dyDescent="0.25">
      <c r="A26" s="3" t="s">
        <v>18</v>
      </c>
      <c r="B26" s="6">
        <v>3.757124257724918</v>
      </c>
      <c r="C26" s="6">
        <v>3.7175254525096211</v>
      </c>
      <c r="D26" s="6">
        <v>4.1133460420134336</v>
      </c>
      <c r="E26" s="6">
        <f t="shared" si="3"/>
        <v>3.8626652507493247</v>
      </c>
      <c r="F26" s="6">
        <f t="shared" si="4"/>
        <v>0.21799692813253066</v>
      </c>
      <c r="G26" s="6">
        <f t="shared" si="5"/>
        <v>5.6436919582985112</v>
      </c>
    </row>
    <row r="28" spans="1:7" x14ac:dyDescent="0.25">
      <c r="A28" s="19" t="s">
        <v>139</v>
      </c>
      <c r="B28" s="19"/>
      <c r="C28" s="19"/>
    </row>
    <row r="29" spans="1:7" x14ac:dyDescent="0.25">
      <c r="A29" s="4" t="s">
        <v>31</v>
      </c>
      <c r="B29" s="1" t="s">
        <v>36</v>
      </c>
      <c r="C29" s="1" t="s">
        <v>244</v>
      </c>
      <c r="D29" s="1" t="s">
        <v>38</v>
      </c>
      <c r="E29" s="1" t="s">
        <v>33</v>
      </c>
      <c r="F29" s="1" t="s">
        <v>35</v>
      </c>
      <c r="G29" s="1" t="s">
        <v>34</v>
      </c>
    </row>
    <row r="30" spans="1:7" x14ac:dyDescent="0.25">
      <c r="A30" s="8" t="s">
        <v>8</v>
      </c>
      <c r="B30" s="6">
        <v>4.63698624807013</v>
      </c>
      <c r="C30" s="6">
        <v>4.8588967472348159</v>
      </c>
      <c r="D30" s="6">
        <v>4.9522636276629566</v>
      </c>
      <c r="E30" s="6">
        <f>AVERAGE(B30:D30)</f>
        <v>4.8160488743226342</v>
      </c>
      <c r="F30" s="6">
        <f>_xlfn.STDEV.S(B30:D30)</f>
        <v>0.16194724968505536</v>
      </c>
      <c r="G30" s="6">
        <f>F30/E30*100</f>
        <v>3.3626579362285405</v>
      </c>
    </row>
    <row r="31" spans="1:7" x14ac:dyDescent="0.25">
      <c r="A31" s="8" t="s">
        <v>42</v>
      </c>
      <c r="B31" s="6">
        <v>1.1833711642126008</v>
      </c>
      <c r="C31" s="6">
        <v>1.4193159999104608</v>
      </c>
      <c r="D31" s="6">
        <v>1.4240426172735754</v>
      </c>
      <c r="E31" s="6">
        <f t="shared" ref="E31:E58" si="6">AVERAGE(B31:D31)</f>
        <v>1.3422432604655457</v>
      </c>
      <c r="F31" s="6">
        <f t="shared" ref="F31:F54" si="7">_xlfn.STDEV.S(B31:D31)</f>
        <v>0.13760756684782294</v>
      </c>
      <c r="G31" s="6">
        <f t="shared" ref="G31:G58" si="8">F31/E31*100</f>
        <v>10.252058691663308</v>
      </c>
    </row>
    <row r="32" spans="1:7" x14ac:dyDescent="0.25">
      <c r="A32" s="8" t="s">
        <v>43</v>
      </c>
      <c r="B32" s="6">
        <v>3.7006457787777216</v>
      </c>
      <c r="C32" s="6">
        <v>4.119706406923564</v>
      </c>
      <c r="D32" s="6">
        <v>3.6984560112225937</v>
      </c>
      <c r="E32" s="6">
        <f t="shared" si="6"/>
        <v>3.8396027323079593</v>
      </c>
      <c r="F32" s="6">
        <f t="shared" si="7"/>
        <v>0.24257936880608705</v>
      </c>
      <c r="G32" s="6">
        <f t="shared" si="8"/>
        <v>6.3178246740197066</v>
      </c>
    </row>
    <row r="33" spans="1:7" x14ac:dyDescent="0.25">
      <c r="A33" s="8" t="s">
        <v>44</v>
      </c>
      <c r="B33" s="6">
        <v>1.5145795172962513</v>
      </c>
      <c r="C33" s="6">
        <v>1.6816525002452485</v>
      </c>
      <c r="D33" s="6">
        <v>1.6520202387794143</v>
      </c>
      <c r="E33" s="6">
        <f t="shared" si="6"/>
        <v>1.6160840854403047</v>
      </c>
      <c r="F33" s="6">
        <f t="shared" si="7"/>
        <v>8.9145391050115291E-2</v>
      </c>
      <c r="G33" s="6">
        <f t="shared" si="8"/>
        <v>5.5161356920254239</v>
      </c>
    </row>
    <row r="34" spans="1:7" x14ac:dyDescent="0.25">
      <c r="A34" s="8" t="s">
        <v>45</v>
      </c>
      <c r="B34" s="6">
        <v>0.44791593806657937</v>
      </c>
      <c r="C34" s="6">
        <v>0.27578399126966041</v>
      </c>
      <c r="D34" s="6">
        <v>0.35752608176852563</v>
      </c>
      <c r="E34" s="6">
        <f t="shared" si="6"/>
        <v>0.36040867036825519</v>
      </c>
      <c r="F34" s="6">
        <f t="shared" si="7"/>
        <v>8.6102170499940081E-2</v>
      </c>
      <c r="G34" s="6">
        <f t="shared" si="8"/>
        <v>23.890149593782901</v>
      </c>
    </row>
    <row r="35" spans="1:7" x14ac:dyDescent="0.25">
      <c r="A35" s="8" t="s">
        <v>46</v>
      </c>
      <c r="B35" s="6">
        <v>5.4988104749578133</v>
      </c>
      <c r="C35" s="6">
        <v>4.4577555770332058</v>
      </c>
      <c r="D35" s="6">
        <v>5.1716364063707703</v>
      </c>
      <c r="E35" s="6">
        <f t="shared" si="6"/>
        <v>5.0427341527872622</v>
      </c>
      <c r="F35" s="6">
        <f t="shared" si="7"/>
        <v>0.53236328607200534</v>
      </c>
      <c r="G35" s="6">
        <f t="shared" si="8"/>
        <v>10.557036519122329</v>
      </c>
    </row>
    <row r="36" spans="1:7" x14ac:dyDescent="0.25">
      <c r="A36" s="8" t="s">
        <v>47</v>
      </c>
      <c r="B36" s="6">
        <v>10.458827338668627</v>
      </c>
      <c r="C36" s="6">
        <v>9.2597318089543421</v>
      </c>
      <c r="D36" s="6">
        <v>9.5563958942882099</v>
      </c>
      <c r="E36" s="6">
        <f t="shared" si="6"/>
        <v>9.7583183473037263</v>
      </c>
      <c r="F36" s="6">
        <f t="shared" si="7"/>
        <v>0.62452944695910684</v>
      </c>
      <c r="G36" s="6">
        <f t="shared" si="8"/>
        <v>6.3999700023279882</v>
      </c>
    </row>
    <row r="37" spans="1:7" x14ac:dyDescent="0.25">
      <c r="A37" s="8" t="s">
        <v>48</v>
      </c>
      <c r="B37" s="6">
        <v>6.8926597752630423</v>
      </c>
      <c r="C37" s="6">
        <v>5.6040788349228885</v>
      </c>
      <c r="D37" s="6">
        <v>6.2990322454376422</v>
      </c>
      <c r="E37" s="6">
        <f t="shared" si="6"/>
        <v>6.265256951874524</v>
      </c>
      <c r="F37" s="6">
        <f t="shared" si="7"/>
        <v>0.64495409743130938</v>
      </c>
      <c r="G37" s="6">
        <f t="shared" si="8"/>
        <v>10.294136415879054</v>
      </c>
    </row>
    <row r="38" spans="1:7" x14ac:dyDescent="0.25">
      <c r="A38" s="8" t="s">
        <v>49</v>
      </c>
      <c r="B38" s="6">
        <v>10.073353249648211</v>
      </c>
      <c r="C38" s="6">
        <v>10.044878849976939</v>
      </c>
      <c r="D38" s="6">
        <v>9.7635159443114201</v>
      </c>
      <c r="E38" s="6">
        <f t="shared" si="6"/>
        <v>9.9605826813121894</v>
      </c>
      <c r="F38" s="6">
        <f t="shared" si="7"/>
        <v>0.17125761875974385</v>
      </c>
      <c r="G38" s="6">
        <f t="shared" si="8"/>
        <v>1.7193534177579124</v>
      </c>
    </row>
    <row r="39" spans="1:7" x14ac:dyDescent="0.25">
      <c r="A39" s="8" t="s">
        <v>50</v>
      </c>
      <c r="B39" s="6">
        <v>14.481958438291226</v>
      </c>
      <c r="C39" s="6">
        <v>15.866965468136362</v>
      </c>
      <c r="D39" s="6">
        <v>14.854093492244793</v>
      </c>
      <c r="E39" s="6">
        <f t="shared" si="6"/>
        <v>15.067672466224126</v>
      </c>
      <c r="F39" s="6">
        <f t="shared" si="7"/>
        <v>0.71677967449883806</v>
      </c>
      <c r="G39" s="6">
        <f t="shared" si="8"/>
        <v>4.7570696542918611</v>
      </c>
    </row>
    <row r="40" spans="1:7" x14ac:dyDescent="0.25">
      <c r="A40" s="8" t="s">
        <v>51</v>
      </c>
      <c r="B40" s="6">
        <v>3.262403769854421</v>
      </c>
      <c r="C40" s="6">
        <v>2.7751358409062985</v>
      </c>
      <c r="D40" s="6">
        <v>2.7156192482783568</v>
      </c>
      <c r="E40" s="6">
        <f t="shared" si="6"/>
        <v>2.917719619679692</v>
      </c>
      <c r="F40" s="6">
        <f t="shared" si="7"/>
        <v>0.29998488084529595</v>
      </c>
      <c r="G40" s="6">
        <f t="shared" si="8"/>
        <v>10.281484170786376</v>
      </c>
    </row>
    <row r="41" spans="1:7" x14ac:dyDescent="0.25">
      <c r="A41" s="8" t="s">
        <v>67</v>
      </c>
      <c r="B41" s="6">
        <v>0.82403248202702717</v>
      </c>
      <c r="C41" s="6">
        <v>0.65906480024492431</v>
      </c>
      <c r="D41" s="6">
        <v>0.60929510707880563</v>
      </c>
      <c r="E41" s="6">
        <f t="shared" si="6"/>
        <v>0.69746412978358574</v>
      </c>
      <c r="F41" s="6">
        <f t="shared" si="7"/>
        <v>0.11240069586829669</v>
      </c>
      <c r="G41" s="6">
        <f t="shared" si="8"/>
        <v>16.115623882073074</v>
      </c>
    </row>
    <row r="42" spans="1:7" x14ac:dyDescent="0.25">
      <c r="A42" s="8" t="s">
        <v>52</v>
      </c>
      <c r="B42" s="6">
        <v>2.111142010547935</v>
      </c>
      <c r="C42" s="6">
        <v>2.2581032652264352</v>
      </c>
      <c r="D42" s="6">
        <v>2.0007601107534745</v>
      </c>
      <c r="E42" s="6">
        <f t="shared" si="6"/>
        <v>2.1233351288426148</v>
      </c>
      <c r="F42" s="6">
        <f t="shared" si="7"/>
        <v>0.12910413970448267</v>
      </c>
      <c r="G42" s="6">
        <f t="shared" si="8"/>
        <v>6.0802526153680985</v>
      </c>
    </row>
    <row r="43" spans="1:7" x14ac:dyDescent="0.25">
      <c r="A43" s="8" t="s">
        <v>68</v>
      </c>
      <c r="B43" s="6">
        <v>3.5547156507676932E-2</v>
      </c>
      <c r="C43" s="6">
        <v>0.71522794019908431</v>
      </c>
      <c r="D43" s="6">
        <v>0.45131772682490767</v>
      </c>
      <c r="E43" s="6">
        <f t="shared" si="6"/>
        <v>0.40069760784388969</v>
      </c>
      <c r="F43" s="6">
        <f t="shared" si="7"/>
        <v>0.34265622606933721</v>
      </c>
      <c r="G43" s="6">
        <f t="shared" si="8"/>
        <v>85.514916825466742</v>
      </c>
    </row>
    <row r="44" spans="1:7" x14ac:dyDescent="0.25">
      <c r="A44" s="3" t="s">
        <v>53</v>
      </c>
      <c r="B44" s="6">
        <v>2.4290418978826547</v>
      </c>
      <c r="C44" s="6">
        <v>1.9661507723791871</v>
      </c>
      <c r="D44" s="6">
        <v>2.5023942767179985</v>
      </c>
      <c r="E44" s="6">
        <f t="shared" si="6"/>
        <v>2.2991956489932801</v>
      </c>
      <c r="F44" s="6">
        <f t="shared" si="7"/>
        <v>0.29074784650857111</v>
      </c>
      <c r="G44" s="6">
        <f t="shared" si="8"/>
        <v>12.64563312112552</v>
      </c>
    </row>
    <row r="45" spans="1:7" x14ac:dyDescent="0.25">
      <c r="A45" s="3" t="s">
        <v>69</v>
      </c>
      <c r="B45" s="6">
        <v>1.1075575004082416</v>
      </c>
      <c r="C45" s="6">
        <v>1.0473696409149513</v>
      </c>
      <c r="D45" s="6">
        <v>1.3468835773004115</v>
      </c>
      <c r="E45" s="6">
        <f t="shared" si="6"/>
        <v>1.1672702395412016</v>
      </c>
      <c r="F45" s="6">
        <f t="shared" si="7"/>
        <v>0.15843408071923479</v>
      </c>
      <c r="G45" s="6">
        <f t="shared" si="8"/>
        <v>13.573042073059934</v>
      </c>
    </row>
    <row r="46" spans="1:7" x14ac:dyDescent="0.25">
      <c r="A46" s="3" t="s">
        <v>54</v>
      </c>
      <c r="B46" s="6">
        <v>2.9280280264680103</v>
      </c>
      <c r="C46" s="6">
        <v>3.1600819118995331</v>
      </c>
      <c r="D46" s="6">
        <v>2.9851414486871675</v>
      </c>
      <c r="E46" s="6">
        <f t="shared" si="6"/>
        <v>3.0244171290182371</v>
      </c>
      <c r="F46" s="6">
        <f t="shared" si="7"/>
        <v>0.12090982480786187</v>
      </c>
      <c r="G46" s="6">
        <f t="shared" si="8"/>
        <v>3.9977893144359582</v>
      </c>
    </row>
    <row r="47" spans="1:7" x14ac:dyDescent="0.25">
      <c r="A47" s="3" t="s">
        <v>55</v>
      </c>
      <c r="B47" s="6">
        <v>3.0103858294270291</v>
      </c>
      <c r="C47" s="6">
        <v>2.6432138868954778</v>
      </c>
      <c r="D47" s="6">
        <v>2.9315963998035643</v>
      </c>
      <c r="E47" s="6">
        <f t="shared" si="6"/>
        <v>2.86173203870869</v>
      </c>
      <c r="F47" s="6">
        <f t="shared" si="7"/>
        <v>0.19329919958187725</v>
      </c>
      <c r="G47" s="6">
        <f t="shared" si="8"/>
        <v>6.7546226190031531</v>
      </c>
    </row>
    <row r="48" spans="1:7" x14ac:dyDescent="0.25">
      <c r="A48" s="3" t="s">
        <v>56</v>
      </c>
      <c r="B48" s="6">
        <v>4.9280884817570998</v>
      </c>
      <c r="C48" s="6">
        <v>4.5864849391922204</v>
      </c>
      <c r="D48" s="6">
        <v>5.1741469267368574</v>
      </c>
      <c r="E48" s="6">
        <f t="shared" si="6"/>
        <v>4.8962401158953925</v>
      </c>
      <c r="F48" s="6">
        <f t="shared" si="7"/>
        <v>0.29512267230301731</v>
      </c>
      <c r="G48" s="6">
        <f t="shared" si="8"/>
        <v>6.027536748962059</v>
      </c>
    </row>
    <row r="49" spans="1:7" x14ac:dyDescent="0.25">
      <c r="A49" s="3" t="s">
        <v>57</v>
      </c>
      <c r="B49" s="6">
        <v>3.1238805427672123</v>
      </c>
      <c r="C49" s="6">
        <v>3.6770707631604691</v>
      </c>
      <c r="D49" s="6">
        <v>2.9211274189940353</v>
      </c>
      <c r="E49" s="6">
        <f t="shared" si="6"/>
        <v>3.2406929083072384</v>
      </c>
      <c r="F49" s="6">
        <f t="shared" si="7"/>
        <v>0.39127539081147877</v>
      </c>
      <c r="G49" s="6">
        <f t="shared" si="8"/>
        <v>12.073818836967794</v>
      </c>
    </row>
    <row r="50" spans="1:7" x14ac:dyDescent="0.25">
      <c r="A50" s="3" t="s">
        <v>58</v>
      </c>
      <c r="B50" s="6">
        <v>0.96648190383661903</v>
      </c>
      <c r="C50" s="6">
        <v>1.1237757265701138</v>
      </c>
      <c r="D50" s="6">
        <v>1.0668551361506837</v>
      </c>
      <c r="E50" s="6">
        <f t="shared" si="6"/>
        <v>1.0523709221858055</v>
      </c>
      <c r="F50" s="6">
        <f t="shared" si="7"/>
        <v>7.9640950572957753E-2</v>
      </c>
      <c r="G50" s="6">
        <f t="shared" si="8"/>
        <v>7.5677642639100231</v>
      </c>
    </row>
    <row r="51" spans="1:7" x14ac:dyDescent="0.25">
      <c r="A51" s="3" t="s">
        <v>59</v>
      </c>
      <c r="B51" s="6">
        <v>2.5138056396626958</v>
      </c>
      <c r="C51" s="6">
        <v>2.5780336285820202</v>
      </c>
      <c r="D51" s="6">
        <v>2.1849794487018919</v>
      </c>
      <c r="E51" s="6">
        <f t="shared" si="6"/>
        <v>2.4256062389822026</v>
      </c>
      <c r="F51" s="6">
        <f t="shared" si="7"/>
        <v>0.21084887429296062</v>
      </c>
      <c r="G51" s="6">
        <f t="shared" si="8"/>
        <v>8.692625822954426</v>
      </c>
    </row>
    <row r="52" spans="1:7" x14ac:dyDescent="0.25">
      <c r="A52" s="3" t="s">
        <v>60</v>
      </c>
      <c r="B52" s="6">
        <v>0.59454717657421263</v>
      </c>
      <c r="C52" s="6">
        <v>1.1356039328817278</v>
      </c>
      <c r="D52" s="6">
        <v>0.68090270263567054</v>
      </c>
      <c r="E52" s="6">
        <f t="shared" si="6"/>
        <v>0.8036846040305371</v>
      </c>
      <c r="F52" s="6">
        <f t="shared" si="7"/>
        <v>0.29067533412573232</v>
      </c>
      <c r="G52" s="6">
        <f t="shared" si="8"/>
        <v>36.167836570213517</v>
      </c>
    </row>
    <row r="53" spans="1:7" x14ac:dyDescent="0.25">
      <c r="A53" s="3" t="s">
        <v>61</v>
      </c>
      <c r="B53" s="6">
        <v>1.3438947863076538</v>
      </c>
      <c r="C53" s="6">
        <v>1.5887815006706427</v>
      </c>
      <c r="D53" s="6">
        <v>1.8787293919864878</v>
      </c>
      <c r="E53" s="6">
        <f t="shared" si="6"/>
        <v>1.6038018929882616</v>
      </c>
      <c r="F53" s="6">
        <f t="shared" si="7"/>
        <v>0.26773349248261685</v>
      </c>
      <c r="G53" s="6">
        <f t="shared" si="8"/>
        <v>16.693676048964264</v>
      </c>
    </row>
    <row r="54" spans="1:7" x14ac:dyDescent="0.25">
      <c r="A54" s="3" t="s">
        <v>62</v>
      </c>
      <c r="B54" s="6">
        <v>0.89192005977090316</v>
      </c>
      <c r="C54" s="6">
        <v>0.7914785705251236</v>
      </c>
      <c r="D54" s="6">
        <v>0.77036726299053437</v>
      </c>
      <c r="E54" s="6">
        <f t="shared" si="6"/>
        <v>0.81792196442885379</v>
      </c>
      <c r="F54" s="6">
        <f t="shared" si="7"/>
        <v>6.4947751401748174E-2</v>
      </c>
      <c r="G54" s="6">
        <f t="shared" si="8"/>
        <v>7.9405804253099497</v>
      </c>
    </row>
    <row r="55" spans="1:7" x14ac:dyDescent="0.25">
      <c r="A55" s="3" t="s">
        <v>63</v>
      </c>
      <c r="B55" s="6">
        <v>4.1300300560968717</v>
      </c>
      <c r="C55" s="6">
        <v>3.9332271005880228</v>
      </c>
      <c r="D55" s="6">
        <v>4.1705078707202352</v>
      </c>
      <c r="E55" s="6">
        <f t="shared" si="6"/>
        <v>4.0779216758017105</v>
      </c>
      <c r="F55" s="6">
        <f>_xlfn.STDEV.S(B55:D55)</f>
        <v>0.12693306677683658</v>
      </c>
      <c r="G55" s="6">
        <f t="shared" si="8"/>
        <v>3.1126901610213449</v>
      </c>
    </row>
    <row r="56" spans="1:7" x14ac:dyDescent="0.25">
      <c r="A56" s="3" t="s">
        <v>64</v>
      </c>
      <c r="B56" s="6">
        <v>5.3459719961102259</v>
      </c>
      <c r="C56" s="6">
        <v>5.9125507720479167</v>
      </c>
      <c r="D56" s="6">
        <v>5.8290591150661939</v>
      </c>
      <c r="E56" s="6">
        <f t="shared" si="6"/>
        <v>5.6958606277414461</v>
      </c>
      <c r="F56" s="6">
        <f t="shared" ref="F56:F58" si="9">_xlfn.STDEV.S(B56:D56)</f>
        <v>0.3058745741394075</v>
      </c>
      <c r="G56" s="6">
        <f t="shared" si="8"/>
        <v>5.3701204107709097</v>
      </c>
    </row>
    <row r="57" spans="1:7" x14ac:dyDescent="0.25">
      <c r="A57" s="3" t="s">
        <v>65</v>
      </c>
      <c r="B57" s="6">
        <v>0.83198660288173443</v>
      </c>
      <c r="C57" s="6">
        <v>0.97569605606022902</v>
      </c>
      <c r="D57" s="6">
        <v>1.0250990643330058</v>
      </c>
      <c r="E57" s="6">
        <f t="shared" si="6"/>
        <v>0.94426057442498978</v>
      </c>
      <c r="F57" s="6">
        <f t="shared" si="9"/>
        <v>0.10032072478392384</v>
      </c>
      <c r="G57" s="6">
        <f t="shared" si="8"/>
        <v>10.624262783079178</v>
      </c>
    </row>
    <row r="58" spans="1:7" x14ac:dyDescent="0.25">
      <c r="A58" s="3" t="s">
        <v>66</v>
      </c>
      <c r="B58" s="6">
        <v>0.7321461578595766</v>
      </c>
      <c r="C58" s="6">
        <v>0.88418276644813676</v>
      </c>
      <c r="D58" s="6">
        <v>1.0262352068798173</v>
      </c>
      <c r="E58" s="6">
        <f t="shared" si="6"/>
        <v>0.8808547103958434</v>
      </c>
      <c r="F58" s="6">
        <f t="shared" si="9"/>
        <v>0.14707276823471774</v>
      </c>
      <c r="G58" s="6">
        <f t="shared" si="8"/>
        <v>16.69659780426506</v>
      </c>
    </row>
    <row r="60" spans="1:7" x14ac:dyDescent="0.25">
      <c r="A60" s="19" t="s">
        <v>140</v>
      </c>
      <c r="B60" s="19"/>
      <c r="C60" s="19"/>
    </row>
    <row r="61" spans="1:7" x14ac:dyDescent="0.25">
      <c r="A61" s="4" t="s">
        <v>31</v>
      </c>
      <c r="B61" s="1" t="s">
        <v>40</v>
      </c>
      <c r="C61" s="1" t="s">
        <v>41</v>
      </c>
      <c r="D61" s="1" t="s">
        <v>39</v>
      </c>
      <c r="E61" s="1" t="s">
        <v>33</v>
      </c>
      <c r="F61" s="1" t="s">
        <v>35</v>
      </c>
      <c r="G61" s="1" t="s">
        <v>34</v>
      </c>
    </row>
    <row r="62" spans="1:7" x14ac:dyDescent="0.25">
      <c r="A62" s="3" t="s">
        <v>8</v>
      </c>
      <c r="B62" s="6">
        <v>4.7300324735412209</v>
      </c>
      <c r="C62" s="6">
        <v>5.913841838163342</v>
      </c>
      <c r="D62" s="6">
        <v>4.5432398576269666</v>
      </c>
      <c r="E62" s="6">
        <f>AVERAGE(B62:D62)</f>
        <v>5.0623713897771765</v>
      </c>
      <c r="F62" s="6">
        <f>_xlfn.STDEV.S(B62:D62)</f>
        <v>0.7432861586873678</v>
      </c>
      <c r="G62" s="6">
        <f>F62/E62*100</f>
        <v>14.682568730305739</v>
      </c>
    </row>
    <row r="63" spans="1:7" x14ac:dyDescent="0.25">
      <c r="A63" s="3" t="s">
        <v>42</v>
      </c>
      <c r="B63" s="6">
        <v>1.2071168072382059</v>
      </c>
      <c r="C63" s="6">
        <v>1.5751050202620087</v>
      </c>
      <c r="D63" s="6">
        <v>1.1458186898657119</v>
      </c>
      <c r="E63" s="6">
        <f t="shared" ref="E63:E87" si="10">AVERAGE(B63:D63)</f>
        <v>1.3093468391219756</v>
      </c>
      <c r="F63" s="6">
        <f t="shared" ref="F63:F87" si="11">_xlfn.STDEV.S(B63:D63)</f>
        <v>0.23218510488508279</v>
      </c>
      <c r="G63" s="6">
        <f t="shared" ref="G63:G87" si="12">F63/E63*100</f>
        <v>17.732895360314302</v>
      </c>
    </row>
    <row r="64" spans="1:7" x14ac:dyDescent="0.25">
      <c r="A64" s="3" t="s">
        <v>43</v>
      </c>
      <c r="B64" s="6">
        <v>3.7749033036224637</v>
      </c>
      <c r="C64" s="6">
        <v>5.5791974862606866</v>
      </c>
      <c r="D64" s="6">
        <v>3.5070053856531835</v>
      </c>
      <c r="E64" s="6">
        <f t="shared" si="10"/>
        <v>4.2870353918454445</v>
      </c>
      <c r="F64" s="6">
        <f t="shared" si="11"/>
        <v>1.1270334876549839</v>
      </c>
      <c r="G64" s="6">
        <f t="shared" si="12"/>
        <v>26.289344142079234</v>
      </c>
    </row>
    <row r="65" spans="1:7" x14ac:dyDescent="0.25">
      <c r="A65" s="3" t="s">
        <v>44</v>
      </c>
      <c r="B65" s="6">
        <v>1.5449712199498649</v>
      </c>
      <c r="C65" s="6">
        <v>2.0332762320834328</v>
      </c>
      <c r="D65" s="6">
        <v>1.6423456897470303</v>
      </c>
      <c r="E65" s="6">
        <f t="shared" si="10"/>
        <v>1.7401977139267759</v>
      </c>
      <c r="F65" s="6">
        <f t="shared" si="11"/>
        <v>0.25844092206101194</v>
      </c>
      <c r="G65" s="6">
        <f t="shared" si="12"/>
        <v>14.851239028342192</v>
      </c>
    </row>
    <row r="66" spans="1:7" x14ac:dyDescent="0.25">
      <c r="A66" s="3" t="s">
        <v>45</v>
      </c>
      <c r="B66" s="6">
        <v>0.45690386365785834</v>
      </c>
      <c r="C66" s="6">
        <v>0.62969578063012488</v>
      </c>
      <c r="D66" s="6">
        <v>0.2781969146598739</v>
      </c>
      <c r="E66" s="6">
        <f t="shared" si="10"/>
        <v>0.45493218631595239</v>
      </c>
      <c r="F66" s="6">
        <f t="shared" si="11"/>
        <v>0.17575772764873962</v>
      </c>
      <c r="G66" s="6">
        <f t="shared" si="12"/>
        <v>38.633830037841093</v>
      </c>
    </row>
    <row r="67" spans="1:7" x14ac:dyDescent="0.25">
      <c r="A67" s="3" t="s">
        <v>46</v>
      </c>
      <c r="B67" s="6">
        <v>5.6091501507523365</v>
      </c>
      <c r="C67" s="6">
        <v>4.9779936629160444</v>
      </c>
      <c r="D67" s="6">
        <v>4.7671516904900857</v>
      </c>
      <c r="E67" s="6">
        <f t="shared" si="10"/>
        <v>5.1180985013861546</v>
      </c>
      <c r="F67" s="6">
        <f t="shared" si="11"/>
        <v>0.43813511168708247</v>
      </c>
      <c r="G67" s="6">
        <f t="shared" si="12"/>
        <v>8.5605056559271109</v>
      </c>
    </row>
    <row r="68" spans="1:7" x14ac:dyDescent="0.25">
      <c r="A68" s="3" t="s">
        <v>47</v>
      </c>
      <c r="B68" s="6">
        <v>10.668695204272497</v>
      </c>
      <c r="C68" s="6">
        <v>11.318522320998365</v>
      </c>
      <c r="D68" s="6">
        <v>9.8215003373796126</v>
      </c>
      <c r="E68" s="6">
        <f t="shared" si="10"/>
        <v>10.602905954216824</v>
      </c>
      <c r="F68" s="6">
        <f t="shared" si="11"/>
        <v>0.75067627771671475</v>
      </c>
      <c r="G68" s="6">
        <f t="shared" si="12"/>
        <v>7.0799107429427615</v>
      </c>
    </row>
    <row r="69" spans="1:7" x14ac:dyDescent="0.25">
      <c r="A69" s="3" t="s">
        <v>48</v>
      </c>
      <c r="B69" s="6">
        <v>7.030968569215486</v>
      </c>
      <c r="C69" s="6">
        <v>7.6965183524151453</v>
      </c>
      <c r="D69" s="6">
        <v>6.9989413714846656</v>
      </c>
      <c r="E69" s="6">
        <f t="shared" si="10"/>
        <v>7.2421427643717662</v>
      </c>
      <c r="F69" s="6">
        <f t="shared" si="11"/>
        <v>0.39382650571787015</v>
      </c>
      <c r="G69" s="6">
        <f t="shared" si="12"/>
        <v>5.4379831844150806</v>
      </c>
    </row>
    <row r="70" spans="1:7" x14ac:dyDescent="0.25">
      <c r="A70" s="3" t="s">
        <v>49</v>
      </c>
      <c r="B70" s="6">
        <v>10.275486153990293</v>
      </c>
      <c r="C70" s="6">
        <v>10.368373202144179</v>
      </c>
      <c r="D70" s="6">
        <v>9.6027187103992766</v>
      </c>
      <c r="E70" s="6">
        <f t="shared" si="10"/>
        <v>10.082192688844582</v>
      </c>
      <c r="F70" s="6">
        <f t="shared" si="11"/>
        <v>0.41782588829955608</v>
      </c>
      <c r="G70" s="6">
        <f t="shared" si="12"/>
        <v>4.1441966166928994</v>
      </c>
    </row>
    <row r="71" spans="1:7" x14ac:dyDescent="0.25">
      <c r="A71" s="3" t="s">
        <v>50</v>
      </c>
      <c r="B71" s="6">
        <v>14.772554851138691</v>
      </c>
      <c r="C71" s="6">
        <v>13.970943554643087</v>
      </c>
      <c r="D71" s="6">
        <v>16.867672551011474</v>
      </c>
      <c r="E71" s="6">
        <f t="shared" si="10"/>
        <v>15.203723652264417</v>
      </c>
      <c r="F71" s="6">
        <f t="shared" si="11"/>
        <v>1.4957237782754198</v>
      </c>
      <c r="G71" s="6">
        <f t="shared" si="12"/>
        <v>9.8378779599341719</v>
      </c>
    </row>
    <row r="72" spans="1:7" x14ac:dyDescent="0.25">
      <c r="A72" s="3" t="s">
        <v>51</v>
      </c>
      <c r="B72" s="6">
        <v>3.3278674871285339</v>
      </c>
      <c r="C72" s="6">
        <v>3.1950861231500185</v>
      </c>
      <c r="D72" s="6">
        <v>2.828019796062303</v>
      </c>
      <c r="E72" s="6">
        <f t="shared" si="10"/>
        <v>3.1169911354469519</v>
      </c>
      <c r="F72" s="6">
        <f t="shared" si="11"/>
        <v>0.2589132072612696</v>
      </c>
      <c r="G72" s="6">
        <f t="shared" si="12"/>
        <v>8.30651086289161</v>
      </c>
    </row>
    <row r="73" spans="1:7" x14ac:dyDescent="0.25">
      <c r="A73" s="3" t="s">
        <v>52</v>
      </c>
      <c r="B73" s="6">
        <v>2.1535043952965829</v>
      </c>
      <c r="C73" s="6">
        <v>1.6944688932697765</v>
      </c>
      <c r="D73" s="6">
        <v>2.0545337523166713</v>
      </c>
      <c r="E73" s="6">
        <f t="shared" si="10"/>
        <v>1.96750234696101</v>
      </c>
      <c r="F73" s="6">
        <f t="shared" si="11"/>
        <v>0.24157658654945557</v>
      </c>
      <c r="G73" s="6">
        <f t="shared" si="12"/>
        <v>12.278337910122092</v>
      </c>
    </row>
    <row r="74" spans="1:7" x14ac:dyDescent="0.25">
      <c r="A74" s="3" t="s">
        <v>53</v>
      </c>
      <c r="B74" s="6">
        <v>2.4777832932670338</v>
      </c>
      <c r="C74" s="6">
        <v>1.9698101736290927</v>
      </c>
      <c r="D74" s="6">
        <v>2.3915515046496205</v>
      </c>
      <c r="E74" s="6">
        <f t="shared" si="10"/>
        <v>2.2797149905152492</v>
      </c>
      <c r="F74" s="6">
        <f t="shared" si="11"/>
        <v>0.27182664878368917</v>
      </c>
      <c r="G74" s="6">
        <f t="shared" si="12"/>
        <v>11.923711951477424</v>
      </c>
    </row>
    <row r="75" spans="1:7" x14ac:dyDescent="0.25">
      <c r="A75" s="3" t="s">
        <v>54</v>
      </c>
      <c r="B75" s="6">
        <v>2.9867821269464847</v>
      </c>
      <c r="C75" s="6">
        <v>2.8355898950918097</v>
      </c>
      <c r="D75" s="6">
        <v>3.2723989185884705</v>
      </c>
      <c r="E75" s="6">
        <f t="shared" si="10"/>
        <v>3.0315903135422548</v>
      </c>
      <c r="F75" s="6">
        <f t="shared" si="11"/>
        <v>0.22182506833432425</v>
      </c>
      <c r="G75" s="6">
        <f t="shared" si="12"/>
        <v>7.3171189175338558</v>
      </c>
    </row>
    <row r="76" spans="1:7" x14ac:dyDescent="0.25">
      <c r="A76" s="3" t="s">
        <v>55</v>
      </c>
      <c r="B76" s="6">
        <v>3.070792529739419</v>
      </c>
      <c r="C76" s="6">
        <v>2.1888067061697969</v>
      </c>
      <c r="D76" s="6">
        <v>3.2761945514748132</v>
      </c>
      <c r="E76" s="6">
        <f t="shared" si="10"/>
        <v>2.8452645957946761</v>
      </c>
      <c r="F76" s="6">
        <f t="shared" si="11"/>
        <v>0.57771118932500554</v>
      </c>
      <c r="G76" s="6">
        <f t="shared" si="12"/>
        <v>20.30430456903261</v>
      </c>
    </row>
    <row r="77" spans="1:7" x14ac:dyDescent="0.25">
      <c r="A77" s="3" t="s">
        <v>56</v>
      </c>
      <c r="B77" s="6">
        <v>5.0269759934908036</v>
      </c>
      <c r="C77" s="6">
        <v>4.2051907946751577</v>
      </c>
      <c r="D77" s="6">
        <v>4.8848900362585415</v>
      </c>
      <c r="E77" s="6">
        <f t="shared" si="10"/>
        <v>4.7056856081415015</v>
      </c>
      <c r="F77" s="6">
        <f t="shared" si="11"/>
        <v>0.43922476995347653</v>
      </c>
      <c r="G77" s="6">
        <f t="shared" si="12"/>
        <v>9.3339165964159516</v>
      </c>
    </row>
    <row r="78" spans="1:7" x14ac:dyDescent="0.25">
      <c r="A78" s="3" t="s">
        <v>57</v>
      </c>
      <c r="B78" s="6">
        <v>3.1865646392421683</v>
      </c>
      <c r="C78" s="6">
        <v>2.8158889171435035</v>
      </c>
      <c r="D78" s="6">
        <v>3.3843439031905524</v>
      </c>
      <c r="E78" s="6">
        <f t="shared" si="10"/>
        <v>3.1289324865254078</v>
      </c>
      <c r="F78" s="6">
        <f t="shared" si="11"/>
        <v>0.28857644838155733</v>
      </c>
      <c r="G78" s="6">
        <f t="shared" si="12"/>
        <v>9.2228403656613711</v>
      </c>
    </row>
    <row r="79" spans="1:7" x14ac:dyDescent="0.25">
      <c r="A79" s="3" t="s">
        <v>58</v>
      </c>
      <c r="B79" s="6">
        <v>0.98587542547484641</v>
      </c>
      <c r="C79" s="6">
        <v>1.0799816975916554</v>
      </c>
      <c r="D79" s="6">
        <v>1.1090616843875034</v>
      </c>
      <c r="E79" s="6">
        <f t="shared" si="10"/>
        <v>1.058306269151335</v>
      </c>
      <c r="F79" s="6">
        <f t="shared" si="11"/>
        <v>6.4390074893399735E-2</v>
      </c>
      <c r="G79" s="6">
        <f t="shared" si="12"/>
        <v>6.0842571541255914</v>
      </c>
    </row>
    <row r="80" spans="1:7" x14ac:dyDescent="0.25">
      <c r="A80" s="3" t="s">
        <v>59</v>
      </c>
      <c r="B80" s="6">
        <v>2.5642479126877458</v>
      </c>
      <c r="C80" s="6">
        <v>2.3876200271360939</v>
      </c>
      <c r="D80" s="6">
        <v>2.394891559898165</v>
      </c>
      <c r="E80" s="6">
        <f t="shared" si="10"/>
        <v>2.4489198332406681</v>
      </c>
      <c r="F80" s="6">
        <f t="shared" si="11"/>
        <v>9.9943200013262734E-2</v>
      </c>
      <c r="G80" s="6">
        <f t="shared" si="12"/>
        <v>4.081113585535685</v>
      </c>
    </row>
    <row r="81" spans="1:7" x14ac:dyDescent="0.25">
      <c r="A81" s="3" t="s">
        <v>60</v>
      </c>
      <c r="B81" s="6">
        <v>0.60647741912512565</v>
      </c>
      <c r="C81" s="6">
        <v>0.9412635575717242</v>
      </c>
      <c r="D81" s="6">
        <v>0.60100071460638382</v>
      </c>
      <c r="E81" s="6">
        <f t="shared" si="10"/>
        <v>0.71624723043441119</v>
      </c>
      <c r="F81" s="6">
        <f t="shared" si="11"/>
        <v>0.19488909456886261</v>
      </c>
      <c r="G81" s="6">
        <f t="shared" si="12"/>
        <v>27.209751924717445</v>
      </c>
    </row>
    <row r="82" spans="1:7" x14ac:dyDescent="0.25">
      <c r="A82" s="3" t="s">
        <v>61</v>
      </c>
      <c r="B82" s="6">
        <v>1.3708615122383698</v>
      </c>
      <c r="C82" s="6">
        <v>1.2592546572518211</v>
      </c>
      <c r="D82" s="6">
        <v>1.0985596283447456</v>
      </c>
      <c r="E82" s="6">
        <f t="shared" si="10"/>
        <v>1.2428919326116457</v>
      </c>
      <c r="F82" s="6">
        <f t="shared" si="11"/>
        <v>0.13688638742125478</v>
      </c>
      <c r="G82" s="6">
        <f t="shared" si="12"/>
        <v>11.013538975477955</v>
      </c>
    </row>
    <row r="83" spans="1:7" x14ac:dyDescent="0.25">
      <c r="A83" s="3" t="s">
        <v>62</v>
      </c>
      <c r="B83" s="6">
        <v>0.9098174160587662</v>
      </c>
      <c r="C83" s="6">
        <v>1.1080019729893551</v>
      </c>
      <c r="D83" s="6">
        <v>0.91339642775364638</v>
      </c>
      <c r="E83" s="6">
        <f t="shared" si="10"/>
        <v>0.97707193893392252</v>
      </c>
      <c r="F83" s="6">
        <f t="shared" si="11"/>
        <v>0.11340285575987744</v>
      </c>
      <c r="G83" s="6">
        <f t="shared" si="12"/>
        <v>11.606397772881557</v>
      </c>
    </row>
    <row r="84" spans="1:7" x14ac:dyDescent="0.25">
      <c r="A84" s="3" t="s">
        <v>63</v>
      </c>
      <c r="B84" s="6">
        <v>4.2129036483922784</v>
      </c>
      <c r="C84" s="6">
        <v>3.6371993926397943</v>
      </c>
      <c r="D84" s="6">
        <v>4.6852377126081732</v>
      </c>
      <c r="E84" s="6">
        <f t="shared" si="10"/>
        <v>4.1784469178800814</v>
      </c>
      <c r="F84" s="6">
        <f t="shared" si="11"/>
        <v>0.52486810699330155</v>
      </c>
      <c r="G84" s="6">
        <f t="shared" si="12"/>
        <v>12.561320445338847</v>
      </c>
    </row>
    <row r="85" spans="1:7" x14ac:dyDescent="0.25">
      <c r="A85" s="3" t="s">
        <v>64</v>
      </c>
      <c r="B85" s="6">
        <v>5.4532447998454607</v>
      </c>
      <c r="C85" s="6">
        <v>4.1078597186740504</v>
      </c>
      <c r="D85" s="6">
        <v>6.0516996183229583</v>
      </c>
      <c r="E85" s="6">
        <f t="shared" si="10"/>
        <v>5.2042680456141559</v>
      </c>
      <c r="F85" s="6">
        <f t="shared" si="11"/>
        <v>0.99555032870138771</v>
      </c>
      <c r="G85" s="6">
        <f t="shared" si="12"/>
        <v>19.129497558074043</v>
      </c>
    </row>
    <row r="86" spans="1:7" x14ac:dyDescent="0.25">
      <c r="A86" s="3" t="s">
        <v>65</v>
      </c>
      <c r="B86" s="6">
        <v>0.84868132848565003</v>
      </c>
      <c r="C86" s="6">
        <v>1.2899987391938923</v>
      </c>
      <c r="D86" s="6">
        <v>0.83545553431565689</v>
      </c>
      <c r="E86" s="6">
        <f t="shared" si="10"/>
        <v>0.9913785339983997</v>
      </c>
      <c r="F86" s="6">
        <f t="shared" si="11"/>
        <v>0.25869721803897627</v>
      </c>
      <c r="G86" s="6">
        <f t="shared" si="12"/>
        <v>26.094696341225585</v>
      </c>
    </row>
    <row r="87" spans="1:7" x14ac:dyDescent="0.25">
      <c r="A87" s="3" t="s">
        <v>66</v>
      </c>
      <c r="B87" s="6">
        <v>0.74683747520181532</v>
      </c>
      <c r="C87" s="6">
        <v>1.2205112833060674</v>
      </c>
      <c r="D87" s="6">
        <v>1.0441734589038898</v>
      </c>
      <c r="E87" s="6">
        <f t="shared" si="10"/>
        <v>1.0038407391372575</v>
      </c>
      <c r="F87" s="6">
        <f t="shared" si="11"/>
        <v>0.23939875800393409</v>
      </c>
      <c r="G87" s="6">
        <f t="shared" si="12"/>
        <v>23.848280775064314</v>
      </c>
    </row>
  </sheetData>
  <mergeCells count="5">
    <mergeCell ref="A2:C2"/>
    <mergeCell ref="A15:C15"/>
    <mergeCell ref="A60:C60"/>
    <mergeCell ref="A28:C28"/>
    <mergeCell ref="A1:G1"/>
  </mergeCells>
  <conditionalFormatting sqref="A30:A58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85" zoomScaleNormal="85" workbookViewId="0">
      <selection activeCell="L6" sqref="L6"/>
    </sheetView>
  </sheetViews>
  <sheetFormatPr defaultRowHeight="15" x14ac:dyDescent="0.25"/>
  <sheetData>
    <row r="1" spans="1:8" ht="58.5" customHeight="1" x14ac:dyDescent="0.25">
      <c r="A1" s="20" t="s">
        <v>243</v>
      </c>
      <c r="B1" s="20"/>
      <c r="C1" s="20"/>
      <c r="D1" s="20"/>
      <c r="E1" s="20"/>
      <c r="F1" s="20"/>
      <c r="G1" s="20"/>
      <c r="H1" s="20"/>
    </row>
    <row r="2" spans="1:8" x14ac:dyDescent="0.25">
      <c r="A2" s="4" t="s">
        <v>167</v>
      </c>
      <c r="B2" s="1" t="s">
        <v>141</v>
      </c>
      <c r="C2" s="1" t="s">
        <v>142</v>
      </c>
      <c r="D2" s="1" t="s">
        <v>143</v>
      </c>
      <c r="E2" s="1" t="s">
        <v>144</v>
      </c>
      <c r="F2" s="1" t="s">
        <v>145</v>
      </c>
      <c r="G2" s="1" t="s">
        <v>146</v>
      </c>
      <c r="H2" s="1" t="s">
        <v>147</v>
      </c>
    </row>
    <row r="3" spans="1:8" x14ac:dyDescent="0.25">
      <c r="A3" s="3" t="s">
        <v>148</v>
      </c>
      <c r="B3" s="6">
        <v>5.0386995513055801</v>
      </c>
      <c r="C3" s="6">
        <v>7.3717330906226604</v>
      </c>
      <c r="D3" s="6">
        <v>0.70487196445635203</v>
      </c>
      <c r="E3" s="6">
        <v>0.17632277264046201</v>
      </c>
      <c r="F3" s="6">
        <v>2.0703893278913901</v>
      </c>
      <c r="G3" s="6">
        <v>2.40871186102942</v>
      </c>
      <c r="H3" s="6">
        <v>8.2838754838648097</v>
      </c>
    </row>
    <row r="4" spans="1:8" x14ac:dyDescent="0.25">
      <c r="A4" s="3" t="s">
        <v>149</v>
      </c>
      <c r="B4" s="6">
        <v>4.4600872401168301</v>
      </c>
      <c r="C4" s="6">
        <v>6.4356285940520896</v>
      </c>
      <c r="D4" s="6">
        <v>2.8569152196770899E-2</v>
      </c>
      <c r="E4" s="6">
        <v>7.0389327891397999E-2</v>
      </c>
      <c r="F4" s="6">
        <v>2.7092906357233502</v>
      </c>
      <c r="G4" s="6">
        <v>0.214124805352847</v>
      </c>
      <c r="H4" s="6">
        <v>7.3715588626119599</v>
      </c>
    </row>
    <row r="5" spans="1:8" x14ac:dyDescent="0.25">
      <c r="A5" s="3" t="s">
        <v>150</v>
      </c>
      <c r="B5" s="6">
        <v>6.5754636120844001</v>
      </c>
      <c r="C5" s="6">
        <v>0.344828496997441</v>
      </c>
      <c r="D5" s="6">
        <v>7.2317971835299399</v>
      </c>
      <c r="E5" s="6">
        <v>7.2929657547176499</v>
      </c>
      <c r="F5" s="6">
        <v>9.1524623158415803</v>
      </c>
      <c r="G5" s="6">
        <v>0.40053792958372803</v>
      </c>
      <c r="H5" s="6">
        <v>6.7097041931407997</v>
      </c>
    </row>
    <row r="6" spans="1:8" x14ac:dyDescent="0.25">
      <c r="A6" s="3" t="s">
        <v>151</v>
      </c>
      <c r="B6" s="6">
        <v>6.5243458164625396</v>
      </c>
      <c r="C6" s="6">
        <v>1.38956681176272</v>
      </c>
      <c r="D6" s="6">
        <v>7.3752132395563796</v>
      </c>
      <c r="E6" s="6">
        <v>7.4307034333357302</v>
      </c>
      <c r="F6" s="6">
        <v>8.3582555867051198</v>
      </c>
      <c r="G6" s="6">
        <v>0.45417589318580198</v>
      </c>
      <c r="H6" s="6">
        <v>5.3572000848600503</v>
      </c>
    </row>
    <row r="7" spans="1:8" x14ac:dyDescent="0.25">
      <c r="A7" s="3" t="s">
        <v>152</v>
      </c>
      <c r="B7" s="6">
        <v>3.7665951617292701</v>
      </c>
      <c r="C7" s="6">
        <v>7.1337073606583798</v>
      </c>
      <c r="D7" s="6">
        <v>1.435529297707E-2</v>
      </c>
      <c r="E7" s="6">
        <v>0.13750352374993499</v>
      </c>
      <c r="F7" s="6">
        <v>3.4607425637896401</v>
      </c>
      <c r="G7" s="6">
        <v>2.8569152196770899E-2</v>
      </c>
      <c r="H7" s="6">
        <v>7.2483071200872402</v>
      </c>
    </row>
    <row r="8" spans="1:8" x14ac:dyDescent="0.25">
      <c r="A8" s="3" t="s">
        <v>153</v>
      </c>
      <c r="B8" s="6">
        <v>3.05831649559082</v>
      </c>
      <c r="C8" s="6">
        <v>2.4541758931858002</v>
      </c>
      <c r="D8" s="6">
        <v>1.0976107966264199</v>
      </c>
      <c r="E8" s="6">
        <v>0</v>
      </c>
      <c r="F8" s="6">
        <v>3.8599695482210201</v>
      </c>
      <c r="G8" s="6">
        <v>7.0389327891397999E-2</v>
      </c>
      <c r="H8" s="6">
        <v>6.44774448211255</v>
      </c>
    </row>
    <row r="9" spans="1:8" x14ac:dyDescent="0.25">
      <c r="A9" s="3" t="s">
        <v>154</v>
      </c>
      <c r="B9" s="6">
        <v>5.3701642805402097</v>
      </c>
      <c r="C9" s="6">
        <v>4.9183862344463396</v>
      </c>
      <c r="D9" s="6">
        <v>3.2172307162206599</v>
      </c>
      <c r="E9" s="6">
        <v>0.81557542886257195</v>
      </c>
      <c r="F9" s="6">
        <v>7.9979133465270396</v>
      </c>
      <c r="G9" s="6">
        <v>0.214124805352847</v>
      </c>
      <c r="H9" s="6">
        <v>6.6364796187805304</v>
      </c>
    </row>
    <row r="10" spans="1:8" x14ac:dyDescent="0.25">
      <c r="A10" s="3" t="s">
        <v>155</v>
      </c>
      <c r="B10" s="6">
        <v>6.22554487000337</v>
      </c>
      <c r="C10" s="6">
        <v>0.23878685958711601</v>
      </c>
      <c r="D10" s="6">
        <v>6.2566332950599204</v>
      </c>
      <c r="E10" s="6">
        <v>6.3619437737352396</v>
      </c>
      <c r="F10" s="6">
        <v>7.5731927237816103</v>
      </c>
      <c r="G10" s="6">
        <v>3.3715588626119599</v>
      </c>
      <c r="H10" s="6">
        <v>4.7468501830980498</v>
      </c>
    </row>
    <row r="11" spans="1:8" x14ac:dyDescent="0.25">
      <c r="A11" s="3" t="s">
        <v>156</v>
      </c>
      <c r="B11" s="6">
        <v>4.92931759491176</v>
      </c>
      <c r="C11" s="6">
        <v>6.10244817792658</v>
      </c>
      <c r="D11" s="6">
        <v>4.8099288657214299</v>
      </c>
      <c r="E11" s="6">
        <v>0.97085365434048299</v>
      </c>
      <c r="F11" s="6">
        <v>5.7892075753473398</v>
      </c>
      <c r="G11" s="6">
        <v>2.2839217723076102</v>
      </c>
      <c r="H11" s="6">
        <v>6.9734964798129502</v>
      </c>
    </row>
    <row r="12" spans="1:8" x14ac:dyDescent="0.25">
      <c r="A12" s="3" t="s">
        <v>157</v>
      </c>
      <c r="B12" s="6">
        <v>3.5849625007211499</v>
      </c>
      <c r="C12" s="6">
        <v>7.2588957550754296</v>
      </c>
      <c r="D12" s="6">
        <v>2.8569152196770899E-2</v>
      </c>
      <c r="E12" s="6">
        <v>0.20163386116965001</v>
      </c>
      <c r="F12" s="6">
        <v>6.1639012138145404</v>
      </c>
      <c r="G12" s="6">
        <v>7.0389327891397999E-2</v>
      </c>
      <c r="H12" s="6">
        <v>6.9113320615712102</v>
      </c>
    </row>
    <row r="13" spans="1:8" x14ac:dyDescent="0.25">
      <c r="A13" s="3" t="s">
        <v>158</v>
      </c>
      <c r="B13" s="6">
        <v>2.6064422281316002</v>
      </c>
      <c r="C13" s="6">
        <v>5.6197064500458902</v>
      </c>
      <c r="D13" s="6">
        <v>1.435529297707E-2</v>
      </c>
      <c r="E13" s="6">
        <v>0.72246602447109098</v>
      </c>
      <c r="F13" s="6">
        <v>4.8683904530544497</v>
      </c>
      <c r="G13" s="6">
        <v>4.2644337408493702E-2</v>
      </c>
      <c r="H13" s="6">
        <v>7.0118981203694899</v>
      </c>
    </row>
    <row r="14" spans="1:8" x14ac:dyDescent="0.25">
      <c r="A14" s="3" t="s">
        <v>159</v>
      </c>
      <c r="B14" s="6">
        <v>5.3248106034204801</v>
      </c>
      <c r="C14" s="6">
        <v>6.7406577716238898</v>
      </c>
      <c r="D14" s="6">
        <v>7.0389327891397999E-2</v>
      </c>
      <c r="E14" s="6">
        <v>0</v>
      </c>
      <c r="F14" s="6">
        <v>4.1317540909848098</v>
      </c>
      <c r="G14" s="6">
        <v>2.8569152196770899E-2</v>
      </c>
      <c r="H14" s="6">
        <v>7.4428605799579604</v>
      </c>
    </row>
    <row r="15" spans="1:8" x14ac:dyDescent="0.25">
      <c r="A15" s="3" t="s">
        <v>160</v>
      </c>
      <c r="B15" s="6">
        <v>5.3344967683904096</v>
      </c>
      <c r="C15" s="6">
        <v>5.9532652390148399</v>
      </c>
      <c r="D15" s="6">
        <v>0.111031312388743</v>
      </c>
      <c r="E15" s="6">
        <v>0.73118324157220005</v>
      </c>
      <c r="F15" s="6">
        <v>5.1005572207829299</v>
      </c>
      <c r="G15" s="6">
        <v>0.124328135002201</v>
      </c>
      <c r="H15" s="6">
        <v>6.9114519116266004</v>
      </c>
    </row>
    <row r="16" spans="1:8" x14ac:dyDescent="0.25">
      <c r="A16" s="3" t="s">
        <v>161</v>
      </c>
      <c r="B16" s="6">
        <v>3.7290088703378599</v>
      </c>
      <c r="C16" s="6">
        <v>6.2995743706088696</v>
      </c>
      <c r="D16" s="6">
        <v>5.65835283663675E-2</v>
      </c>
      <c r="E16" s="6">
        <v>9.7610796626422303E-2</v>
      </c>
      <c r="F16" s="6">
        <v>3.8669079781431601</v>
      </c>
      <c r="G16" s="6">
        <v>4.2644337408493702E-2</v>
      </c>
      <c r="H16" s="6">
        <v>7.3389591754151997</v>
      </c>
    </row>
    <row r="17" spans="1:8" x14ac:dyDescent="0.25">
      <c r="A17" s="3" t="s">
        <v>162</v>
      </c>
      <c r="B17" s="6">
        <v>3.2539892662307799</v>
      </c>
      <c r="C17" s="6">
        <v>8.2314612098342508</v>
      </c>
      <c r="D17" s="6">
        <v>2.7634115744700001</v>
      </c>
      <c r="E17" s="6">
        <v>0</v>
      </c>
      <c r="F17" s="6">
        <v>3.6147098441151999</v>
      </c>
      <c r="G17" s="6">
        <v>0.16349873228287901</v>
      </c>
      <c r="H17" s="6">
        <v>7.6831349851260899</v>
      </c>
    </row>
    <row r="18" spans="1:8" x14ac:dyDescent="0.25">
      <c r="A18" s="3" t="s">
        <v>163</v>
      </c>
      <c r="B18" s="6">
        <v>1.99276843076892</v>
      </c>
      <c r="C18" s="6">
        <v>5.7572899923787704</v>
      </c>
      <c r="D18" s="6">
        <v>7.0389327891397999E-2</v>
      </c>
      <c r="E18" s="6">
        <v>7.0389327891397999E-2</v>
      </c>
      <c r="F18" s="6">
        <v>3.6622054996536102</v>
      </c>
      <c r="G18" s="6">
        <v>1.435529297707E-2</v>
      </c>
      <c r="H18" s="6">
        <v>7.2069166725385898</v>
      </c>
    </row>
    <row r="19" spans="1:8" x14ac:dyDescent="0.25">
      <c r="A19" s="3" t="s">
        <v>164</v>
      </c>
      <c r="B19" s="6">
        <v>5.8006410973290796</v>
      </c>
      <c r="C19" s="6">
        <v>2.3045110418099499</v>
      </c>
      <c r="D19" s="6">
        <v>6.33681894254764</v>
      </c>
      <c r="E19" s="6">
        <v>6.5281024293023897</v>
      </c>
      <c r="F19" s="6">
        <v>8.2734692661772709</v>
      </c>
      <c r="G19" s="6">
        <v>2.2868811477881601</v>
      </c>
      <c r="H19" s="6">
        <v>5.7988281780911004</v>
      </c>
    </row>
    <row r="20" spans="1:8" x14ac:dyDescent="0.25">
      <c r="A20" s="3" t="s">
        <v>165</v>
      </c>
      <c r="B20" s="6">
        <v>4.4161641647331198</v>
      </c>
      <c r="C20" s="6">
        <v>7.9056878485268598</v>
      </c>
      <c r="D20" s="6">
        <v>0.16349873228287901</v>
      </c>
      <c r="E20" s="6">
        <v>4.2644337408493702E-2</v>
      </c>
      <c r="F20" s="6">
        <v>3.9429835981871002</v>
      </c>
      <c r="G20" s="6">
        <v>0.16349873228287901</v>
      </c>
      <c r="H20" s="6">
        <v>7.3942054303588698</v>
      </c>
    </row>
    <row r="21" spans="1:8" x14ac:dyDescent="0.25">
      <c r="A21" s="3" t="s">
        <v>166</v>
      </c>
      <c r="B21" s="6">
        <v>2.87578006306848</v>
      </c>
      <c r="C21" s="6">
        <v>6.7343031700073697</v>
      </c>
      <c r="D21" s="6">
        <v>0.16349873228287901</v>
      </c>
      <c r="E21" s="6">
        <v>1.435529297707E-2</v>
      </c>
      <c r="F21" s="6">
        <v>1.5558161550616301</v>
      </c>
      <c r="G21" s="6">
        <v>0.78240856492737298</v>
      </c>
      <c r="H21" s="6">
        <v>6.4198759304221902</v>
      </c>
    </row>
  </sheetData>
  <mergeCells count="1">
    <mergeCell ref="A1:H1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</vt:lpstr>
      <vt:lpstr>Glycan features</vt:lpstr>
      <vt:lpstr>N-glycans</vt:lpstr>
      <vt:lpstr>O-glycans</vt:lpstr>
      <vt:lpstr>RSD_MOLM-14</vt:lpstr>
      <vt:lpstr>TFs</vt:lpstr>
    </vt:vector>
  </TitlesOfParts>
  <Company>Universität Salzburg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Blöchl Constantin</dc:creator>
  <cp:lastModifiedBy>Blöchl Constantin</cp:lastModifiedBy>
  <dcterms:created xsi:type="dcterms:W3CDTF">2021-05-25T08:57:30Z</dcterms:created>
  <dcterms:modified xsi:type="dcterms:W3CDTF">2021-09-30T16:58:55Z</dcterms:modified>
</cp:coreProperties>
</file>