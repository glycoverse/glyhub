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as\OneDrive - Beth Israel Lahey Health\Manuscripts\SUGA NG\"/>
    </mc:Choice>
  </mc:AlternateContent>
  <xr:revisionPtr revIDLastSave="0" documentId="8_{DF2BB797-522B-4C19-8C66-1DDEE9FC14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Quant" sheetId="2" r:id="rId1"/>
  </sheets>
  <definedNames>
    <definedName name="_xlnm._FilterDatabase" localSheetId="0" hidden="1">Quant!$A$1:$DJ$58</definedName>
    <definedName name="_xlchart.v1.0" hidden="1">Quant!$V$2:$V$58</definedName>
    <definedName name="_xlchart.v1.1" hidden="1">Quant!$V$62:$V$118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" i="2" l="1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AC58" i="2"/>
  <c r="AB58" i="2"/>
  <c r="AC57" i="2"/>
  <c r="AB57" i="2"/>
  <c r="AC56" i="2"/>
  <c r="AB56" i="2"/>
  <c r="AC55" i="2"/>
  <c r="AB55" i="2"/>
  <c r="AC54" i="2"/>
  <c r="AB54" i="2"/>
  <c r="AC53" i="2"/>
  <c r="AB53" i="2"/>
  <c r="AC52" i="2"/>
  <c r="AB52" i="2"/>
  <c r="AC51" i="2"/>
  <c r="AB51" i="2"/>
  <c r="AC50" i="2"/>
  <c r="AB50" i="2"/>
  <c r="AC49" i="2"/>
  <c r="AB49" i="2"/>
  <c r="AC48" i="2"/>
  <c r="AB48" i="2"/>
  <c r="AC47" i="2"/>
  <c r="AB47" i="2"/>
  <c r="AC46" i="2"/>
  <c r="AB46" i="2"/>
  <c r="AC45" i="2"/>
  <c r="AB45" i="2"/>
  <c r="AC44" i="2"/>
  <c r="AB44" i="2"/>
  <c r="AC43" i="2"/>
  <c r="AB43" i="2"/>
  <c r="AC42" i="2"/>
  <c r="AB42" i="2"/>
  <c r="AC41" i="2"/>
  <c r="AB41" i="2"/>
  <c r="AC40" i="2"/>
  <c r="AB40" i="2"/>
  <c r="AC39" i="2"/>
  <c r="AB39" i="2"/>
  <c r="AC38" i="2"/>
  <c r="AB38" i="2"/>
  <c r="AC37" i="2"/>
  <c r="AB37" i="2"/>
  <c r="AC36" i="2"/>
  <c r="AB36" i="2"/>
  <c r="AC35" i="2"/>
  <c r="AB35" i="2"/>
  <c r="AC34" i="2"/>
  <c r="AB34" i="2"/>
  <c r="AC33" i="2"/>
  <c r="AB33" i="2"/>
  <c r="AC32" i="2"/>
  <c r="AB32" i="2"/>
  <c r="AC31" i="2"/>
  <c r="AB31" i="2"/>
  <c r="AC30" i="2"/>
  <c r="AB30" i="2"/>
  <c r="AC29" i="2"/>
  <c r="AB29" i="2"/>
  <c r="AC28" i="2"/>
  <c r="AB28" i="2"/>
  <c r="AC27" i="2"/>
  <c r="AB27" i="2"/>
  <c r="AC26" i="2"/>
  <c r="AB26" i="2"/>
  <c r="AC25" i="2"/>
  <c r="AB25" i="2"/>
  <c r="AC24" i="2"/>
  <c r="AB24" i="2"/>
  <c r="AC23" i="2"/>
  <c r="AB23" i="2"/>
  <c r="AC22" i="2"/>
  <c r="AB22" i="2"/>
  <c r="AC21" i="2"/>
  <c r="AB21" i="2"/>
  <c r="AC20" i="2"/>
  <c r="AB20" i="2"/>
  <c r="AC19" i="2"/>
  <c r="AB19" i="2"/>
  <c r="AC18" i="2"/>
  <c r="AB18" i="2"/>
  <c r="AC17" i="2"/>
  <c r="AB17" i="2"/>
  <c r="AC16" i="2"/>
  <c r="AB16" i="2"/>
  <c r="AC15" i="2"/>
  <c r="AB15" i="2"/>
  <c r="AC14" i="2"/>
  <c r="AB14" i="2"/>
  <c r="AC13" i="2"/>
  <c r="AB13" i="2"/>
  <c r="AC12" i="2"/>
  <c r="AB12" i="2"/>
  <c r="AC11" i="2"/>
  <c r="AB11" i="2"/>
  <c r="AC10" i="2"/>
  <c r="AB10" i="2"/>
  <c r="AC9" i="2"/>
  <c r="AB9" i="2"/>
  <c r="AC8" i="2"/>
  <c r="AB8" i="2"/>
  <c r="AC7" i="2"/>
  <c r="AB7" i="2"/>
  <c r="AC6" i="2"/>
  <c r="AB6" i="2"/>
  <c r="AC5" i="2"/>
  <c r="AB5" i="2"/>
  <c r="AC4" i="2"/>
  <c r="AB4" i="2"/>
  <c r="AC3" i="2"/>
  <c r="AB3" i="2"/>
  <c r="AC2" i="2"/>
  <c r="AB2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U59" i="2" l="1"/>
  <c r="U118" i="2" s="1"/>
  <c r="T59" i="2"/>
  <c r="T116" i="2" s="1"/>
  <c r="S59" i="2"/>
  <c r="S116" i="2" s="1"/>
  <c r="R59" i="2"/>
  <c r="R116" i="2" s="1"/>
  <c r="Q59" i="2"/>
  <c r="Q81" i="2" s="1"/>
  <c r="P59" i="2"/>
  <c r="P109" i="2" s="1"/>
  <c r="O59" i="2"/>
  <c r="O85" i="2" s="1"/>
  <c r="N59" i="2"/>
  <c r="N116" i="2" s="1"/>
  <c r="M59" i="2"/>
  <c r="M116" i="2" s="1"/>
  <c r="L59" i="2"/>
  <c r="L116" i="2" s="1"/>
  <c r="K59" i="2"/>
  <c r="K117" i="2" s="1"/>
  <c r="J59" i="2"/>
  <c r="J106" i="2" s="1"/>
  <c r="I59" i="2"/>
  <c r="I118" i="2" s="1"/>
  <c r="H59" i="2"/>
  <c r="H117" i="2" s="1"/>
  <c r="G59" i="2"/>
  <c r="G91" i="2" s="1"/>
  <c r="F59" i="2"/>
  <c r="F118" i="2" s="1"/>
  <c r="E59" i="2"/>
  <c r="E118" i="2" s="1"/>
  <c r="D59" i="2"/>
  <c r="D112" i="2" s="1"/>
  <c r="C59" i="2"/>
  <c r="C112" i="2" s="1"/>
  <c r="B59" i="2"/>
  <c r="B112" i="2" s="1"/>
  <c r="W44" i="2"/>
  <c r="W58" i="2"/>
  <c r="W28" i="2"/>
  <c r="W35" i="2"/>
  <c r="W27" i="2"/>
  <c r="W57" i="2"/>
  <c r="W36" i="2"/>
  <c r="W11" i="2"/>
  <c r="W31" i="2"/>
  <c r="W25" i="2"/>
  <c r="W42" i="2"/>
  <c r="W38" i="2"/>
  <c r="W15" i="2"/>
  <c r="W49" i="2"/>
  <c r="W33" i="2"/>
  <c r="W20" i="2"/>
  <c r="W23" i="2"/>
  <c r="W56" i="2"/>
  <c r="W50" i="2"/>
  <c r="W12" i="2"/>
  <c r="W51" i="2"/>
  <c r="W4" i="2"/>
  <c r="W29" i="2"/>
  <c r="W22" i="2"/>
  <c r="W52" i="2"/>
  <c r="W13" i="2"/>
  <c r="W43" i="2"/>
  <c r="W46" i="2"/>
  <c r="W7" i="2"/>
  <c r="W8" i="2"/>
  <c r="W34" i="2"/>
  <c r="W30" i="2"/>
  <c r="W26" i="2"/>
  <c r="W17" i="2"/>
  <c r="W16" i="2"/>
  <c r="W55" i="2"/>
  <c r="W2" i="2"/>
  <c r="W54" i="2"/>
  <c r="W48" i="2"/>
  <c r="W47" i="2"/>
  <c r="W9" i="2"/>
  <c r="W3" i="2"/>
  <c r="W41" i="2"/>
  <c r="W37" i="2"/>
  <c r="W14" i="2"/>
  <c r="W32" i="2"/>
  <c r="W18" i="2"/>
  <c r="W21" i="2"/>
  <c r="W6" i="2"/>
  <c r="W53" i="2"/>
  <c r="W45" i="2"/>
  <c r="W5" i="2"/>
  <c r="W19" i="2"/>
  <c r="W10" i="2"/>
  <c r="W39" i="2"/>
  <c r="W24" i="2"/>
  <c r="W40" i="2"/>
  <c r="V44" i="2"/>
  <c r="V58" i="2"/>
  <c r="V28" i="2"/>
  <c r="V35" i="2"/>
  <c r="V27" i="2"/>
  <c r="V57" i="2"/>
  <c r="V36" i="2"/>
  <c r="V11" i="2"/>
  <c r="V31" i="2"/>
  <c r="V25" i="2"/>
  <c r="V42" i="2"/>
  <c r="V38" i="2"/>
  <c r="V15" i="2"/>
  <c r="V49" i="2"/>
  <c r="V33" i="2"/>
  <c r="V20" i="2"/>
  <c r="V23" i="2"/>
  <c r="V56" i="2"/>
  <c r="V50" i="2"/>
  <c r="V12" i="2"/>
  <c r="V51" i="2"/>
  <c r="V4" i="2"/>
  <c r="V29" i="2"/>
  <c r="V22" i="2"/>
  <c r="V52" i="2"/>
  <c r="V13" i="2"/>
  <c r="V43" i="2"/>
  <c r="V46" i="2"/>
  <c r="V7" i="2"/>
  <c r="V8" i="2"/>
  <c r="V34" i="2"/>
  <c r="V30" i="2"/>
  <c r="V26" i="2"/>
  <c r="V17" i="2"/>
  <c r="V16" i="2"/>
  <c r="V55" i="2"/>
  <c r="V2" i="2"/>
  <c r="V54" i="2"/>
  <c r="V48" i="2"/>
  <c r="V47" i="2"/>
  <c r="V9" i="2"/>
  <c r="V3" i="2"/>
  <c r="V41" i="2"/>
  <c r="V37" i="2"/>
  <c r="V14" i="2"/>
  <c r="V32" i="2"/>
  <c r="V18" i="2"/>
  <c r="V21" i="2"/>
  <c r="V6" i="2"/>
  <c r="V53" i="2"/>
  <c r="V45" i="2"/>
  <c r="V5" i="2"/>
  <c r="V19" i="2"/>
  <c r="V10" i="2"/>
  <c r="V39" i="2"/>
  <c r="V24" i="2"/>
  <c r="V40" i="2"/>
  <c r="T84" i="2" l="1"/>
  <c r="U84" i="2"/>
  <c r="D99" i="2"/>
  <c r="U100" i="2"/>
  <c r="H66" i="2"/>
  <c r="D81" i="2"/>
  <c r="D101" i="2"/>
  <c r="T107" i="2"/>
  <c r="F80" i="2"/>
  <c r="F91" i="2"/>
  <c r="F81" i="2"/>
  <c r="F101" i="2"/>
  <c r="U107" i="2"/>
  <c r="F99" i="2"/>
  <c r="H110" i="2"/>
  <c r="K106" i="2"/>
  <c r="R112" i="2"/>
  <c r="H91" i="2"/>
  <c r="F113" i="2"/>
  <c r="H70" i="2"/>
  <c r="H80" i="2"/>
  <c r="P112" i="2"/>
  <c r="F92" i="2"/>
  <c r="F115" i="2"/>
  <c r="H71" i="2"/>
  <c r="Q112" i="2"/>
  <c r="H92" i="2"/>
  <c r="H75" i="2"/>
  <c r="H86" i="2"/>
  <c r="F65" i="2"/>
  <c r="R98" i="2"/>
  <c r="K108" i="2"/>
  <c r="K92" i="2"/>
  <c r="K94" i="2"/>
  <c r="K82" i="2"/>
  <c r="D75" i="2"/>
  <c r="K86" i="2"/>
  <c r="E115" i="2"/>
  <c r="K66" i="2"/>
  <c r="K68" i="2"/>
  <c r="K110" i="2"/>
  <c r="K70" i="2"/>
  <c r="E75" i="2"/>
  <c r="E87" i="2"/>
  <c r="T101" i="2"/>
  <c r="K80" i="2"/>
  <c r="J82" i="2"/>
  <c r="I70" i="2"/>
  <c r="J86" i="2"/>
  <c r="H64" i="2"/>
  <c r="F75" i="2"/>
  <c r="F87" i="2"/>
  <c r="H102" i="2"/>
  <c r="H115" i="2"/>
  <c r="I66" i="2"/>
  <c r="J66" i="2"/>
  <c r="R74" i="2"/>
  <c r="K64" i="2"/>
  <c r="R90" i="2"/>
  <c r="Q105" i="2"/>
  <c r="R114" i="2"/>
  <c r="U64" i="2"/>
  <c r="K76" i="2"/>
  <c r="E91" i="2"/>
  <c r="H106" i="2"/>
  <c r="N69" i="2"/>
  <c r="O69" i="2"/>
  <c r="P69" i="2"/>
  <c r="T76" i="2"/>
  <c r="B88" i="2"/>
  <c r="P66" i="2"/>
  <c r="E83" i="2"/>
  <c r="B72" i="2"/>
  <c r="E103" i="2"/>
  <c r="P62" i="2"/>
  <c r="D73" i="2"/>
  <c r="C84" i="2"/>
  <c r="F88" i="2"/>
  <c r="F117" i="2"/>
  <c r="H63" i="2"/>
  <c r="U67" i="2"/>
  <c r="F73" i="2"/>
  <c r="P78" i="2"/>
  <c r="D84" i="2"/>
  <c r="H88" i="2"/>
  <c r="K96" i="2"/>
  <c r="H104" i="2"/>
  <c r="F111" i="2"/>
  <c r="P117" i="2"/>
  <c r="P92" i="2"/>
  <c r="U76" i="2"/>
  <c r="R66" i="2"/>
  <c r="F93" i="2"/>
  <c r="M78" i="2"/>
  <c r="F103" i="2"/>
  <c r="R62" i="2"/>
  <c r="H103" i="2"/>
  <c r="D64" i="2"/>
  <c r="B68" i="2"/>
  <c r="P73" i="2"/>
  <c r="R78" i="2"/>
  <c r="E84" i="2"/>
  <c r="U88" i="2"/>
  <c r="P96" i="2"/>
  <c r="J104" i="2"/>
  <c r="H111" i="2"/>
  <c r="Q117" i="2"/>
  <c r="D83" i="2"/>
  <c r="B110" i="2"/>
  <c r="C88" i="2"/>
  <c r="P116" i="2"/>
  <c r="F83" i="2"/>
  <c r="Q116" i="2"/>
  <c r="U72" i="2"/>
  <c r="E88" i="2"/>
  <c r="R110" i="2"/>
  <c r="T67" i="2"/>
  <c r="E111" i="2"/>
  <c r="E64" i="2"/>
  <c r="F68" i="2"/>
  <c r="H74" i="2"/>
  <c r="H79" i="2"/>
  <c r="F84" i="2"/>
  <c r="F89" i="2"/>
  <c r="Q96" i="2"/>
  <c r="K104" i="2"/>
  <c r="J112" i="2"/>
  <c r="M69" i="2"/>
  <c r="N107" i="2"/>
  <c r="S76" i="2"/>
  <c r="B102" i="2"/>
  <c r="R92" i="2"/>
  <c r="N62" i="2"/>
  <c r="F77" i="2"/>
  <c r="D88" i="2"/>
  <c r="O67" i="2"/>
  <c r="B84" i="2"/>
  <c r="U116" i="2"/>
  <c r="N78" i="2"/>
  <c r="H95" i="2"/>
  <c r="F64" i="2"/>
  <c r="H68" i="2"/>
  <c r="I74" i="2"/>
  <c r="E80" i="2"/>
  <c r="H84" i="2"/>
  <c r="K90" i="2"/>
  <c r="R96" i="2"/>
  <c r="P105" i="2"/>
  <c r="K112" i="2"/>
  <c r="L114" i="2"/>
  <c r="L71" i="2"/>
  <c r="M71" i="2"/>
  <c r="S62" i="2"/>
  <c r="L73" i="2"/>
  <c r="L101" i="2"/>
  <c r="L110" i="2"/>
  <c r="D63" i="2"/>
  <c r="L66" i="2"/>
  <c r="M73" i="2"/>
  <c r="D77" i="2"/>
  <c r="S80" i="2"/>
  <c r="S96" i="2"/>
  <c r="M101" i="2"/>
  <c r="E63" i="2"/>
  <c r="S64" i="2"/>
  <c r="M66" i="2"/>
  <c r="D68" i="2"/>
  <c r="T71" i="2"/>
  <c r="N73" i="2"/>
  <c r="L75" i="2"/>
  <c r="E79" i="2"/>
  <c r="T80" i="2"/>
  <c r="P82" i="2"/>
  <c r="N86" i="2"/>
  <c r="S92" i="2"/>
  <c r="E95" i="2"/>
  <c r="U96" i="2"/>
  <c r="N101" i="2"/>
  <c r="U103" i="2"/>
  <c r="T105" i="2"/>
  <c r="E108" i="2"/>
  <c r="T112" i="2"/>
  <c r="M117" i="2"/>
  <c r="L82" i="2"/>
  <c r="N71" i="2"/>
  <c r="M82" i="2"/>
  <c r="L86" i="2"/>
  <c r="N90" i="2"/>
  <c r="N94" i="2"/>
  <c r="L103" i="2"/>
  <c r="C68" i="2"/>
  <c r="O71" i="2"/>
  <c r="D79" i="2"/>
  <c r="N82" i="2"/>
  <c r="M86" i="2"/>
  <c r="P90" i="2"/>
  <c r="D95" i="2"/>
  <c r="E99" i="2"/>
  <c r="N103" i="2"/>
  <c r="C108" i="2"/>
  <c r="M110" i="2"/>
  <c r="L117" i="2"/>
  <c r="AD112" i="2"/>
  <c r="F63" i="2"/>
  <c r="T64" i="2"/>
  <c r="N66" i="2"/>
  <c r="E68" i="2"/>
  <c r="J70" i="2"/>
  <c r="U71" i="2"/>
  <c r="O73" i="2"/>
  <c r="M75" i="2"/>
  <c r="L77" i="2"/>
  <c r="F79" i="2"/>
  <c r="U80" i="2"/>
  <c r="R82" i="2"/>
  <c r="K84" i="2"/>
  <c r="P86" i="2"/>
  <c r="K88" i="2"/>
  <c r="D91" i="2"/>
  <c r="U92" i="2"/>
  <c r="F95" i="2"/>
  <c r="F97" i="2"/>
  <c r="H99" i="2"/>
  <c r="P101" i="2"/>
  <c r="E104" i="2"/>
  <c r="B106" i="2"/>
  <c r="H108" i="2"/>
  <c r="D111" i="2"/>
  <c r="U112" i="2"/>
  <c r="L115" i="2"/>
  <c r="N117" i="2"/>
  <c r="M105" i="2"/>
  <c r="L63" i="2"/>
  <c r="L79" i="2"/>
  <c r="L95" i="2"/>
  <c r="D85" i="2"/>
  <c r="U115" i="2"/>
  <c r="H62" i="2"/>
  <c r="N63" i="2"/>
  <c r="L65" i="2"/>
  <c r="E67" i="2"/>
  <c r="S68" i="2"/>
  <c r="N70" i="2"/>
  <c r="E72" i="2"/>
  <c r="J74" i="2"/>
  <c r="U75" i="2"/>
  <c r="P77" i="2"/>
  <c r="N79" i="2"/>
  <c r="M81" i="2"/>
  <c r="H83" i="2"/>
  <c r="F85" i="2"/>
  <c r="H87" i="2"/>
  <c r="L89" i="2"/>
  <c r="L91" i="2"/>
  <c r="N93" i="2"/>
  <c r="U95" i="2"/>
  <c r="T97" i="2"/>
  <c r="U99" i="2"/>
  <c r="K102" i="2"/>
  <c r="P104" i="2"/>
  <c r="M106" i="2"/>
  <c r="U108" i="2"/>
  <c r="L111" i="2"/>
  <c r="N113" i="2"/>
  <c r="B116" i="2"/>
  <c r="H118" i="2"/>
  <c r="L107" i="2"/>
  <c r="C72" i="2"/>
  <c r="N99" i="2"/>
  <c r="L113" i="2"/>
  <c r="I62" i="2"/>
  <c r="O63" i="2"/>
  <c r="M65" i="2"/>
  <c r="F67" i="2"/>
  <c r="T68" i="2"/>
  <c r="P70" i="2"/>
  <c r="F72" i="2"/>
  <c r="K74" i="2"/>
  <c r="B76" i="2"/>
  <c r="H78" i="2"/>
  <c r="O79" i="2"/>
  <c r="N81" i="2"/>
  <c r="L83" i="2"/>
  <c r="L85" i="2"/>
  <c r="L87" i="2"/>
  <c r="M89" i="2"/>
  <c r="N91" i="2"/>
  <c r="O93" i="2"/>
  <c r="B96" i="2"/>
  <c r="B98" i="2"/>
  <c r="B100" i="2"/>
  <c r="L102" i="2"/>
  <c r="Q104" i="2"/>
  <c r="P106" i="2"/>
  <c r="F109" i="2"/>
  <c r="N111" i="2"/>
  <c r="B114" i="2"/>
  <c r="C116" i="2"/>
  <c r="K118" i="2"/>
  <c r="L94" i="2"/>
  <c r="M77" i="2"/>
  <c r="L97" i="2"/>
  <c r="O75" i="2"/>
  <c r="L93" i="2"/>
  <c r="M70" i="2"/>
  <c r="M79" i="2"/>
  <c r="N95" i="2"/>
  <c r="M113" i="2"/>
  <c r="J62" i="2"/>
  <c r="T63" i="2"/>
  <c r="N65" i="2"/>
  <c r="H67" i="2"/>
  <c r="U68" i="2"/>
  <c r="R70" i="2"/>
  <c r="H72" i="2"/>
  <c r="L74" i="2"/>
  <c r="D76" i="2"/>
  <c r="I78" i="2"/>
  <c r="T79" i="2"/>
  <c r="O81" i="2"/>
  <c r="N83" i="2"/>
  <c r="M85" i="2"/>
  <c r="N87" i="2"/>
  <c r="N89" i="2"/>
  <c r="U91" i="2"/>
  <c r="P93" i="2"/>
  <c r="E96" i="2"/>
  <c r="H98" i="2"/>
  <c r="C100" i="2"/>
  <c r="M102" i="2"/>
  <c r="S104" i="2"/>
  <c r="E107" i="2"/>
  <c r="L109" i="2"/>
  <c r="T111" i="2"/>
  <c r="H114" i="2"/>
  <c r="D116" i="2"/>
  <c r="L118" i="2"/>
  <c r="L90" i="2"/>
  <c r="M114" i="2"/>
  <c r="M94" i="2"/>
  <c r="N105" i="2"/>
  <c r="L99" i="2"/>
  <c r="N115" i="2"/>
  <c r="M97" i="2"/>
  <c r="T115" i="2"/>
  <c r="M63" i="2"/>
  <c r="D72" i="2"/>
  <c r="T75" i="2"/>
  <c r="L81" i="2"/>
  <c r="M93" i="2"/>
  <c r="N97" i="2"/>
  <c r="T99" i="2"/>
  <c r="K62" i="2"/>
  <c r="U63" i="2"/>
  <c r="O65" i="2"/>
  <c r="L67" i="2"/>
  <c r="D69" i="2"/>
  <c r="D71" i="2"/>
  <c r="K72" i="2"/>
  <c r="M74" i="2"/>
  <c r="E76" i="2"/>
  <c r="J78" i="2"/>
  <c r="U79" i="2"/>
  <c r="P81" i="2"/>
  <c r="O83" i="2"/>
  <c r="N85" i="2"/>
  <c r="O87" i="2"/>
  <c r="Q89" i="2"/>
  <c r="C92" i="2"/>
  <c r="Q93" i="2"/>
  <c r="F96" i="2"/>
  <c r="I98" i="2"/>
  <c r="E100" i="2"/>
  <c r="P102" i="2"/>
  <c r="U104" i="2"/>
  <c r="F107" i="2"/>
  <c r="M109" i="2"/>
  <c r="U111" i="2"/>
  <c r="I114" i="2"/>
  <c r="E116" i="2"/>
  <c r="M118" i="2"/>
  <c r="L105" i="2"/>
  <c r="M98" i="2"/>
  <c r="M90" i="2"/>
  <c r="S86" i="2"/>
  <c r="O117" i="2"/>
  <c r="D65" i="2"/>
  <c r="N77" i="2"/>
  <c r="T108" i="2"/>
  <c r="L62" i="2"/>
  <c r="B64" i="2"/>
  <c r="P65" i="2"/>
  <c r="M67" i="2"/>
  <c r="F69" i="2"/>
  <c r="E71" i="2"/>
  <c r="S72" i="2"/>
  <c r="N74" i="2"/>
  <c r="F76" i="2"/>
  <c r="K78" i="2"/>
  <c r="B80" i="2"/>
  <c r="H82" i="2"/>
  <c r="T83" i="2"/>
  <c r="P85" i="2"/>
  <c r="T87" i="2"/>
  <c r="T89" i="2"/>
  <c r="D92" i="2"/>
  <c r="T93" i="2"/>
  <c r="H96" i="2"/>
  <c r="J98" i="2"/>
  <c r="H100" i="2"/>
  <c r="R102" i="2"/>
  <c r="D105" i="2"/>
  <c r="H107" i="2"/>
  <c r="N109" i="2"/>
  <c r="E112" i="2"/>
  <c r="J114" i="2"/>
  <c r="H116" i="2"/>
  <c r="L98" i="2"/>
  <c r="N75" i="2"/>
  <c r="L70" i="2"/>
  <c r="D89" i="2"/>
  <c r="S108" i="2"/>
  <c r="D67" i="2"/>
  <c r="O77" i="2"/>
  <c r="L106" i="2"/>
  <c r="M62" i="2"/>
  <c r="C64" i="2"/>
  <c r="T65" i="2"/>
  <c r="N67" i="2"/>
  <c r="L69" i="2"/>
  <c r="F71" i="2"/>
  <c r="T72" i="2"/>
  <c r="P74" i="2"/>
  <c r="H76" i="2"/>
  <c r="L78" i="2"/>
  <c r="D80" i="2"/>
  <c r="I82" i="2"/>
  <c r="U83" i="2"/>
  <c r="Q85" i="2"/>
  <c r="U87" i="2"/>
  <c r="H90" i="2"/>
  <c r="E92" i="2"/>
  <c r="H94" i="2"/>
  <c r="J96" i="2"/>
  <c r="K98" i="2"/>
  <c r="K100" i="2"/>
  <c r="D103" i="2"/>
  <c r="F105" i="2"/>
  <c r="I107" i="2"/>
  <c r="Q109" i="2"/>
  <c r="H112" i="2"/>
  <c r="K114" i="2"/>
  <c r="K116" i="2"/>
  <c r="AG116" i="2" s="1"/>
  <c r="G65" i="2"/>
  <c r="G69" i="2"/>
  <c r="G73" i="2"/>
  <c r="G77" i="2"/>
  <c r="G81" i="2"/>
  <c r="J92" i="2"/>
  <c r="I95" i="2"/>
  <c r="I106" i="2"/>
  <c r="G111" i="2"/>
  <c r="C76" i="2"/>
  <c r="C80" i="2"/>
  <c r="R86" i="2"/>
  <c r="B94" i="2"/>
  <c r="T96" i="2"/>
  <c r="D100" i="2"/>
  <c r="O101" i="2"/>
  <c r="G103" i="2"/>
  <c r="R104" i="2"/>
  <c r="B108" i="2"/>
  <c r="S112" i="2"/>
  <c r="B118" i="2"/>
  <c r="J117" i="2"/>
  <c r="J113" i="2"/>
  <c r="J109" i="2"/>
  <c r="J105" i="2"/>
  <c r="J101" i="2"/>
  <c r="J97" i="2"/>
  <c r="J93" i="2"/>
  <c r="J89" i="2"/>
  <c r="J85" i="2"/>
  <c r="J81" i="2"/>
  <c r="J77" i="2"/>
  <c r="J73" i="2"/>
  <c r="J69" i="2"/>
  <c r="J65" i="2"/>
  <c r="J63" i="2"/>
  <c r="J115" i="2"/>
  <c r="J111" i="2"/>
  <c r="J107" i="2"/>
  <c r="J103" i="2"/>
  <c r="J99" i="2"/>
  <c r="J95" i="2"/>
  <c r="J91" i="2"/>
  <c r="J87" i="2"/>
  <c r="J83" i="2"/>
  <c r="J79" i="2"/>
  <c r="J75" i="2"/>
  <c r="J71" i="2"/>
  <c r="J67" i="2"/>
  <c r="O89" i="2"/>
  <c r="O109" i="2"/>
  <c r="I111" i="2"/>
  <c r="J116" i="2"/>
  <c r="S66" i="2"/>
  <c r="S70" i="2"/>
  <c r="S74" i="2"/>
  <c r="S78" i="2"/>
  <c r="S82" i="2"/>
  <c r="D87" i="2"/>
  <c r="P89" i="2"/>
  <c r="Q92" i="2"/>
  <c r="I94" i="2"/>
  <c r="T95" i="2"/>
  <c r="D97" i="2"/>
  <c r="P98" i="2"/>
  <c r="Q101" i="2"/>
  <c r="I103" i="2"/>
  <c r="T104" i="2"/>
  <c r="D108" i="2"/>
  <c r="D115" i="2"/>
  <c r="G118" i="2"/>
  <c r="AE118" i="2" s="1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105" i="2"/>
  <c r="G101" i="2"/>
  <c r="G97" i="2"/>
  <c r="G117" i="2"/>
  <c r="G113" i="2"/>
  <c r="G109" i="2"/>
  <c r="G93" i="2"/>
  <c r="G116" i="2"/>
  <c r="G112" i="2"/>
  <c r="G108" i="2"/>
  <c r="G104" i="2"/>
  <c r="G100" i="2"/>
  <c r="G96" i="2"/>
  <c r="G92" i="2"/>
  <c r="G88" i="2"/>
  <c r="G84" i="2"/>
  <c r="G80" i="2"/>
  <c r="G76" i="2"/>
  <c r="G72" i="2"/>
  <c r="G68" i="2"/>
  <c r="G64" i="2"/>
  <c r="J118" i="2"/>
  <c r="P115" i="2"/>
  <c r="P111" i="2"/>
  <c r="P107" i="2"/>
  <c r="P103" i="2"/>
  <c r="P99" i="2"/>
  <c r="P95" i="2"/>
  <c r="P91" i="2"/>
  <c r="P87" i="2"/>
  <c r="P83" i="2"/>
  <c r="P79" i="2"/>
  <c r="P75" i="2"/>
  <c r="P71" i="2"/>
  <c r="P67" i="2"/>
  <c r="P63" i="2"/>
  <c r="P118" i="2"/>
  <c r="P114" i="2"/>
  <c r="P110" i="2"/>
  <c r="J64" i="2"/>
  <c r="Q65" i="2"/>
  <c r="J68" i="2"/>
  <c r="Q69" i="2"/>
  <c r="J72" i="2"/>
  <c r="Q73" i="2"/>
  <c r="J76" i="2"/>
  <c r="Q77" i="2"/>
  <c r="J80" i="2"/>
  <c r="T85" i="2"/>
  <c r="G87" i="2"/>
  <c r="P88" i="2"/>
  <c r="B90" i="2"/>
  <c r="T92" i="2"/>
  <c r="C96" i="2"/>
  <c r="P100" i="2"/>
  <c r="T103" i="2"/>
  <c r="R106" i="2"/>
  <c r="J108" i="2"/>
  <c r="G115" i="2"/>
  <c r="G89" i="2"/>
  <c r="I117" i="2"/>
  <c r="I113" i="2"/>
  <c r="I109" i="2"/>
  <c r="I105" i="2"/>
  <c r="I101" i="2"/>
  <c r="I97" i="2"/>
  <c r="I93" i="2"/>
  <c r="I89" i="2"/>
  <c r="I85" i="2"/>
  <c r="I81" i="2"/>
  <c r="I77" i="2"/>
  <c r="I73" i="2"/>
  <c r="I69" i="2"/>
  <c r="I65" i="2"/>
  <c r="I116" i="2"/>
  <c r="I112" i="2"/>
  <c r="I108" i="2"/>
  <c r="I104" i="2"/>
  <c r="I100" i="2"/>
  <c r="I96" i="2"/>
  <c r="I92" i="2"/>
  <c r="I88" i="2"/>
  <c r="I84" i="2"/>
  <c r="I80" i="2"/>
  <c r="I76" i="2"/>
  <c r="I72" i="2"/>
  <c r="I68" i="2"/>
  <c r="I64" i="2"/>
  <c r="AF64" i="2" s="1"/>
  <c r="O116" i="2"/>
  <c r="O112" i="2"/>
  <c r="O108" i="2"/>
  <c r="O104" i="2"/>
  <c r="O100" i="2"/>
  <c r="O96" i="2"/>
  <c r="O92" i="2"/>
  <c r="O88" i="2"/>
  <c r="O84" i="2"/>
  <c r="O80" i="2"/>
  <c r="O76" i="2"/>
  <c r="O72" i="2"/>
  <c r="O68" i="2"/>
  <c r="O64" i="2"/>
  <c r="O107" i="2"/>
  <c r="O99" i="2"/>
  <c r="O95" i="2"/>
  <c r="O115" i="2"/>
  <c r="O111" i="2"/>
  <c r="O103" i="2"/>
  <c r="O91" i="2"/>
  <c r="O118" i="2"/>
  <c r="O114" i="2"/>
  <c r="O110" i="2"/>
  <c r="O106" i="2"/>
  <c r="O102" i="2"/>
  <c r="O98" i="2"/>
  <c r="O94" i="2"/>
  <c r="O90" i="2"/>
  <c r="O86" i="2"/>
  <c r="O82" i="2"/>
  <c r="O78" i="2"/>
  <c r="O74" i="2"/>
  <c r="O70" i="2"/>
  <c r="O66" i="2"/>
  <c r="O62" i="2"/>
  <c r="J84" i="2"/>
  <c r="Q115" i="2"/>
  <c r="Q111" i="2"/>
  <c r="Q107" i="2"/>
  <c r="Q103" i="2"/>
  <c r="Q99" i="2"/>
  <c r="Q95" i="2"/>
  <c r="Q91" i="2"/>
  <c r="Q87" i="2"/>
  <c r="Q83" i="2"/>
  <c r="Q79" i="2"/>
  <c r="Q75" i="2"/>
  <c r="Q71" i="2"/>
  <c r="Q67" i="2"/>
  <c r="Q63" i="2"/>
  <c r="Q118" i="2"/>
  <c r="Q114" i="2"/>
  <c r="Q110" i="2"/>
  <c r="Q106" i="2"/>
  <c r="Q102" i="2"/>
  <c r="Q98" i="2"/>
  <c r="Q94" i="2"/>
  <c r="Q90" i="2"/>
  <c r="Q86" i="2"/>
  <c r="Q82" i="2"/>
  <c r="Q78" i="2"/>
  <c r="Q74" i="2"/>
  <c r="Q70" i="2"/>
  <c r="Q66" i="2"/>
  <c r="Q62" i="2"/>
  <c r="G63" i="2"/>
  <c r="G67" i="2"/>
  <c r="T69" i="2"/>
  <c r="G71" i="2"/>
  <c r="T73" i="2"/>
  <c r="G75" i="2"/>
  <c r="T77" i="2"/>
  <c r="G79" i="2"/>
  <c r="T81" i="2"/>
  <c r="G83" i="2"/>
  <c r="P84" i="2"/>
  <c r="B86" i="2"/>
  <c r="Q88" i="2"/>
  <c r="D96" i="2"/>
  <c r="Q100" i="2"/>
  <c r="I102" i="2"/>
  <c r="D107" i="2"/>
  <c r="I110" i="2"/>
  <c r="G95" i="2"/>
  <c r="J94" i="2"/>
  <c r="J100" i="2"/>
  <c r="B115" i="2"/>
  <c r="B111" i="2"/>
  <c r="B107" i="2"/>
  <c r="B103" i="2"/>
  <c r="B99" i="2"/>
  <c r="B95" i="2"/>
  <c r="B91" i="2"/>
  <c r="B87" i="2"/>
  <c r="B83" i="2"/>
  <c r="B79" i="2"/>
  <c r="B75" i="2"/>
  <c r="B71" i="2"/>
  <c r="B67" i="2"/>
  <c r="B63" i="2"/>
  <c r="B117" i="2"/>
  <c r="B113" i="2"/>
  <c r="B109" i="2"/>
  <c r="B105" i="2"/>
  <c r="B101" i="2"/>
  <c r="B97" i="2"/>
  <c r="B93" i="2"/>
  <c r="B89" i="2"/>
  <c r="B85" i="2"/>
  <c r="B81" i="2"/>
  <c r="B77" i="2"/>
  <c r="B73" i="2"/>
  <c r="B69" i="2"/>
  <c r="B65" i="2"/>
  <c r="R115" i="2"/>
  <c r="R111" i="2"/>
  <c r="R107" i="2"/>
  <c r="R103" i="2"/>
  <c r="R99" i="2"/>
  <c r="R95" i="2"/>
  <c r="R91" i="2"/>
  <c r="R87" i="2"/>
  <c r="R83" i="2"/>
  <c r="R79" i="2"/>
  <c r="R75" i="2"/>
  <c r="R71" i="2"/>
  <c r="R67" i="2"/>
  <c r="R63" i="2"/>
  <c r="R117" i="2"/>
  <c r="R113" i="2"/>
  <c r="R109" i="2"/>
  <c r="R105" i="2"/>
  <c r="R101" i="2"/>
  <c r="R97" i="2"/>
  <c r="R93" i="2"/>
  <c r="R89" i="2"/>
  <c r="R85" i="2"/>
  <c r="R81" i="2"/>
  <c r="R77" i="2"/>
  <c r="R73" i="2"/>
  <c r="R69" i="2"/>
  <c r="R65" i="2"/>
  <c r="B62" i="2"/>
  <c r="P64" i="2"/>
  <c r="B66" i="2"/>
  <c r="P68" i="2"/>
  <c r="B70" i="2"/>
  <c r="P72" i="2"/>
  <c r="B74" i="2"/>
  <c r="P76" i="2"/>
  <c r="B78" i="2"/>
  <c r="P80" i="2"/>
  <c r="B82" i="2"/>
  <c r="Q84" i="2"/>
  <c r="C86" i="2"/>
  <c r="I87" i="2"/>
  <c r="R88" i="2"/>
  <c r="I90" i="2"/>
  <c r="T91" i="2"/>
  <c r="D93" i="2"/>
  <c r="O97" i="2"/>
  <c r="G99" i="2"/>
  <c r="R100" i="2"/>
  <c r="J102" i="2"/>
  <c r="B104" i="2"/>
  <c r="P108" i="2"/>
  <c r="J110" i="2"/>
  <c r="O113" i="2"/>
  <c r="I115" i="2"/>
  <c r="R118" i="2"/>
  <c r="G85" i="2"/>
  <c r="C115" i="2"/>
  <c r="C111" i="2"/>
  <c r="C107" i="2"/>
  <c r="C103" i="2"/>
  <c r="C99" i="2"/>
  <c r="C95" i="2"/>
  <c r="C91" i="2"/>
  <c r="C87" i="2"/>
  <c r="C83" i="2"/>
  <c r="C79" i="2"/>
  <c r="C75" i="2"/>
  <c r="C71" i="2"/>
  <c r="C67" i="2"/>
  <c r="C63" i="2"/>
  <c r="C94" i="2"/>
  <c r="C106" i="2"/>
  <c r="C102" i="2"/>
  <c r="C114" i="2"/>
  <c r="C110" i="2"/>
  <c r="C118" i="2"/>
  <c r="C98" i="2"/>
  <c r="C90" i="2"/>
  <c r="C117" i="2"/>
  <c r="C113" i="2"/>
  <c r="C109" i="2"/>
  <c r="C105" i="2"/>
  <c r="C101" i="2"/>
  <c r="C97" i="2"/>
  <c r="C93" i="2"/>
  <c r="C89" i="2"/>
  <c r="C85" i="2"/>
  <c r="C81" i="2"/>
  <c r="C77" i="2"/>
  <c r="C73" i="2"/>
  <c r="C69" i="2"/>
  <c r="C65" i="2"/>
  <c r="S115" i="2"/>
  <c r="S111" i="2"/>
  <c r="S107" i="2"/>
  <c r="S103" i="2"/>
  <c r="S99" i="2"/>
  <c r="S95" i="2"/>
  <c r="S91" i="2"/>
  <c r="S87" i="2"/>
  <c r="S83" i="2"/>
  <c r="S79" i="2"/>
  <c r="S75" i="2"/>
  <c r="S71" i="2"/>
  <c r="S67" i="2"/>
  <c r="S63" i="2"/>
  <c r="S110" i="2"/>
  <c r="S102" i="2"/>
  <c r="S114" i="2"/>
  <c r="S98" i="2"/>
  <c r="S90" i="2"/>
  <c r="S118" i="2"/>
  <c r="S94" i="2"/>
  <c r="S106" i="2"/>
  <c r="S117" i="2"/>
  <c r="S113" i="2"/>
  <c r="S109" i="2"/>
  <c r="S105" i="2"/>
  <c r="S101" i="2"/>
  <c r="S97" i="2"/>
  <c r="S93" i="2"/>
  <c r="S89" i="2"/>
  <c r="S85" i="2"/>
  <c r="S81" i="2"/>
  <c r="S77" i="2"/>
  <c r="S73" i="2"/>
  <c r="S69" i="2"/>
  <c r="S65" i="2"/>
  <c r="C62" i="2"/>
  <c r="I63" i="2"/>
  <c r="Q64" i="2"/>
  <c r="C66" i="2"/>
  <c r="I67" i="2"/>
  <c r="Q68" i="2"/>
  <c r="C70" i="2"/>
  <c r="I71" i="2"/>
  <c r="Q72" i="2"/>
  <c r="C74" i="2"/>
  <c r="I75" i="2"/>
  <c r="Q76" i="2"/>
  <c r="C78" i="2"/>
  <c r="I79" i="2"/>
  <c r="Q80" i="2"/>
  <c r="C82" i="2"/>
  <c r="I83" i="2"/>
  <c r="R84" i="2"/>
  <c r="S88" i="2"/>
  <c r="J90" i="2"/>
  <c r="P94" i="2"/>
  <c r="P97" i="2"/>
  <c r="S100" i="2"/>
  <c r="C104" i="2"/>
  <c r="Q108" i="2"/>
  <c r="P113" i="2"/>
  <c r="J88" i="2"/>
  <c r="I91" i="2"/>
  <c r="AF91" i="2" s="1"/>
  <c r="D118" i="2"/>
  <c r="D114" i="2"/>
  <c r="D110" i="2"/>
  <c r="D106" i="2"/>
  <c r="D102" i="2"/>
  <c r="D98" i="2"/>
  <c r="D94" i="2"/>
  <c r="D90" i="2"/>
  <c r="D86" i="2"/>
  <c r="D82" i="2"/>
  <c r="D78" i="2"/>
  <c r="D74" i="2"/>
  <c r="D70" i="2"/>
  <c r="D66" i="2"/>
  <c r="D62" i="2"/>
  <c r="D117" i="2"/>
  <c r="D113" i="2"/>
  <c r="D109" i="2"/>
  <c r="T118" i="2"/>
  <c r="T114" i="2"/>
  <c r="T110" i="2"/>
  <c r="T106" i="2"/>
  <c r="T102" i="2"/>
  <c r="T98" i="2"/>
  <c r="T94" i="2"/>
  <c r="T90" i="2"/>
  <c r="T86" i="2"/>
  <c r="T82" i="2"/>
  <c r="T78" i="2"/>
  <c r="T74" i="2"/>
  <c r="T70" i="2"/>
  <c r="T66" i="2"/>
  <c r="T62" i="2"/>
  <c r="T117" i="2"/>
  <c r="T113" i="2"/>
  <c r="T109" i="2"/>
  <c r="R64" i="2"/>
  <c r="R68" i="2"/>
  <c r="R72" i="2"/>
  <c r="R76" i="2"/>
  <c r="R80" i="2"/>
  <c r="S84" i="2"/>
  <c r="I86" i="2"/>
  <c r="T88" i="2"/>
  <c r="B92" i="2"/>
  <c r="R94" i="2"/>
  <c r="Q97" i="2"/>
  <c r="I99" i="2"/>
  <c r="T100" i="2"/>
  <c r="D104" i="2"/>
  <c r="O105" i="2"/>
  <c r="G107" i="2"/>
  <c r="R108" i="2"/>
  <c r="Q113" i="2"/>
  <c r="N98" i="2"/>
  <c r="F100" i="2"/>
  <c r="N102" i="2"/>
  <c r="F104" i="2"/>
  <c r="N106" i="2"/>
  <c r="F108" i="2"/>
  <c r="N110" i="2"/>
  <c r="F112" i="2"/>
  <c r="N114" i="2"/>
  <c r="F116" i="2"/>
  <c r="N118" i="2"/>
  <c r="K63" i="2"/>
  <c r="K67" i="2"/>
  <c r="K71" i="2"/>
  <c r="K75" i="2"/>
  <c r="K79" i="2"/>
  <c r="K83" i="2"/>
  <c r="K87" i="2"/>
  <c r="K91" i="2"/>
  <c r="K95" i="2"/>
  <c r="K99" i="2"/>
  <c r="K103" i="2"/>
  <c r="K107" i="2"/>
  <c r="K111" i="2"/>
  <c r="K115" i="2"/>
  <c r="E65" i="2"/>
  <c r="U65" i="2"/>
  <c r="E69" i="2"/>
  <c r="U69" i="2"/>
  <c r="E73" i="2"/>
  <c r="U73" i="2"/>
  <c r="E77" i="2"/>
  <c r="U77" i="2"/>
  <c r="E81" i="2"/>
  <c r="U81" i="2"/>
  <c r="M83" i="2"/>
  <c r="E85" i="2"/>
  <c r="U85" i="2"/>
  <c r="M87" i="2"/>
  <c r="E89" i="2"/>
  <c r="U89" i="2"/>
  <c r="M91" i="2"/>
  <c r="E93" i="2"/>
  <c r="U93" i="2"/>
  <c r="M95" i="2"/>
  <c r="E97" i="2"/>
  <c r="U97" i="2"/>
  <c r="M99" i="2"/>
  <c r="E101" i="2"/>
  <c r="U101" i="2"/>
  <c r="M103" i="2"/>
  <c r="E105" i="2"/>
  <c r="U105" i="2"/>
  <c r="M107" i="2"/>
  <c r="E109" i="2"/>
  <c r="U109" i="2"/>
  <c r="M111" i="2"/>
  <c r="E113" i="2"/>
  <c r="U113" i="2"/>
  <c r="M115" i="2"/>
  <c r="E117" i="2"/>
  <c r="U117" i="2"/>
  <c r="L64" i="2"/>
  <c r="H65" i="2"/>
  <c r="L68" i="2"/>
  <c r="H69" i="2"/>
  <c r="L72" i="2"/>
  <c r="H73" i="2"/>
  <c r="L76" i="2"/>
  <c r="H77" i="2"/>
  <c r="L80" i="2"/>
  <c r="H81" i="2"/>
  <c r="L84" i="2"/>
  <c r="H85" i="2"/>
  <c r="L88" i="2"/>
  <c r="H89" i="2"/>
  <c r="L92" i="2"/>
  <c r="H93" i="2"/>
  <c r="L96" i="2"/>
  <c r="H97" i="2"/>
  <c r="L100" i="2"/>
  <c r="H101" i="2"/>
  <c r="L104" i="2"/>
  <c r="H105" i="2"/>
  <c r="L108" i="2"/>
  <c r="H109" i="2"/>
  <c r="L112" i="2"/>
  <c r="H113" i="2"/>
  <c r="E62" i="2"/>
  <c r="U62" i="2"/>
  <c r="M64" i="2"/>
  <c r="E66" i="2"/>
  <c r="U66" i="2"/>
  <c r="M68" i="2"/>
  <c r="E70" i="2"/>
  <c r="U70" i="2"/>
  <c r="M72" i="2"/>
  <c r="E74" i="2"/>
  <c r="U74" i="2"/>
  <c r="M76" i="2"/>
  <c r="E78" i="2"/>
  <c r="U78" i="2"/>
  <c r="M80" i="2"/>
  <c r="E82" i="2"/>
  <c r="U82" i="2"/>
  <c r="M84" i="2"/>
  <c r="E86" i="2"/>
  <c r="U86" i="2"/>
  <c r="M88" i="2"/>
  <c r="E90" i="2"/>
  <c r="U90" i="2"/>
  <c r="M92" i="2"/>
  <c r="E94" i="2"/>
  <c r="U94" i="2"/>
  <c r="M96" i="2"/>
  <c r="E98" i="2"/>
  <c r="U98" i="2"/>
  <c r="M100" i="2"/>
  <c r="E102" i="2"/>
  <c r="U102" i="2"/>
  <c r="M104" i="2"/>
  <c r="E106" i="2"/>
  <c r="U106" i="2"/>
  <c r="M108" i="2"/>
  <c r="E110" i="2"/>
  <c r="U110" i="2"/>
  <c r="M112" i="2"/>
  <c r="E114" i="2"/>
  <c r="U114" i="2"/>
  <c r="F62" i="2"/>
  <c r="N64" i="2"/>
  <c r="F66" i="2"/>
  <c r="N68" i="2"/>
  <c r="F70" i="2"/>
  <c r="N72" i="2"/>
  <c r="F74" i="2"/>
  <c r="N76" i="2"/>
  <c r="F78" i="2"/>
  <c r="N80" i="2"/>
  <c r="F82" i="2"/>
  <c r="N84" i="2"/>
  <c r="F86" i="2"/>
  <c r="N88" i="2"/>
  <c r="F90" i="2"/>
  <c r="N92" i="2"/>
  <c r="F94" i="2"/>
  <c r="N96" i="2"/>
  <c r="F98" i="2"/>
  <c r="N100" i="2"/>
  <c r="F102" i="2"/>
  <c r="N104" i="2"/>
  <c r="F106" i="2"/>
  <c r="N108" i="2"/>
  <c r="F110" i="2"/>
  <c r="N112" i="2"/>
  <c r="F114" i="2"/>
  <c r="K65" i="2"/>
  <c r="K69" i="2"/>
  <c r="K73" i="2"/>
  <c r="K77" i="2"/>
  <c r="K81" i="2"/>
  <c r="K85" i="2"/>
  <c r="K89" i="2"/>
  <c r="K93" i="2"/>
  <c r="K97" i="2"/>
  <c r="K101" i="2"/>
  <c r="K105" i="2"/>
  <c r="K109" i="2"/>
  <c r="K113" i="2"/>
  <c r="AE91" i="2" l="1"/>
  <c r="AE107" i="2"/>
  <c r="AH69" i="2"/>
  <c r="AG82" i="2"/>
  <c r="AF90" i="2"/>
  <c r="AD72" i="2"/>
  <c r="AH65" i="2"/>
  <c r="AF106" i="2"/>
  <c r="AG108" i="2"/>
  <c r="AG106" i="2"/>
  <c r="AF95" i="2"/>
  <c r="AE114" i="2"/>
  <c r="AF103" i="2"/>
  <c r="AH90" i="2"/>
  <c r="AG110" i="2"/>
  <c r="AE87" i="2"/>
  <c r="AF66" i="2"/>
  <c r="AD76" i="2"/>
  <c r="AF100" i="2"/>
  <c r="AE96" i="2"/>
  <c r="V112" i="2"/>
  <c r="AG102" i="2"/>
  <c r="AE79" i="2"/>
  <c r="AG94" i="2"/>
  <c r="AE100" i="2"/>
  <c r="AG66" i="2"/>
  <c r="AF116" i="2"/>
  <c r="AE99" i="2"/>
  <c r="AE115" i="2"/>
  <c r="AF94" i="2"/>
  <c r="AG117" i="2"/>
  <c r="AH70" i="2"/>
  <c r="AH95" i="2"/>
  <c r="AG99" i="2"/>
  <c r="AF86" i="2"/>
  <c r="AG96" i="2"/>
  <c r="AH72" i="2"/>
  <c r="AE109" i="2"/>
  <c r="AG72" i="2"/>
  <c r="AF70" i="2"/>
  <c r="AD92" i="2"/>
  <c r="AH100" i="2"/>
  <c r="AE111" i="2"/>
  <c r="AH109" i="2"/>
  <c r="AE76" i="2"/>
  <c r="AH85" i="2"/>
  <c r="AF78" i="2"/>
  <c r="AF99" i="2"/>
  <c r="AD68" i="2"/>
  <c r="AF82" i="2"/>
  <c r="AF112" i="2"/>
  <c r="AH99" i="2"/>
  <c r="AF76" i="2"/>
  <c r="AG70" i="2"/>
  <c r="AH113" i="2"/>
  <c r="AF87" i="2"/>
  <c r="AH116" i="2"/>
  <c r="AG76" i="2"/>
  <c r="AE103" i="2"/>
  <c r="AG85" i="2"/>
  <c r="AF74" i="2"/>
  <c r="AG68" i="2"/>
  <c r="V81" i="2"/>
  <c r="AH105" i="2"/>
  <c r="AD80" i="2"/>
  <c r="AG90" i="2"/>
  <c r="AD96" i="2"/>
  <c r="AE67" i="2"/>
  <c r="V116" i="2"/>
  <c r="AE88" i="2"/>
  <c r="AH104" i="2"/>
  <c r="AH78" i="2"/>
  <c r="W112" i="2"/>
  <c r="AD114" i="2"/>
  <c r="V84" i="2"/>
  <c r="AF118" i="2"/>
  <c r="AE75" i="2"/>
  <c r="AH107" i="2"/>
  <c r="AF68" i="2"/>
  <c r="AH81" i="2"/>
  <c r="AG73" i="2"/>
  <c r="V92" i="2"/>
  <c r="AE64" i="2"/>
  <c r="AH115" i="2"/>
  <c r="AE73" i="2"/>
  <c r="AG75" i="2"/>
  <c r="AE72" i="2"/>
  <c r="AD88" i="2"/>
  <c r="W89" i="2"/>
  <c r="AF114" i="2"/>
  <c r="AF115" i="2"/>
  <c r="AF72" i="2"/>
  <c r="AE92" i="2"/>
  <c r="AD64" i="2"/>
  <c r="AG64" i="2"/>
  <c r="V107" i="2"/>
  <c r="AE68" i="2"/>
  <c r="AE117" i="2"/>
  <c r="AG71" i="2"/>
  <c r="AE95" i="2"/>
  <c r="AE71" i="2"/>
  <c r="AF96" i="2"/>
  <c r="AG114" i="2"/>
  <c r="AH77" i="2"/>
  <c r="AG100" i="2"/>
  <c r="AH63" i="2"/>
  <c r="AE83" i="2"/>
  <c r="W116" i="2"/>
  <c r="AF63" i="2"/>
  <c r="AH89" i="2"/>
  <c r="AD84" i="2"/>
  <c r="AG67" i="2"/>
  <c r="AF110" i="2"/>
  <c r="AE80" i="2"/>
  <c r="AG113" i="2"/>
  <c r="AE106" i="2"/>
  <c r="AG84" i="2"/>
  <c r="AG88" i="2"/>
  <c r="AE93" i="2"/>
  <c r="AG63" i="2"/>
  <c r="AH62" i="2"/>
  <c r="AH103" i="2"/>
  <c r="AF104" i="2"/>
  <c r="AE84" i="2"/>
  <c r="AG86" i="2"/>
  <c r="AH74" i="2"/>
  <c r="AF62" i="2"/>
  <c r="AE108" i="2"/>
  <c r="AE105" i="2"/>
  <c r="AH94" i="2"/>
  <c r="V99" i="2"/>
  <c r="AF98" i="2"/>
  <c r="AF83" i="2"/>
  <c r="AF84" i="2"/>
  <c r="AE69" i="2"/>
  <c r="V76" i="2"/>
  <c r="V117" i="2"/>
  <c r="AH79" i="2"/>
  <c r="AE63" i="2"/>
  <c r="AG109" i="2"/>
  <c r="AH108" i="2"/>
  <c r="AE62" i="2"/>
  <c r="AF85" i="2"/>
  <c r="AE113" i="2"/>
  <c r="AE65" i="2"/>
  <c r="W108" i="2"/>
  <c r="AF75" i="2"/>
  <c r="AD110" i="2"/>
  <c r="AD77" i="2"/>
  <c r="AH66" i="2"/>
  <c r="AH73" i="2"/>
  <c r="AE82" i="2"/>
  <c r="AD106" i="2"/>
  <c r="V89" i="2"/>
  <c r="V75" i="2"/>
  <c r="AD100" i="2"/>
  <c r="AG93" i="2"/>
  <c r="AF81" i="2"/>
  <c r="AE89" i="2"/>
  <c r="AH97" i="2"/>
  <c r="V79" i="2"/>
  <c r="AF102" i="2"/>
  <c r="AH91" i="2"/>
  <c r="AH71" i="2"/>
  <c r="W92" i="2"/>
  <c r="V96" i="2"/>
  <c r="AD73" i="2"/>
  <c r="AG101" i="2"/>
  <c r="AF71" i="2"/>
  <c r="AF92" i="2"/>
  <c r="AE112" i="2"/>
  <c r="AH101" i="2"/>
  <c r="AH93" i="2"/>
  <c r="AG97" i="2"/>
  <c r="V88" i="2"/>
  <c r="AH67" i="2"/>
  <c r="AE116" i="2"/>
  <c r="AG89" i="2"/>
  <c r="AG112" i="2"/>
  <c r="AG80" i="2"/>
  <c r="AH114" i="2"/>
  <c r="AF67" i="2"/>
  <c r="V83" i="2"/>
  <c r="AH75" i="2"/>
  <c r="V63" i="2"/>
  <c r="AH110" i="2"/>
  <c r="V67" i="2"/>
  <c r="AG77" i="2"/>
  <c r="AH92" i="2"/>
  <c r="AG103" i="2"/>
  <c r="AH87" i="2"/>
  <c r="AD116" i="2"/>
  <c r="V71" i="2"/>
  <c r="V85" i="2"/>
  <c r="AG69" i="2"/>
  <c r="AH88" i="2"/>
  <c r="AG92" i="2"/>
  <c r="AE104" i="2"/>
  <c r="V100" i="2"/>
  <c r="W103" i="2"/>
  <c r="AD113" i="2"/>
  <c r="AH82" i="2"/>
  <c r="AF111" i="2"/>
  <c r="AF117" i="2"/>
  <c r="AD69" i="2"/>
  <c r="AG105" i="2"/>
  <c r="AF80" i="2"/>
  <c r="AG118" i="2"/>
  <c r="W80" i="2"/>
  <c r="AD104" i="2"/>
  <c r="W107" i="2"/>
  <c r="AD117" i="2"/>
  <c r="AH86" i="2"/>
  <c r="AF108" i="2"/>
  <c r="AG74" i="2"/>
  <c r="AH117" i="2"/>
  <c r="AF89" i="2"/>
  <c r="AH83" i="2"/>
  <c r="AG104" i="2"/>
  <c r="V72" i="2"/>
  <c r="AF107" i="2"/>
  <c r="AH84" i="2"/>
  <c r="AF97" i="2"/>
  <c r="AF79" i="2"/>
  <c r="W105" i="2"/>
  <c r="W111" i="2"/>
  <c r="V87" i="2"/>
  <c r="W104" i="2"/>
  <c r="AG98" i="2"/>
  <c r="AH106" i="2"/>
  <c r="AF88" i="2"/>
  <c r="V93" i="2"/>
  <c r="AG65" i="2"/>
  <c r="AD98" i="2"/>
  <c r="V109" i="2"/>
  <c r="W115" i="2"/>
  <c r="V91" i="2"/>
  <c r="AG62" i="2"/>
  <c r="AG81" i="2"/>
  <c r="AG107" i="2"/>
  <c r="AE94" i="2"/>
  <c r="V108" i="2"/>
  <c r="AH112" i="2"/>
  <c r="AF93" i="2"/>
  <c r="AG79" i="2"/>
  <c r="AD102" i="2"/>
  <c r="AD65" i="2"/>
  <c r="V95" i="2"/>
  <c r="AH111" i="2"/>
  <c r="AG78" i="2"/>
  <c r="V82" i="2"/>
  <c r="W82" i="2"/>
  <c r="V104" i="2"/>
  <c r="W68" i="2"/>
  <c r="W90" i="2"/>
  <c r="V90" i="2"/>
  <c r="AD94" i="2"/>
  <c r="AE102" i="2"/>
  <c r="AD67" i="2"/>
  <c r="AF113" i="2"/>
  <c r="AD66" i="2"/>
  <c r="AD71" i="2"/>
  <c r="V68" i="2"/>
  <c r="AH96" i="2"/>
  <c r="W64" i="2"/>
  <c r="AD75" i="2"/>
  <c r="V73" i="2"/>
  <c r="W73" i="2"/>
  <c r="V115" i="2"/>
  <c r="AE98" i="2"/>
  <c r="AF109" i="2"/>
  <c r="AF77" i="2"/>
  <c r="W84" i="2"/>
  <c r="W63" i="2"/>
  <c r="AD79" i="2"/>
  <c r="W106" i="2"/>
  <c r="V106" i="2"/>
  <c r="W100" i="2"/>
  <c r="W94" i="2"/>
  <c r="V94" i="2"/>
  <c r="AE78" i="2"/>
  <c r="V64" i="2"/>
  <c r="AG115" i="2"/>
  <c r="AD62" i="2"/>
  <c r="W67" i="2"/>
  <c r="AD83" i="2"/>
  <c r="W110" i="2"/>
  <c r="V110" i="2"/>
  <c r="V69" i="2"/>
  <c r="W96" i="2"/>
  <c r="W101" i="2"/>
  <c r="AD63" i="2"/>
  <c r="V77" i="2"/>
  <c r="V98" i="2"/>
  <c r="W98" i="2"/>
  <c r="V80" i="2"/>
  <c r="AH64" i="2"/>
  <c r="AH118" i="2"/>
  <c r="W117" i="2"/>
  <c r="V102" i="2"/>
  <c r="W102" i="2"/>
  <c r="V111" i="2"/>
  <c r="AE74" i="2"/>
  <c r="AF105" i="2"/>
  <c r="AF73" i="2"/>
  <c r="AE85" i="2"/>
  <c r="AG111" i="2"/>
  <c r="AD82" i="2"/>
  <c r="W71" i="2"/>
  <c r="AD81" i="2"/>
  <c r="AD87" i="2"/>
  <c r="W88" i="2"/>
  <c r="W114" i="2"/>
  <c r="V114" i="2"/>
  <c r="AD118" i="2"/>
  <c r="V101" i="2"/>
  <c r="AH68" i="2"/>
  <c r="V103" i="2"/>
  <c r="W69" i="2"/>
  <c r="V65" i="2"/>
  <c r="W65" i="2"/>
  <c r="AF69" i="2"/>
  <c r="AD89" i="2"/>
  <c r="AD78" i="2"/>
  <c r="W83" i="2"/>
  <c r="AF65" i="2"/>
  <c r="AE101" i="2"/>
  <c r="AG95" i="2"/>
  <c r="W76" i="2"/>
  <c r="W87" i="2"/>
  <c r="AD97" i="2"/>
  <c r="AD103" i="2"/>
  <c r="W66" i="2"/>
  <c r="V66" i="2"/>
  <c r="AD108" i="2"/>
  <c r="AD91" i="2"/>
  <c r="AF101" i="2"/>
  <c r="AD95" i="2"/>
  <c r="AE81" i="2"/>
  <c r="W77" i="2"/>
  <c r="AD99" i="2"/>
  <c r="V62" i="2"/>
  <c r="W62" i="2"/>
  <c r="AE90" i="2"/>
  <c r="AH80" i="2"/>
  <c r="AE110" i="2"/>
  <c r="AE77" i="2"/>
  <c r="AG91" i="2"/>
  <c r="AH102" i="2"/>
  <c r="W85" i="2"/>
  <c r="W91" i="2"/>
  <c r="AD101" i="2"/>
  <c r="AD107" i="2"/>
  <c r="W70" i="2"/>
  <c r="V70" i="2"/>
  <c r="AD90" i="2"/>
  <c r="W75" i="2"/>
  <c r="W79" i="2"/>
  <c r="AD86" i="2"/>
  <c r="AE66" i="2"/>
  <c r="AG87" i="2"/>
  <c r="AD74" i="2"/>
  <c r="W95" i="2"/>
  <c r="AD105" i="2"/>
  <c r="AD111" i="2"/>
  <c r="W74" i="2"/>
  <c r="V74" i="2"/>
  <c r="W81" i="2"/>
  <c r="AD70" i="2"/>
  <c r="W86" i="2"/>
  <c r="V86" i="2"/>
  <c r="W97" i="2"/>
  <c r="V97" i="2"/>
  <c r="W109" i="2"/>
  <c r="AD85" i="2"/>
  <c r="V105" i="2"/>
  <c r="W118" i="2"/>
  <c r="V118" i="2"/>
  <c r="W113" i="2"/>
  <c r="V113" i="2"/>
  <c r="AE70" i="2"/>
  <c r="AD93" i="2"/>
  <c r="AH76" i="2"/>
  <c r="AE86" i="2"/>
  <c r="AE97" i="2"/>
  <c r="AG83" i="2"/>
  <c r="AH98" i="2"/>
  <c r="W72" i="2"/>
  <c r="W93" i="2"/>
  <c r="W99" i="2"/>
  <c r="AD115" i="2"/>
  <c r="W78" i="2"/>
  <c r="V78" i="2"/>
  <c r="AF121" i="2" l="1"/>
  <c r="AD121" i="2"/>
  <c r="AH121" i="2"/>
  <c r="AG121" i="2"/>
  <c r="AE121" i="2"/>
  <c r="AE120" i="2"/>
  <c r="AE122" i="2" s="1"/>
  <c r="AF120" i="2"/>
  <c r="AD120" i="2"/>
  <c r="AH120" i="2"/>
  <c r="AG120" i="2"/>
  <c r="AG122" i="2" s="1"/>
  <c r="AH122" i="2" l="1"/>
  <c r="AD122" i="2"/>
  <c r="AF122" i="2"/>
</calcChain>
</file>

<file path=xl/sharedStrings.xml><?xml version="1.0" encoding="utf-8"?>
<sst xmlns="http://schemas.openxmlformats.org/spreadsheetml/2006/main" count="176" uniqueCount="96">
  <si>
    <t>(Hex)2 (HexNAc)2</t>
  </si>
  <si>
    <t>(Hex)3 (HexNAc)2</t>
  </si>
  <si>
    <t>(HexNAc)1 + (Man)3(GlcNAc)2</t>
  </si>
  <si>
    <t>(Hex)2 + (Man)3(GlcNAc)2</t>
  </si>
  <si>
    <t>(HexNAc)1 (Deoxyhexose)1 + (Man)3(GlcNAc)2</t>
  </si>
  <si>
    <t>(Hex)3 + (Man)3(GlcNAc)2</t>
  </si>
  <si>
    <t>(HexNAc)2 (Deoxyhexose)1 + (Man)3(GlcNAc)2</t>
  </si>
  <si>
    <t>(Hex)3 (Phos)1 + (Man)3(GlcNAc)2</t>
  </si>
  <si>
    <t>(Hex)4 + (Man)3(GlcNAc)2</t>
  </si>
  <si>
    <t>(Hex)1 (HexNAc)2 (Deoxyhexose)1 + (Man)3(GlcNAc)2</t>
  </si>
  <si>
    <t>(Hex)2 (HexNAc)2 + (Man)3(GlcNAc)2</t>
  </si>
  <si>
    <t>(HexNAc)3 (Deoxyhexose)1 + (Man)3(GlcNAc)2</t>
  </si>
  <si>
    <t>(Hex)3 (HexNAc)1 (Phos)1 + (Man)3(GlcNAc)2</t>
  </si>
  <si>
    <t>(Hex)1 (HexNAc)1 (Deoxyhexose)1 (NeuAc)1 + (Man)3(GlcNAc)2</t>
  </si>
  <si>
    <t>(Hex)4 (Phos)2 + (Man)3(GlcNAc)2</t>
  </si>
  <si>
    <t>(Hex)5 + (Man)3(GlcNAc)2</t>
  </si>
  <si>
    <t>(Hex)2 (HexNAc)2 (Deoxyhexose)1 + (Man)3(GlcNAc)2</t>
  </si>
  <si>
    <t>(Hex)1 (HexNAc)3 (Deoxyhexose)1 + (Man)3(GlcNAc)2</t>
  </si>
  <si>
    <t>(Hex)4 (HexNAc)1 (Phos)1 + (Man)3(GlcNAc)2</t>
  </si>
  <si>
    <t>(HexNAc)4 (Deoxyhexose)1 + (Man)3(GlcNAc)2</t>
  </si>
  <si>
    <t>(Hex)6 + (Man)3(GlcNAc)2</t>
  </si>
  <si>
    <t>(Hex)8 + (Man)3(GlcNAc)2</t>
  </si>
  <si>
    <t>(Hex)3 (HexNAc)1 (Deoxyhexose)2 + (Man)3(GlcNAc)2</t>
  </si>
  <si>
    <t>(Hex)1 (HexNAc)2 (Deoxyhexose)1 (NeuAc)1 + (Man)3(GlcNAc)2</t>
  </si>
  <si>
    <t>(Hex)2 (HexNAc)2 (NeuAc)1 + (Man)3(GlcNAc)2</t>
  </si>
  <si>
    <t>(Hex)2 (HexNAc)2 (Deoxyhexose)2 + (Man)3(GlcNAc)2</t>
  </si>
  <si>
    <t>(Hex)2 (HexNAc)3 (NeuAc)2 + (Man)3(GlcNAc)2</t>
  </si>
  <si>
    <t>(Hex)2 (HexNAc)3 (Deoxyhexose)1 + (Man)3(GlcNAc)2</t>
  </si>
  <si>
    <t>(Hex)3 (HexNAc)3 + (Man)3(GlcNAc)2</t>
  </si>
  <si>
    <t>(Hex)7 + (Man)3(GlcNAc)2</t>
  </si>
  <si>
    <t>(Hex)2 (HexNAc)2 (Deoxyhexose)1 (NeuAc)1 + (Man)3(GlcNAc)2</t>
  </si>
  <si>
    <t>(Hex)1 (HexNAc)3 (Deoxyhexose)1 (NeuAc)1 + (Man)3(GlcNAc)2</t>
  </si>
  <si>
    <t>(Hex)2 (HexNAc)3 (NeuAc)1 + (Man)3(GlcNAc)2</t>
  </si>
  <si>
    <t>(Hex)3 (HexNAc)3 (Deoxyhexose)1 + (Man)3(GlcNAc)2</t>
  </si>
  <si>
    <t>(Hex)2 (HexNAc)3 (Deoxyhexose)1 (NeuAc)1 + (Man)3(GlcNAc)2</t>
  </si>
  <si>
    <t>(Hex)3 (HexNAc)3 (NeuAc)1 + (Man)3(GlcNAc)2</t>
  </si>
  <si>
    <t>(Hex)3 (HexNAc)3 (NeuAc)2 + (Man)3(GlcNAc)2</t>
  </si>
  <si>
    <t>(Hex)2 (HexNAc)2 (Deoxyhexose)1 (NeuAc)2 + (Man)3(GlcNAc)2</t>
  </si>
  <si>
    <t>(Hex)3 (HexNAc)3 (Deoxyhexose)1 (NeuAc)1 + (Man)3(GlcNAc)2</t>
  </si>
  <si>
    <t>(Hex)2 (HexNAc)4 (Deoxyhexose)1 (NeuAc)1 + (Man)3(GlcNAc)2</t>
  </si>
  <si>
    <t>(Hex)3 (HexNAc)4 (NeuAc)1 + (Man)3(GlcNAc)2</t>
  </si>
  <si>
    <t>(Hex)2 (HexNAc)3 (Deoxyhexose)1 (NeuAc)2 + (Man)3(GlcNAc)2</t>
  </si>
  <si>
    <t>(Hex)3 (HexNAc)4 (Deoxyhexose)1 (NeuAc)1 + (Man)3(GlcNAc)2</t>
  </si>
  <si>
    <t>(Hex)2 (HexNAc)4 (Deoxyhexose)1 (NeuAc)2 + (Man)3(GlcNAc)2</t>
  </si>
  <si>
    <t>(Hex)4 (HexNAc)4 (Deoxyhexose)1 (NeuAc)1 + (Man)3(GlcNAc)2</t>
  </si>
  <si>
    <t>(Hex)3 (HexNAc)3 (NeuAc)3 + (Man)3(GlcNAc)2</t>
  </si>
  <si>
    <t>(Hex)5 (HexNAc)5 (Deoxyhexose)1 + (Man)3(GlcNAc)2</t>
  </si>
  <si>
    <t>(Hex)3 (HexNAc)4 (Deoxyhexose)1 (NeuAc)2 + (Man)3(GlcNAc)2</t>
  </si>
  <si>
    <t>(Hex)4 (HexNAc)4 (NeuAc)2 + (Man)3(GlcNAc)2</t>
  </si>
  <si>
    <t>(Hex)4 (HexNAc)4 (Deoxyhexose)1 (NeuAc)2 + (Man)3(GlcNAc)2</t>
  </si>
  <si>
    <t>(Hex)5 (HexNAc)5 (Deoxyhexose)1 (NeuAc)1 + (Man)3(GlcNAc)2</t>
  </si>
  <si>
    <t>(Hex)3 (HexNAc)4 (Deoxyhexose)1 (NeuAc)3 + (Man)3(GlcNAc)2</t>
  </si>
  <si>
    <t>(Hex)4 (HexNAc)4 (Deoxyhexose)1 (NeuAc)3 + (Man)3(GlcNAc)2</t>
  </si>
  <si>
    <t>(Hex)5 (HexNAc)5 (Deoxyhexose)1 (NeuAc)2 + (Man)3(GlcNAc)2</t>
  </si>
  <si>
    <t>(Hex)5 (HexNAc)5 (Deoxyhexose)1 (NeuAc)3 + (Man)3(GlcNAc)2</t>
  </si>
  <si>
    <t>(Hex)5 (HexNAc)5 (Deoxyhexose)1 (NeuAc)4 + (Man)3(GlcNAc)2</t>
  </si>
  <si>
    <t>(Hex)6 (HexNAc)6 (Deoxyhexose)1 (NeuAc)3 + (Man)3(GlcNAc)2</t>
  </si>
  <si>
    <t>Glycan</t>
  </si>
  <si>
    <t>010ug1_01</t>
  </si>
  <si>
    <t>010ug2_01</t>
  </si>
  <si>
    <t>010ug3_01</t>
  </si>
  <si>
    <t>025ug1_01</t>
  </si>
  <si>
    <t>025ug2_01</t>
  </si>
  <si>
    <t>025ug3_01</t>
  </si>
  <si>
    <t>050ug1_01</t>
  </si>
  <si>
    <t>050ug2_01</t>
  </si>
  <si>
    <t>050ug3_01</t>
  </si>
  <si>
    <t>100ug1_01</t>
  </si>
  <si>
    <t>100ug2_01</t>
  </si>
  <si>
    <t>100ug3_01</t>
  </si>
  <si>
    <t>150ug_01</t>
  </si>
  <si>
    <t>150ug_02</t>
  </si>
  <si>
    <t>150ug_03</t>
  </si>
  <si>
    <t>150ug_04</t>
  </si>
  <si>
    <t>150ug_05</t>
  </si>
  <si>
    <t>200ug1_01</t>
  </si>
  <si>
    <t>200ug2_01</t>
  </si>
  <si>
    <t>200ug3_01</t>
  </si>
  <si>
    <t>CV</t>
  </si>
  <si>
    <t>Average</t>
  </si>
  <si>
    <t>Sum</t>
  </si>
  <si>
    <t>Absolute CV</t>
  </si>
  <si>
    <t>Relative CV</t>
  </si>
  <si>
    <t>10 ug CV</t>
  </si>
  <si>
    <t>25 ug CV</t>
  </si>
  <si>
    <t>50 ug CV</t>
  </si>
  <si>
    <t>100 ug CV</t>
  </si>
  <si>
    <t>200 ug CV</t>
  </si>
  <si>
    <t>Percentage</t>
  </si>
  <si>
    <t>10 ug</t>
  </si>
  <si>
    <t>25 ug</t>
  </si>
  <si>
    <t>50 ug</t>
  </si>
  <si>
    <t>100 ug</t>
  </si>
  <si>
    <t>200 ug</t>
  </si>
  <si>
    <t>&lt;20% CV</t>
  </si>
  <si>
    <t>&gt;=20%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</si>
</sst>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Dynamic range of high-quality detections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Quant!$W$2:$W$58</c:f>
              <c:numCache>
                <c:formatCode>General</c:formatCode>
                <c:ptCount val="57"/>
                <c:pt idx="0">
                  <c:v>4088226.6749999998</c:v>
                </c:pt>
                <c:pt idx="1">
                  <c:v>2642189.5125000002</c:v>
                </c:pt>
                <c:pt idx="2">
                  <c:v>951960.8203125</c:v>
                </c:pt>
                <c:pt idx="3">
                  <c:v>944450.98281249998</c:v>
                </c:pt>
                <c:pt idx="4">
                  <c:v>917319.09453124995</c:v>
                </c:pt>
                <c:pt idx="5">
                  <c:v>757672.34375</c:v>
                </c:pt>
                <c:pt idx="6">
                  <c:v>680449.00078124995</c:v>
                </c:pt>
                <c:pt idx="7">
                  <c:v>616462.55546874995</c:v>
                </c:pt>
                <c:pt idx="8">
                  <c:v>598878.11484375002</c:v>
                </c:pt>
                <c:pt idx="9">
                  <c:v>434266.04062500002</c:v>
                </c:pt>
                <c:pt idx="10">
                  <c:v>430907.72343750001</c:v>
                </c:pt>
                <c:pt idx="11">
                  <c:v>338935.58710937499</c:v>
                </c:pt>
                <c:pt idx="12">
                  <c:v>281019.18789062538</c:v>
                </c:pt>
                <c:pt idx="13">
                  <c:v>266781.63320312521</c:v>
                </c:pt>
                <c:pt idx="14">
                  <c:v>212465.79375000019</c:v>
                </c:pt>
                <c:pt idx="15">
                  <c:v>205389.94785156258</c:v>
                </c:pt>
                <c:pt idx="16">
                  <c:v>154972.76699218759</c:v>
                </c:pt>
                <c:pt idx="17">
                  <c:v>150698.9464843754</c:v>
                </c:pt>
                <c:pt idx="18">
                  <c:v>144518.66743164061</c:v>
                </c:pt>
                <c:pt idx="19">
                  <c:v>140658.97475585921</c:v>
                </c:pt>
                <c:pt idx="20">
                  <c:v>137691.33403320302</c:v>
                </c:pt>
                <c:pt idx="21">
                  <c:v>136118.51116943362</c:v>
                </c:pt>
                <c:pt idx="22">
                  <c:v>129545.67070312519</c:v>
                </c:pt>
                <c:pt idx="23">
                  <c:v>126014.29067382838</c:v>
                </c:pt>
                <c:pt idx="24">
                  <c:v>122873.2182128906</c:v>
                </c:pt>
                <c:pt idx="25">
                  <c:v>119465.77929687504</c:v>
                </c:pt>
                <c:pt idx="26">
                  <c:v>118879.37128906281</c:v>
                </c:pt>
                <c:pt idx="27">
                  <c:v>111499.78542480487</c:v>
                </c:pt>
                <c:pt idx="28">
                  <c:v>108011.31162109357</c:v>
                </c:pt>
                <c:pt idx="29">
                  <c:v>104498.44687500029</c:v>
                </c:pt>
                <c:pt idx="30">
                  <c:v>99608.820410156273</c:v>
                </c:pt>
                <c:pt idx="31">
                  <c:v>92074.435778808693</c:v>
                </c:pt>
                <c:pt idx="32">
                  <c:v>86457.630566406282</c:v>
                </c:pt>
                <c:pt idx="33">
                  <c:v>85798.804235839838</c:v>
                </c:pt>
                <c:pt idx="34">
                  <c:v>77554.148059082043</c:v>
                </c:pt>
                <c:pt idx="35">
                  <c:v>76158.822460937547</c:v>
                </c:pt>
                <c:pt idx="36">
                  <c:v>71517.755273437506</c:v>
                </c:pt>
                <c:pt idx="37">
                  <c:v>70214.781933593753</c:v>
                </c:pt>
                <c:pt idx="38">
                  <c:v>61555.142602539076</c:v>
                </c:pt>
                <c:pt idx="39">
                  <c:v>55108.832055664083</c:v>
                </c:pt>
                <c:pt idx="40">
                  <c:v>54710.117187500022</c:v>
                </c:pt>
                <c:pt idx="41">
                  <c:v>49260.117272949225</c:v>
                </c:pt>
                <c:pt idx="42">
                  <c:v>48632.203393554679</c:v>
                </c:pt>
                <c:pt idx="43">
                  <c:v>47249.112597656262</c:v>
                </c:pt>
                <c:pt idx="44">
                  <c:v>46593.436596679698</c:v>
                </c:pt>
                <c:pt idx="45">
                  <c:v>42062.557128906286</c:v>
                </c:pt>
                <c:pt idx="46">
                  <c:v>40902.269628906281</c:v>
                </c:pt>
                <c:pt idx="47">
                  <c:v>38879.724914550796</c:v>
                </c:pt>
                <c:pt idx="48">
                  <c:v>36230.106823730479</c:v>
                </c:pt>
                <c:pt idx="49">
                  <c:v>32327.278613281262</c:v>
                </c:pt>
                <c:pt idx="50">
                  <c:v>26833.757751464836</c:v>
                </c:pt>
                <c:pt idx="51">
                  <c:v>23278.18393554688</c:v>
                </c:pt>
                <c:pt idx="52">
                  <c:v>22893.033276367198</c:v>
                </c:pt>
                <c:pt idx="53">
                  <c:v>21946.36329345706</c:v>
                </c:pt>
                <c:pt idx="54">
                  <c:v>21414.186053466783</c:v>
                </c:pt>
                <c:pt idx="55">
                  <c:v>12958.997149658206</c:v>
                </c:pt>
                <c:pt idx="56">
                  <c:v>5968.4330566406252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E-496B-BD3D-B6AF1D7F5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509183"/>
        <c:axId val="1706509599"/>
      </c:scatterChart>
      <c:valAx>
        <c:axId val="170650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509599"/>
        <c:crosses val="autoZero"/>
        <c:crossBetween val="midCat"/>
      </c:valAx>
      <c:valAx>
        <c:axId val="1706509599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50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Glycan intensity as a function of abundance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Quant!$AC$1</c:f>
              <c:strCache>
                <c:ptCount val="1"/>
                <c:pt idx="0">
                  <c:v>200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shade val="53000"/>
                </a:schemeClr>
              </a:solidFill>
              <a:ln w="9525">
                <a:solidFill>
                  <a:schemeClr val="accent3">
                    <a:shade val="53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Quant!$AC$2:$AC$58</c:f>
              <c:numCache>
                <c:formatCode>General</c:formatCode>
                <c:ptCount val="57"/>
                <c:pt idx="0">
                  <c:v>5705482.244791667</c:v>
                </c:pt>
                <c:pt idx="1">
                  <c:v>3764828.15625</c:v>
                </c:pt>
                <c:pt idx="2">
                  <c:v>1288603.1640625</c:v>
                </c:pt>
                <c:pt idx="3">
                  <c:v>1223198.0598958333</c:v>
                </c:pt>
                <c:pt idx="4">
                  <c:v>1309470.9518229167</c:v>
                </c:pt>
                <c:pt idx="5">
                  <c:v>1071543.3255208333</c:v>
                </c:pt>
                <c:pt idx="6">
                  <c:v>925990.734375</c:v>
                </c:pt>
                <c:pt idx="7">
                  <c:v>876133.93880208337</c:v>
                </c:pt>
                <c:pt idx="8">
                  <c:v>796931.31380208337</c:v>
                </c:pt>
                <c:pt idx="9">
                  <c:v>584342.02018229163</c:v>
                </c:pt>
                <c:pt idx="10">
                  <c:v>597522.68684895837</c:v>
                </c:pt>
                <c:pt idx="11">
                  <c:v>475412.24348958331</c:v>
                </c:pt>
                <c:pt idx="12">
                  <c:v>408112.1129557293</c:v>
                </c:pt>
                <c:pt idx="13">
                  <c:v>365855.82552083331</c:v>
                </c:pt>
                <c:pt idx="14">
                  <c:v>299974.80110677099</c:v>
                </c:pt>
                <c:pt idx="15">
                  <c:v>293697.61328125</c:v>
                </c:pt>
                <c:pt idx="16">
                  <c:v>224684.48014322933</c:v>
                </c:pt>
                <c:pt idx="17">
                  <c:v>209839.49055989599</c:v>
                </c:pt>
                <c:pt idx="18">
                  <c:v>200059.30159505233</c:v>
                </c:pt>
                <c:pt idx="19">
                  <c:v>202296.58496093765</c:v>
                </c:pt>
                <c:pt idx="20">
                  <c:v>192833.16182454443</c:v>
                </c:pt>
                <c:pt idx="21">
                  <c:v>190021.04280599</c:v>
                </c:pt>
                <c:pt idx="22">
                  <c:v>181971.357421875</c:v>
                </c:pt>
                <c:pt idx="23">
                  <c:v>181653.81892903647</c:v>
                </c:pt>
                <c:pt idx="24">
                  <c:v>175789.25858561214</c:v>
                </c:pt>
                <c:pt idx="25">
                  <c:v>159360.17553710929</c:v>
                </c:pt>
                <c:pt idx="26">
                  <c:v>169703.62736002621</c:v>
                </c:pt>
                <c:pt idx="27">
                  <c:v>161831.53141276052</c:v>
                </c:pt>
                <c:pt idx="28">
                  <c:v>147527.79077148446</c:v>
                </c:pt>
                <c:pt idx="29">
                  <c:v>147409.52669270834</c:v>
                </c:pt>
                <c:pt idx="30">
                  <c:v>136282.98673502629</c:v>
                </c:pt>
                <c:pt idx="31">
                  <c:v>126797.1353556316</c:v>
                </c:pt>
                <c:pt idx="32">
                  <c:v>121437.55875651044</c:v>
                </c:pt>
                <c:pt idx="33">
                  <c:v>118214.7422281902</c:v>
                </c:pt>
                <c:pt idx="34">
                  <c:v>116108.68920898443</c:v>
                </c:pt>
                <c:pt idx="35">
                  <c:v>117259.53963216145</c:v>
                </c:pt>
                <c:pt idx="36">
                  <c:v>106117.9365234375</c:v>
                </c:pt>
                <c:pt idx="37">
                  <c:v>98968.218750000044</c:v>
                </c:pt>
                <c:pt idx="38">
                  <c:v>86108.566609700458</c:v>
                </c:pt>
                <c:pt idx="39">
                  <c:v>82339.098897298172</c:v>
                </c:pt>
                <c:pt idx="40">
                  <c:v>81185.651713053332</c:v>
                </c:pt>
                <c:pt idx="41">
                  <c:v>70923.341166178361</c:v>
                </c:pt>
                <c:pt idx="42">
                  <c:v>75935.712809244738</c:v>
                </c:pt>
                <c:pt idx="43">
                  <c:v>57390.192993164063</c:v>
                </c:pt>
                <c:pt idx="44">
                  <c:v>67023.630147298332</c:v>
                </c:pt>
                <c:pt idx="45">
                  <c:v>63427.631673177268</c:v>
                </c:pt>
                <c:pt idx="46">
                  <c:v>70995.24340820314</c:v>
                </c:pt>
                <c:pt idx="47">
                  <c:v>65630.565938313739</c:v>
                </c:pt>
                <c:pt idx="48">
                  <c:v>50100.02988688153</c:v>
                </c:pt>
                <c:pt idx="49">
                  <c:v>55836.177978515632</c:v>
                </c:pt>
                <c:pt idx="50">
                  <c:v>44343.013651529967</c:v>
                </c:pt>
                <c:pt idx="51">
                  <c:v>38467.291503906301</c:v>
                </c:pt>
                <c:pt idx="52">
                  <c:v>37977.895365397133</c:v>
                </c:pt>
                <c:pt idx="53">
                  <c:v>37092.52695719403</c:v>
                </c:pt>
                <c:pt idx="54">
                  <c:v>32625.321024576831</c:v>
                </c:pt>
                <c:pt idx="55">
                  <c:v>25699.306193033859</c:v>
                </c:pt>
                <c:pt idx="56">
                  <c:v>14775.719573974629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DF-4C1A-A078-C0B8DB4F2D3C}"/>
            </c:ext>
          </c:extLst>
        </c:ser>
        <c:ser>
          <c:idx val="3"/>
          <c:order val="1"/>
          <c:tx>
            <c:strRef>
              <c:f>Quant!$AB$1</c:f>
              <c:strCache>
                <c:ptCount val="1"/>
                <c:pt idx="0">
                  <c:v>100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Quant!$AB$2:$AB$58</c:f>
              <c:numCache>
                <c:formatCode>General</c:formatCode>
                <c:ptCount val="57"/>
                <c:pt idx="0">
                  <c:v>3032904.640625</c:v>
                </c:pt>
                <c:pt idx="1">
                  <c:v>1972356.2994791667</c:v>
                </c:pt>
                <c:pt idx="2">
                  <c:v>720053.435546875</c:v>
                </c:pt>
                <c:pt idx="3">
                  <c:v>693329.15364583337</c:v>
                </c:pt>
                <c:pt idx="4">
                  <c:v>695387.61328125</c:v>
                </c:pt>
                <c:pt idx="5">
                  <c:v>558863.05729166663</c:v>
                </c:pt>
                <c:pt idx="6">
                  <c:v>494370.83333333331</c:v>
                </c:pt>
                <c:pt idx="7">
                  <c:v>447730.92838541669</c:v>
                </c:pt>
                <c:pt idx="8">
                  <c:v>433541.54947916669</c:v>
                </c:pt>
                <c:pt idx="9">
                  <c:v>319552.96549479198</c:v>
                </c:pt>
                <c:pt idx="10">
                  <c:v>307347.107828776</c:v>
                </c:pt>
                <c:pt idx="11">
                  <c:v>240336.36621093765</c:v>
                </c:pt>
                <c:pt idx="12">
                  <c:v>213295.49186197933</c:v>
                </c:pt>
                <c:pt idx="13">
                  <c:v>185233.59857177734</c:v>
                </c:pt>
                <c:pt idx="14">
                  <c:v>154581.28434244811</c:v>
                </c:pt>
                <c:pt idx="15">
                  <c:v>151806.56445312515</c:v>
                </c:pt>
                <c:pt idx="16">
                  <c:v>110738.2478434245</c:v>
                </c:pt>
                <c:pt idx="17">
                  <c:v>108217.35091145849</c:v>
                </c:pt>
                <c:pt idx="18">
                  <c:v>105154.79650878918</c:v>
                </c:pt>
                <c:pt idx="19">
                  <c:v>106821.91446940119</c:v>
                </c:pt>
                <c:pt idx="20">
                  <c:v>98337.053263346388</c:v>
                </c:pt>
                <c:pt idx="21">
                  <c:v>97950.229654947761</c:v>
                </c:pt>
                <c:pt idx="22">
                  <c:v>96005.489278157722</c:v>
                </c:pt>
                <c:pt idx="23">
                  <c:v>84074.685892741065</c:v>
                </c:pt>
                <c:pt idx="24">
                  <c:v>91172.048716227306</c:v>
                </c:pt>
                <c:pt idx="25">
                  <c:v>89486.171325683521</c:v>
                </c:pt>
                <c:pt idx="26">
                  <c:v>83523.211201985672</c:v>
                </c:pt>
                <c:pt idx="27">
                  <c:v>75806.323791503804</c:v>
                </c:pt>
                <c:pt idx="28">
                  <c:v>68889.946197509867</c:v>
                </c:pt>
                <c:pt idx="29">
                  <c:v>64197.935882568367</c:v>
                </c:pt>
                <c:pt idx="30">
                  <c:v>74754.801391601563</c:v>
                </c:pt>
                <c:pt idx="31">
                  <c:v>55154.095581054571</c:v>
                </c:pt>
                <c:pt idx="32">
                  <c:v>56864.403076171868</c:v>
                </c:pt>
                <c:pt idx="33">
                  <c:v>56183.787618001465</c:v>
                </c:pt>
                <c:pt idx="34">
                  <c:v>45017.938028971366</c:v>
                </c:pt>
                <c:pt idx="35">
                  <c:v>53896.485636393227</c:v>
                </c:pt>
                <c:pt idx="36">
                  <c:v>45164.74910481774</c:v>
                </c:pt>
                <c:pt idx="37">
                  <c:v>50333.531412760436</c:v>
                </c:pt>
                <c:pt idx="38">
                  <c:v>50496.517985026032</c:v>
                </c:pt>
                <c:pt idx="39">
                  <c:v>50640.069803873695</c:v>
                </c:pt>
                <c:pt idx="40">
                  <c:v>31336.126749674469</c:v>
                </c:pt>
                <c:pt idx="41">
                  <c:v>28702.109822591152</c:v>
                </c:pt>
                <c:pt idx="42">
                  <c:v>28926.9035644531</c:v>
                </c:pt>
                <c:pt idx="43">
                  <c:v>28112.913269042998</c:v>
                </c:pt>
                <c:pt idx="44">
                  <c:v>23214.154907226581</c:v>
                </c:pt>
                <c:pt idx="45">
                  <c:v>27931.271911621112</c:v>
                </c:pt>
                <c:pt idx="46">
                  <c:v>30212.953715006501</c:v>
                </c:pt>
                <c:pt idx="47">
                  <c:v>24248.660013834637</c:v>
                </c:pt>
                <c:pt idx="48">
                  <c:v>18094.594151814774</c:v>
                </c:pt>
                <c:pt idx="49">
                  <c:v>21130.5925801595</c:v>
                </c:pt>
                <c:pt idx="50">
                  <c:v>16375.201131184867</c:v>
                </c:pt>
                <c:pt idx="51">
                  <c:v>19031.840332031268</c:v>
                </c:pt>
                <c:pt idx="52">
                  <c:v>12806.91753133137</c:v>
                </c:pt>
                <c:pt idx="53">
                  <c:v>13709.411946614566</c:v>
                </c:pt>
                <c:pt idx="54">
                  <c:v>10383.172159830739</c:v>
                </c:pt>
                <c:pt idx="55">
                  <c:v>6560.2782999674428</c:v>
                </c:pt>
                <c:pt idx="56">
                  <c:v>4355.5727742513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F-4C1A-A078-C0B8DB4F2D3C}"/>
            </c:ext>
          </c:extLst>
        </c:ser>
        <c:ser>
          <c:idx val="2"/>
          <c:order val="2"/>
          <c:tx>
            <c:strRef>
              <c:f>Quant!$AA$1</c:f>
              <c:strCache>
                <c:ptCount val="1"/>
                <c:pt idx="0">
                  <c:v>50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Quant!$AA$2:$AA$58</c:f>
              <c:numCache>
                <c:formatCode>General</c:formatCode>
                <c:ptCount val="57"/>
                <c:pt idx="0">
                  <c:v>3006736.9453125</c:v>
                </c:pt>
                <c:pt idx="1">
                  <c:v>1912648.2994791667</c:v>
                </c:pt>
                <c:pt idx="2">
                  <c:v>690798.50325520837</c:v>
                </c:pt>
                <c:pt idx="3">
                  <c:v>737790.28645833337</c:v>
                </c:pt>
                <c:pt idx="4">
                  <c:v>680066.52734375</c:v>
                </c:pt>
                <c:pt idx="5">
                  <c:v>534674.134765625</c:v>
                </c:pt>
                <c:pt idx="6">
                  <c:v>555338.78385416663</c:v>
                </c:pt>
                <c:pt idx="7">
                  <c:v>429364.04036458331</c:v>
                </c:pt>
                <c:pt idx="8">
                  <c:v>418438.04622395831</c:v>
                </c:pt>
                <c:pt idx="9">
                  <c:v>293423.47045898438</c:v>
                </c:pt>
                <c:pt idx="10">
                  <c:v>301948.45121256536</c:v>
                </c:pt>
                <c:pt idx="11">
                  <c:v>234326.97184244791</c:v>
                </c:pt>
                <c:pt idx="12">
                  <c:v>207883.71402994826</c:v>
                </c:pt>
                <c:pt idx="13">
                  <c:v>191396.2659505211</c:v>
                </c:pt>
                <c:pt idx="14">
                  <c:v>148586.56494140628</c:v>
                </c:pt>
                <c:pt idx="15">
                  <c:v>148768.65209960938</c:v>
                </c:pt>
                <c:pt idx="16">
                  <c:v>104219.79309082055</c:v>
                </c:pt>
                <c:pt idx="17">
                  <c:v>113637.53151448583</c:v>
                </c:pt>
                <c:pt idx="18">
                  <c:v>97490.916829427166</c:v>
                </c:pt>
                <c:pt idx="19">
                  <c:v>95937.082438151192</c:v>
                </c:pt>
                <c:pt idx="20">
                  <c:v>87847.079467773612</c:v>
                </c:pt>
                <c:pt idx="21">
                  <c:v>88693.017089843765</c:v>
                </c:pt>
                <c:pt idx="22">
                  <c:v>94699.610636393365</c:v>
                </c:pt>
                <c:pt idx="23">
                  <c:v>71657.954243977743</c:v>
                </c:pt>
                <c:pt idx="24">
                  <c:v>83039.448730468706</c:v>
                </c:pt>
                <c:pt idx="25">
                  <c:v>70192.573669433536</c:v>
                </c:pt>
                <c:pt idx="26">
                  <c:v>70459.110076904297</c:v>
                </c:pt>
                <c:pt idx="27">
                  <c:v>72638.533020019706</c:v>
                </c:pt>
                <c:pt idx="28">
                  <c:v>64659.342905680496</c:v>
                </c:pt>
                <c:pt idx="29">
                  <c:v>58527.246500651054</c:v>
                </c:pt>
                <c:pt idx="30">
                  <c:v>69577.842936198096</c:v>
                </c:pt>
                <c:pt idx="31">
                  <c:v>51356.077626546241</c:v>
                </c:pt>
                <c:pt idx="32">
                  <c:v>60733.971801757965</c:v>
                </c:pt>
                <c:pt idx="33">
                  <c:v>45654.581105550118</c:v>
                </c:pt>
                <c:pt idx="34">
                  <c:v>44580.987579345696</c:v>
                </c:pt>
                <c:pt idx="35">
                  <c:v>52378.371663411497</c:v>
                </c:pt>
                <c:pt idx="36">
                  <c:v>46039.74267578125</c:v>
                </c:pt>
                <c:pt idx="37">
                  <c:v>53124.288574218772</c:v>
                </c:pt>
                <c:pt idx="38">
                  <c:v>49669.049397786468</c:v>
                </c:pt>
                <c:pt idx="39">
                  <c:v>40773.654754638701</c:v>
                </c:pt>
                <c:pt idx="40">
                  <c:v>32386.291463216159</c:v>
                </c:pt>
                <c:pt idx="41">
                  <c:v>29630.629130045567</c:v>
                </c:pt>
                <c:pt idx="42">
                  <c:v>25631.67169189452</c:v>
                </c:pt>
                <c:pt idx="43">
                  <c:v>25973.022216796893</c:v>
                </c:pt>
                <c:pt idx="44">
                  <c:v>24825.484456380233</c:v>
                </c:pt>
                <c:pt idx="45">
                  <c:v>20989.625651041697</c:v>
                </c:pt>
                <c:pt idx="46">
                  <c:v>25950.386413574222</c:v>
                </c:pt>
                <c:pt idx="47">
                  <c:v>15557.583943684911</c:v>
                </c:pt>
                <c:pt idx="48">
                  <c:v>17663.057983398434</c:v>
                </c:pt>
                <c:pt idx="49">
                  <c:v>20675.126393636066</c:v>
                </c:pt>
                <c:pt idx="50">
                  <c:v>13332.855763753252</c:v>
                </c:pt>
                <c:pt idx="51">
                  <c:v>13079.190917968765</c:v>
                </c:pt>
                <c:pt idx="52">
                  <c:v>11096.997711181632</c:v>
                </c:pt>
                <c:pt idx="53">
                  <c:v>12455.439534505227</c:v>
                </c:pt>
                <c:pt idx="54">
                  <c:v>7647.8220011393396</c:v>
                </c:pt>
                <c:pt idx="55">
                  <c:v>5909.4643554687364</c:v>
                </c:pt>
                <c:pt idx="56">
                  <c:v>6118.823527018234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F-4C1A-A078-C0B8DB4F2D3C}"/>
            </c:ext>
          </c:extLst>
        </c:ser>
        <c:ser>
          <c:idx val="1"/>
          <c:order val="3"/>
          <c:tx>
            <c:strRef>
              <c:f>Quant!$Z$1</c:f>
              <c:strCache>
                <c:ptCount val="1"/>
                <c:pt idx="0">
                  <c:v>25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Quant!$Z$2:$Z$58</c:f>
              <c:numCache>
                <c:formatCode>General</c:formatCode>
                <c:ptCount val="57"/>
                <c:pt idx="0">
                  <c:v>572221.529296875</c:v>
                </c:pt>
                <c:pt idx="1">
                  <c:v>362722.484375</c:v>
                </c:pt>
                <c:pt idx="2">
                  <c:v>109561.38732910168</c:v>
                </c:pt>
                <c:pt idx="3">
                  <c:v>144475.56901041666</c:v>
                </c:pt>
                <c:pt idx="4">
                  <c:v>137575.25764973965</c:v>
                </c:pt>
                <c:pt idx="5">
                  <c:v>83935.004557291672</c:v>
                </c:pt>
                <c:pt idx="6">
                  <c:v>111001.03141276044</c:v>
                </c:pt>
                <c:pt idx="7">
                  <c:v>71092.320434570327</c:v>
                </c:pt>
                <c:pt idx="8">
                  <c:v>77026.390625000029</c:v>
                </c:pt>
                <c:pt idx="9">
                  <c:v>25876.97823079427</c:v>
                </c:pt>
                <c:pt idx="10">
                  <c:v>37351.564168294266</c:v>
                </c:pt>
                <c:pt idx="11">
                  <c:v>32744.098042805999</c:v>
                </c:pt>
                <c:pt idx="12">
                  <c:v>38150.079447428398</c:v>
                </c:pt>
                <c:pt idx="13">
                  <c:v>11338.73850504557</c:v>
                </c:pt>
                <c:pt idx="14">
                  <c:v>19846.666666666668</c:v>
                </c:pt>
                <c:pt idx="15">
                  <c:v>27659.972859700531</c:v>
                </c:pt>
                <c:pt idx="16">
                  <c:v>19228.092600504566</c:v>
                </c:pt>
                <c:pt idx="17">
                  <c:v>13174.282775878915</c:v>
                </c:pt>
                <c:pt idx="18">
                  <c:v>3799.8371582031264</c:v>
                </c:pt>
                <c:pt idx="19">
                  <c:v>15303.432108561201</c:v>
                </c:pt>
                <c:pt idx="20">
                  <c:v>5511.8243611653634</c:v>
                </c:pt>
                <c:pt idx="21">
                  <c:v>2370.9233805338567</c:v>
                </c:pt>
                <c:pt idx="22">
                  <c:v>18991.2020161947</c:v>
                </c:pt>
                <c:pt idx="23">
                  <c:v>1126.98935953776</c:v>
                </c:pt>
                <c:pt idx="24">
                  <c:v>16375.745981852202</c:v>
                </c:pt>
                <c:pt idx="25">
                  <c:v>1414.1899515787766</c:v>
                </c:pt>
                <c:pt idx="26">
                  <c:v>543.737009684246</c:v>
                </c:pt>
                <c:pt idx="27">
                  <c:v>4459.1994222005233</c:v>
                </c:pt>
                <c:pt idx="28">
                  <c:v>4058.3841552734361</c:v>
                </c:pt>
                <c:pt idx="29">
                  <c:v>1072.9617614746094</c:v>
                </c:pt>
                <c:pt idx="30">
                  <c:v>17324.999430338532</c:v>
                </c:pt>
                <c:pt idx="31">
                  <c:v>1439.589426676431</c:v>
                </c:pt>
                <c:pt idx="32">
                  <c:v>3635.23315429688</c:v>
                </c:pt>
                <c:pt idx="33">
                  <c:v>535.18566894531432</c:v>
                </c:pt>
                <c:pt idx="34">
                  <c:v>763.28173828124898</c:v>
                </c:pt>
                <c:pt idx="35">
                  <c:v>2325.0702006022166</c:v>
                </c:pt>
                <c:pt idx="36">
                  <c:v>4650.1260375976681</c:v>
                </c:pt>
                <c:pt idx="37">
                  <c:v>5191.1864929199228</c:v>
                </c:pt>
                <c:pt idx="38">
                  <c:v>17020.747365315769</c:v>
                </c:pt>
                <c:pt idx="39">
                  <c:v>13114.73366292317</c:v>
                </c:pt>
                <c:pt idx="40">
                  <c:v>743.1288452148433</c:v>
                </c:pt>
                <c:pt idx="41">
                  <c:v>842.12089029948004</c:v>
                </c:pt>
                <c:pt idx="42">
                  <c:v>970.10342407226506</c:v>
                </c:pt>
                <c:pt idx="43">
                  <c:v>636.62892659505201</c:v>
                </c:pt>
                <c:pt idx="44">
                  <c:v>1221.7244567871094</c:v>
                </c:pt>
                <c:pt idx="45">
                  <c:v>1876.479034423827</c:v>
                </c:pt>
                <c:pt idx="46">
                  <c:v>2731.2960917154965</c:v>
                </c:pt>
                <c:pt idx="47">
                  <c:v>488.06816609700667</c:v>
                </c:pt>
                <c:pt idx="48">
                  <c:v>3473.07301839193</c:v>
                </c:pt>
                <c:pt idx="49">
                  <c:v>1045.0726318359386</c:v>
                </c:pt>
                <c:pt idx="50">
                  <c:v>505.97876993814998</c:v>
                </c:pt>
                <c:pt idx="51">
                  <c:v>3146.8486124674505</c:v>
                </c:pt>
                <c:pt idx="52">
                  <c:v>1000.8487243652366</c:v>
                </c:pt>
                <c:pt idx="53">
                  <c:v>742.09017435709495</c:v>
                </c:pt>
                <c:pt idx="54">
                  <c:v>175.95865885416666</c:v>
                </c:pt>
                <c:pt idx="55">
                  <c:v>227.75758361816398</c:v>
                </c:pt>
                <c:pt idx="56">
                  <c:v>589.15962727864633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F-4C1A-A078-C0B8DB4F2D3C}"/>
            </c:ext>
          </c:extLst>
        </c:ser>
        <c:ser>
          <c:idx val="0"/>
          <c:order val="4"/>
          <c:tx>
            <c:strRef>
              <c:f>Quant!$Y$1</c:f>
              <c:strCache>
                <c:ptCount val="1"/>
                <c:pt idx="0">
                  <c:v>10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tint val="54000"/>
                </a:schemeClr>
              </a:solidFill>
              <a:ln w="9525">
                <a:solidFill>
                  <a:schemeClr val="dk1"/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Quant!$Y$2:$Y$58</c:f>
              <c:numCache>
                <c:formatCode>General</c:formatCode>
                <c:ptCount val="57"/>
                <c:pt idx="0">
                  <c:v>373061.06901041669</c:v>
                </c:pt>
                <c:pt idx="1">
                  <c:v>234573.29524739634</c:v>
                </c:pt>
                <c:pt idx="2">
                  <c:v>60792.614542643241</c:v>
                </c:pt>
                <c:pt idx="3">
                  <c:v>89853.6220703125</c:v>
                </c:pt>
                <c:pt idx="4">
                  <c:v>90095.441243489564</c:v>
                </c:pt>
                <c:pt idx="5">
                  <c:v>50842.774414062536</c:v>
                </c:pt>
                <c:pt idx="6">
                  <c:v>69008.123331705763</c:v>
                </c:pt>
                <c:pt idx="7">
                  <c:v>43216.484069824197</c:v>
                </c:pt>
                <c:pt idx="8">
                  <c:v>45376.862752278663</c:v>
                </c:pt>
                <c:pt idx="9">
                  <c:v>15616.547505696601</c:v>
                </c:pt>
                <c:pt idx="10">
                  <c:v>19966.658955891966</c:v>
                </c:pt>
                <c:pt idx="11">
                  <c:v>14840.545552571633</c:v>
                </c:pt>
                <c:pt idx="12">
                  <c:v>19649.202392578165</c:v>
                </c:pt>
                <c:pt idx="13">
                  <c:v>3524.1648152669263</c:v>
                </c:pt>
                <c:pt idx="14">
                  <c:v>6790.1951599121094</c:v>
                </c:pt>
                <c:pt idx="15">
                  <c:v>9707.4095153808485</c:v>
                </c:pt>
                <c:pt idx="16">
                  <c:v>9405.1172688802199</c:v>
                </c:pt>
                <c:pt idx="17">
                  <c:v>5175.1345011393241</c:v>
                </c:pt>
                <c:pt idx="18">
                  <c:v>2108.6962280273469</c:v>
                </c:pt>
                <c:pt idx="19">
                  <c:v>9417.5027465820258</c:v>
                </c:pt>
                <c:pt idx="20">
                  <c:v>2293.5726725260397</c:v>
                </c:pt>
                <c:pt idx="21">
                  <c:v>848.16481526692633</c:v>
                </c:pt>
                <c:pt idx="22">
                  <c:v>6511.4956156412736</c:v>
                </c:pt>
                <c:pt idx="23">
                  <c:v>791.15867106119674</c:v>
                </c:pt>
                <c:pt idx="24">
                  <c:v>6982.0374959309838</c:v>
                </c:pt>
                <c:pt idx="25">
                  <c:v>310.22584025065134</c:v>
                </c:pt>
                <c:pt idx="26">
                  <c:v>550.95234171549373</c:v>
                </c:pt>
                <c:pt idx="27">
                  <c:v>2229.6617838541665</c:v>
                </c:pt>
                <c:pt idx="28">
                  <c:v>1214.1301371256511</c:v>
                </c:pt>
                <c:pt idx="29">
                  <c:v>781.13419596354333</c:v>
                </c:pt>
                <c:pt idx="30">
                  <c:v>10355.882731119789</c:v>
                </c:pt>
                <c:pt idx="31">
                  <c:v>1049.7213134765636</c:v>
                </c:pt>
                <c:pt idx="32">
                  <c:v>3092.2714233398438</c:v>
                </c:pt>
                <c:pt idx="33">
                  <c:v>507.32428995768333</c:v>
                </c:pt>
                <c:pt idx="34">
                  <c:v>377.83454386393231</c:v>
                </c:pt>
                <c:pt idx="35">
                  <c:v>3548.8943888346366</c:v>
                </c:pt>
                <c:pt idx="36">
                  <c:v>13457.664342244496</c:v>
                </c:pt>
                <c:pt idx="37">
                  <c:v>1413.7372436523435</c:v>
                </c:pt>
                <c:pt idx="38">
                  <c:v>10251.005818684906</c:v>
                </c:pt>
                <c:pt idx="39">
                  <c:v>12805.175425211602</c:v>
                </c:pt>
                <c:pt idx="40">
                  <c:v>418.94844563802002</c:v>
                </c:pt>
                <c:pt idx="41">
                  <c:v>741.22546386718795</c:v>
                </c:pt>
                <c:pt idx="42">
                  <c:v>219.95011393229166</c:v>
                </c:pt>
                <c:pt idx="43">
                  <c:v>164.25228881835935</c:v>
                </c:pt>
                <c:pt idx="44">
                  <c:v>974.20882161458667</c:v>
                </c:pt>
                <c:pt idx="45">
                  <c:v>1286.3694152832049</c:v>
                </c:pt>
                <c:pt idx="46">
                  <c:v>1236.2438252766935</c:v>
                </c:pt>
                <c:pt idx="47">
                  <c:v>0</c:v>
                </c:pt>
                <c:pt idx="48">
                  <c:v>3248.3307495117201</c:v>
                </c:pt>
                <c:pt idx="49">
                  <c:v>541.89635213216161</c:v>
                </c:pt>
                <c:pt idx="50">
                  <c:v>542.11507161458496</c:v>
                </c:pt>
                <c:pt idx="51">
                  <c:v>2556.0145161946634</c:v>
                </c:pt>
                <c:pt idx="52">
                  <c:v>1954.1323649088536</c:v>
                </c:pt>
                <c:pt idx="53">
                  <c:v>1138.3158671061217</c:v>
                </c:pt>
                <c:pt idx="54">
                  <c:v>387.82194010416669</c:v>
                </c:pt>
                <c:pt idx="55">
                  <c:v>199.24485270182299</c:v>
                </c:pt>
                <c:pt idx="56">
                  <c:v>409.84733072916669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F-4C1A-A078-C0B8DB4F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37552"/>
        <c:axId val="190240048"/>
      </c:scatterChart>
      <c:valAx>
        <c:axId val="19023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240048"/>
        <c:crosses val="autoZero"/>
        <c:crossBetween val="midCat"/>
      </c:valAx>
      <c:valAx>
        <c:axId val="190240048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23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9359142607174"/>
          <c:y val="0.8525667104111988"/>
          <c:w val="0.8532392825896763"/>
          <c:h val="6.8729585885097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Greater sample loading improves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Quant!$AC$120</c:f>
              <c:strCache>
                <c:ptCount val="1"/>
                <c:pt idx="0">
                  <c:v>&lt;20% CV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Quant!$AD$119:$AH$119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cat>
          <c:val>
            <c:numRef>
              <c:f>Quant!$AD$120:$AH$120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29</c:v>
                </c:pt>
                <c:pt idx="3">
                  <c:v>34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F-4DA9-857D-28F1436487EA}"/>
            </c:ext>
          </c:extLst>
        </c:ser>
        <c:ser>
          <c:idx val="1"/>
          <c:order val="1"/>
          <c:tx>
            <c:strRef>
              <c:f>Quant!$AC$121</c:f>
              <c:strCache>
                <c:ptCount val="1"/>
                <c:pt idx="0">
                  <c:v>&gt;=20% CV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Quant!$AD$119:$AH$119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cat>
          <c:val>
            <c:numRef>
              <c:f>Quant!$AD$121:$AH$121</c:f>
              <c:numCache>
                <c:formatCode>General</c:formatCode>
                <c:ptCount val="5"/>
                <c:pt idx="0">
                  <c:v>37</c:v>
                </c:pt>
                <c:pt idx="1">
                  <c:v>38</c:v>
                </c:pt>
                <c:pt idx="2">
                  <c:v>28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F-4DA9-857D-28F143648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321135"/>
        <c:axId val="1416344847"/>
      </c:barChart>
      <c:catAx>
        <c:axId val="141632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44847"/>
        <c:crosses val="autoZero"/>
        <c:auto val="1"/>
        <c:lblAlgn val="ctr"/>
        <c:lblOffset val="100"/>
        <c:noMultiLvlLbl val="0"/>
      </c:catAx>
      <c:valAx>
        <c:axId val="1416344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Glycan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2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61875193474545"/>
          <c:y val="7.6388888888888895E-2"/>
          <c:w val="0.54411136859498532"/>
          <c:h val="0.72012303149606294"/>
        </c:manualLayout>
      </c:layout>
      <c:scatterChart>
        <c:scatterStyle val="lineMarker"/>
        <c:varyColors val="0"/>
        <c:ser>
          <c:idx val="4"/>
          <c:order val="0"/>
          <c:tx>
            <c:strRef>
              <c:f>Quant!$AC$1</c:f>
              <c:strCache>
                <c:ptCount val="1"/>
                <c:pt idx="0">
                  <c:v>200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65000"/>
                  <a:lumOff val="35000"/>
                  <a:alpha val="50000"/>
                </a:schemeClr>
              </a:solidFill>
              <a:ln w="3175">
                <a:solidFill>
                  <a:schemeClr val="bg1">
                    <a:lumMod val="50000"/>
                    <a:alpha val="50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Quant!$AC$2:$AC$58</c:f>
              <c:numCache>
                <c:formatCode>General</c:formatCode>
                <c:ptCount val="57"/>
                <c:pt idx="0">
                  <c:v>5705482.244791667</c:v>
                </c:pt>
                <c:pt idx="1">
                  <c:v>3764828.15625</c:v>
                </c:pt>
                <c:pt idx="2">
                  <c:v>1288603.1640625</c:v>
                </c:pt>
                <c:pt idx="3">
                  <c:v>1223198.0598958333</c:v>
                </c:pt>
                <c:pt idx="4">
                  <c:v>1309470.9518229167</c:v>
                </c:pt>
                <c:pt idx="5">
                  <c:v>1071543.3255208333</c:v>
                </c:pt>
                <c:pt idx="6">
                  <c:v>925990.734375</c:v>
                </c:pt>
                <c:pt idx="7">
                  <c:v>876133.93880208337</c:v>
                </c:pt>
                <c:pt idx="8">
                  <c:v>796931.31380208337</c:v>
                </c:pt>
                <c:pt idx="9">
                  <c:v>584342.02018229163</c:v>
                </c:pt>
                <c:pt idx="10">
                  <c:v>597522.68684895837</c:v>
                </c:pt>
                <c:pt idx="11">
                  <c:v>475412.24348958331</c:v>
                </c:pt>
                <c:pt idx="12">
                  <c:v>408112.1129557293</c:v>
                </c:pt>
                <c:pt idx="13">
                  <c:v>365855.82552083331</c:v>
                </c:pt>
                <c:pt idx="14">
                  <c:v>299974.80110677099</c:v>
                </c:pt>
                <c:pt idx="15">
                  <c:v>293697.61328125</c:v>
                </c:pt>
                <c:pt idx="16">
                  <c:v>224684.48014322933</c:v>
                </c:pt>
                <c:pt idx="17">
                  <c:v>209839.49055989599</c:v>
                </c:pt>
                <c:pt idx="18">
                  <c:v>200059.30159505233</c:v>
                </c:pt>
                <c:pt idx="19">
                  <c:v>202296.58496093765</c:v>
                </c:pt>
                <c:pt idx="20">
                  <c:v>192833.16182454443</c:v>
                </c:pt>
                <c:pt idx="21">
                  <c:v>190021.04280599</c:v>
                </c:pt>
                <c:pt idx="22">
                  <c:v>181971.357421875</c:v>
                </c:pt>
                <c:pt idx="23">
                  <c:v>181653.81892903647</c:v>
                </c:pt>
                <c:pt idx="24">
                  <c:v>175789.25858561214</c:v>
                </c:pt>
                <c:pt idx="25">
                  <c:v>159360.17553710929</c:v>
                </c:pt>
                <c:pt idx="26">
                  <c:v>169703.62736002621</c:v>
                </c:pt>
                <c:pt idx="27">
                  <c:v>161831.53141276052</c:v>
                </c:pt>
                <c:pt idx="28">
                  <c:v>147527.79077148446</c:v>
                </c:pt>
                <c:pt idx="29">
                  <c:v>147409.52669270834</c:v>
                </c:pt>
                <c:pt idx="30">
                  <c:v>136282.98673502629</c:v>
                </c:pt>
                <c:pt idx="31">
                  <c:v>126797.1353556316</c:v>
                </c:pt>
                <c:pt idx="32">
                  <c:v>121437.55875651044</c:v>
                </c:pt>
                <c:pt idx="33">
                  <c:v>118214.7422281902</c:v>
                </c:pt>
                <c:pt idx="34">
                  <c:v>116108.68920898443</c:v>
                </c:pt>
                <c:pt idx="35">
                  <c:v>117259.53963216145</c:v>
                </c:pt>
                <c:pt idx="36">
                  <c:v>106117.9365234375</c:v>
                </c:pt>
                <c:pt idx="37">
                  <c:v>98968.218750000044</c:v>
                </c:pt>
                <c:pt idx="38">
                  <c:v>86108.566609700458</c:v>
                </c:pt>
                <c:pt idx="39">
                  <c:v>82339.098897298172</c:v>
                </c:pt>
                <c:pt idx="40">
                  <c:v>81185.651713053332</c:v>
                </c:pt>
                <c:pt idx="41">
                  <c:v>70923.341166178361</c:v>
                </c:pt>
                <c:pt idx="42">
                  <c:v>75935.712809244738</c:v>
                </c:pt>
                <c:pt idx="43">
                  <c:v>57390.192993164063</c:v>
                </c:pt>
                <c:pt idx="44">
                  <c:v>67023.630147298332</c:v>
                </c:pt>
                <c:pt idx="45">
                  <c:v>63427.631673177268</c:v>
                </c:pt>
                <c:pt idx="46">
                  <c:v>70995.24340820314</c:v>
                </c:pt>
                <c:pt idx="47">
                  <c:v>65630.565938313739</c:v>
                </c:pt>
                <c:pt idx="48">
                  <c:v>50100.02988688153</c:v>
                </c:pt>
                <c:pt idx="49">
                  <c:v>55836.177978515632</c:v>
                </c:pt>
                <c:pt idx="50">
                  <c:v>44343.013651529967</c:v>
                </c:pt>
                <c:pt idx="51">
                  <c:v>38467.291503906301</c:v>
                </c:pt>
                <c:pt idx="52">
                  <c:v>37977.895365397133</c:v>
                </c:pt>
                <c:pt idx="53">
                  <c:v>37092.52695719403</c:v>
                </c:pt>
                <c:pt idx="54">
                  <c:v>32625.321024576831</c:v>
                </c:pt>
                <c:pt idx="55">
                  <c:v>25699.306193033859</c:v>
                </c:pt>
                <c:pt idx="56">
                  <c:v>14775.719573974629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0-42AA-ABBD-43C8BCD13D03}"/>
            </c:ext>
          </c:extLst>
        </c:ser>
        <c:ser>
          <c:idx val="3"/>
          <c:order val="1"/>
          <c:tx>
            <c:strRef>
              <c:f>Quant!$AB$1</c:f>
              <c:strCache>
                <c:ptCount val="1"/>
                <c:pt idx="0">
                  <c:v>100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3175">
                <a:solidFill>
                  <a:schemeClr val="bg1">
                    <a:lumMod val="50000"/>
                    <a:alpha val="50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Quant!$AB$2:$AB$58</c:f>
              <c:numCache>
                <c:formatCode>General</c:formatCode>
                <c:ptCount val="57"/>
                <c:pt idx="0">
                  <c:v>3032904.640625</c:v>
                </c:pt>
                <c:pt idx="1">
                  <c:v>1972356.2994791667</c:v>
                </c:pt>
                <c:pt idx="2">
                  <c:v>720053.435546875</c:v>
                </c:pt>
                <c:pt idx="3">
                  <c:v>693329.15364583337</c:v>
                </c:pt>
                <c:pt idx="4">
                  <c:v>695387.61328125</c:v>
                </c:pt>
                <c:pt idx="5">
                  <c:v>558863.05729166663</c:v>
                </c:pt>
                <c:pt idx="6">
                  <c:v>494370.83333333331</c:v>
                </c:pt>
                <c:pt idx="7">
                  <c:v>447730.92838541669</c:v>
                </c:pt>
                <c:pt idx="8">
                  <c:v>433541.54947916669</c:v>
                </c:pt>
                <c:pt idx="9">
                  <c:v>319552.96549479198</c:v>
                </c:pt>
                <c:pt idx="10">
                  <c:v>307347.107828776</c:v>
                </c:pt>
                <c:pt idx="11">
                  <c:v>240336.36621093765</c:v>
                </c:pt>
                <c:pt idx="12">
                  <c:v>213295.49186197933</c:v>
                </c:pt>
                <c:pt idx="13">
                  <c:v>185233.59857177734</c:v>
                </c:pt>
                <c:pt idx="14">
                  <c:v>154581.28434244811</c:v>
                </c:pt>
                <c:pt idx="15">
                  <c:v>151806.56445312515</c:v>
                </c:pt>
                <c:pt idx="16">
                  <c:v>110738.2478434245</c:v>
                </c:pt>
                <c:pt idx="17">
                  <c:v>108217.35091145849</c:v>
                </c:pt>
                <c:pt idx="18">
                  <c:v>105154.79650878918</c:v>
                </c:pt>
                <c:pt idx="19">
                  <c:v>106821.91446940119</c:v>
                </c:pt>
                <c:pt idx="20">
                  <c:v>98337.053263346388</c:v>
                </c:pt>
                <c:pt idx="21">
                  <c:v>97950.229654947761</c:v>
                </c:pt>
                <c:pt idx="22">
                  <c:v>96005.489278157722</c:v>
                </c:pt>
                <c:pt idx="23">
                  <c:v>84074.685892741065</c:v>
                </c:pt>
                <c:pt idx="24">
                  <c:v>91172.048716227306</c:v>
                </c:pt>
                <c:pt idx="25">
                  <c:v>89486.171325683521</c:v>
                </c:pt>
                <c:pt idx="26">
                  <c:v>83523.211201985672</c:v>
                </c:pt>
                <c:pt idx="27">
                  <c:v>75806.323791503804</c:v>
                </c:pt>
                <c:pt idx="28">
                  <c:v>68889.946197509867</c:v>
                </c:pt>
                <c:pt idx="29">
                  <c:v>64197.935882568367</c:v>
                </c:pt>
                <c:pt idx="30">
                  <c:v>74754.801391601563</c:v>
                </c:pt>
                <c:pt idx="31">
                  <c:v>55154.095581054571</c:v>
                </c:pt>
                <c:pt idx="32">
                  <c:v>56864.403076171868</c:v>
                </c:pt>
                <c:pt idx="33">
                  <c:v>56183.787618001465</c:v>
                </c:pt>
                <c:pt idx="34">
                  <c:v>45017.938028971366</c:v>
                </c:pt>
                <c:pt idx="35">
                  <c:v>53896.485636393227</c:v>
                </c:pt>
                <c:pt idx="36">
                  <c:v>45164.74910481774</c:v>
                </c:pt>
                <c:pt idx="37">
                  <c:v>50333.531412760436</c:v>
                </c:pt>
                <c:pt idx="38">
                  <c:v>50496.517985026032</c:v>
                </c:pt>
                <c:pt idx="39">
                  <c:v>50640.069803873695</c:v>
                </c:pt>
                <c:pt idx="40">
                  <c:v>31336.126749674469</c:v>
                </c:pt>
                <c:pt idx="41">
                  <c:v>28702.109822591152</c:v>
                </c:pt>
                <c:pt idx="42">
                  <c:v>28926.9035644531</c:v>
                </c:pt>
                <c:pt idx="43">
                  <c:v>28112.913269042998</c:v>
                </c:pt>
                <c:pt idx="44">
                  <c:v>23214.154907226581</c:v>
                </c:pt>
                <c:pt idx="45">
                  <c:v>27931.271911621112</c:v>
                </c:pt>
                <c:pt idx="46">
                  <c:v>30212.953715006501</c:v>
                </c:pt>
                <c:pt idx="47">
                  <c:v>24248.660013834637</c:v>
                </c:pt>
                <c:pt idx="48">
                  <c:v>18094.594151814774</c:v>
                </c:pt>
                <c:pt idx="49">
                  <c:v>21130.5925801595</c:v>
                </c:pt>
                <c:pt idx="50">
                  <c:v>16375.201131184867</c:v>
                </c:pt>
                <c:pt idx="51">
                  <c:v>19031.840332031268</c:v>
                </c:pt>
                <c:pt idx="52">
                  <c:v>12806.91753133137</c:v>
                </c:pt>
                <c:pt idx="53">
                  <c:v>13709.411946614566</c:v>
                </c:pt>
                <c:pt idx="54">
                  <c:v>10383.172159830739</c:v>
                </c:pt>
                <c:pt idx="55">
                  <c:v>6560.2782999674428</c:v>
                </c:pt>
                <c:pt idx="56">
                  <c:v>4355.5727742513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20-42AA-ABBD-43C8BCD13D03}"/>
            </c:ext>
          </c:extLst>
        </c:ser>
        <c:ser>
          <c:idx val="2"/>
          <c:order val="2"/>
          <c:tx>
            <c:strRef>
              <c:f>Quant!$AA$1</c:f>
              <c:strCache>
                <c:ptCount val="1"/>
                <c:pt idx="0">
                  <c:v>50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C00000">
                  <a:alpha val="50000"/>
                </a:srgbClr>
              </a:solidFill>
              <a:ln w="3175">
                <a:solidFill>
                  <a:srgbClr val="C00000">
                    <a:alpha val="50000"/>
                  </a:srgb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Quant!$AA$2:$AA$58</c:f>
              <c:numCache>
                <c:formatCode>General</c:formatCode>
                <c:ptCount val="57"/>
                <c:pt idx="0">
                  <c:v>3006736.9453125</c:v>
                </c:pt>
                <c:pt idx="1">
                  <c:v>1912648.2994791667</c:v>
                </c:pt>
                <c:pt idx="2">
                  <c:v>690798.50325520837</c:v>
                </c:pt>
                <c:pt idx="3">
                  <c:v>737790.28645833337</c:v>
                </c:pt>
                <c:pt idx="4">
                  <c:v>680066.52734375</c:v>
                </c:pt>
                <c:pt idx="5">
                  <c:v>534674.134765625</c:v>
                </c:pt>
                <c:pt idx="6">
                  <c:v>555338.78385416663</c:v>
                </c:pt>
                <c:pt idx="7">
                  <c:v>429364.04036458331</c:v>
                </c:pt>
                <c:pt idx="8">
                  <c:v>418438.04622395831</c:v>
                </c:pt>
                <c:pt idx="9">
                  <c:v>293423.47045898438</c:v>
                </c:pt>
                <c:pt idx="10">
                  <c:v>301948.45121256536</c:v>
                </c:pt>
                <c:pt idx="11">
                  <c:v>234326.97184244791</c:v>
                </c:pt>
                <c:pt idx="12">
                  <c:v>207883.71402994826</c:v>
                </c:pt>
                <c:pt idx="13">
                  <c:v>191396.2659505211</c:v>
                </c:pt>
                <c:pt idx="14">
                  <c:v>148586.56494140628</c:v>
                </c:pt>
                <c:pt idx="15">
                  <c:v>148768.65209960938</c:v>
                </c:pt>
                <c:pt idx="16">
                  <c:v>104219.79309082055</c:v>
                </c:pt>
                <c:pt idx="17">
                  <c:v>113637.53151448583</c:v>
                </c:pt>
                <c:pt idx="18">
                  <c:v>97490.916829427166</c:v>
                </c:pt>
                <c:pt idx="19">
                  <c:v>95937.082438151192</c:v>
                </c:pt>
                <c:pt idx="20">
                  <c:v>87847.079467773612</c:v>
                </c:pt>
                <c:pt idx="21">
                  <c:v>88693.017089843765</c:v>
                </c:pt>
                <c:pt idx="22">
                  <c:v>94699.610636393365</c:v>
                </c:pt>
                <c:pt idx="23">
                  <c:v>71657.954243977743</c:v>
                </c:pt>
                <c:pt idx="24">
                  <c:v>83039.448730468706</c:v>
                </c:pt>
                <c:pt idx="25">
                  <c:v>70192.573669433536</c:v>
                </c:pt>
                <c:pt idx="26">
                  <c:v>70459.110076904297</c:v>
                </c:pt>
                <c:pt idx="27">
                  <c:v>72638.533020019706</c:v>
                </c:pt>
                <c:pt idx="28">
                  <c:v>64659.342905680496</c:v>
                </c:pt>
                <c:pt idx="29">
                  <c:v>58527.246500651054</c:v>
                </c:pt>
                <c:pt idx="30">
                  <c:v>69577.842936198096</c:v>
                </c:pt>
                <c:pt idx="31">
                  <c:v>51356.077626546241</c:v>
                </c:pt>
                <c:pt idx="32">
                  <c:v>60733.971801757965</c:v>
                </c:pt>
                <c:pt idx="33">
                  <c:v>45654.581105550118</c:v>
                </c:pt>
                <c:pt idx="34">
                  <c:v>44580.987579345696</c:v>
                </c:pt>
                <c:pt idx="35">
                  <c:v>52378.371663411497</c:v>
                </c:pt>
                <c:pt idx="36">
                  <c:v>46039.74267578125</c:v>
                </c:pt>
                <c:pt idx="37">
                  <c:v>53124.288574218772</c:v>
                </c:pt>
                <c:pt idx="38">
                  <c:v>49669.049397786468</c:v>
                </c:pt>
                <c:pt idx="39">
                  <c:v>40773.654754638701</c:v>
                </c:pt>
                <c:pt idx="40">
                  <c:v>32386.291463216159</c:v>
                </c:pt>
                <c:pt idx="41">
                  <c:v>29630.629130045567</c:v>
                </c:pt>
                <c:pt idx="42">
                  <c:v>25631.67169189452</c:v>
                </c:pt>
                <c:pt idx="43">
                  <c:v>25973.022216796893</c:v>
                </c:pt>
                <c:pt idx="44">
                  <c:v>24825.484456380233</c:v>
                </c:pt>
                <c:pt idx="45">
                  <c:v>20989.625651041697</c:v>
                </c:pt>
                <c:pt idx="46">
                  <c:v>25950.386413574222</c:v>
                </c:pt>
                <c:pt idx="47">
                  <c:v>15557.583943684911</c:v>
                </c:pt>
                <c:pt idx="48">
                  <c:v>17663.057983398434</c:v>
                </c:pt>
                <c:pt idx="49">
                  <c:v>20675.126393636066</c:v>
                </c:pt>
                <c:pt idx="50">
                  <c:v>13332.855763753252</c:v>
                </c:pt>
                <c:pt idx="51">
                  <c:v>13079.190917968765</c:v>
                </c:pt>
                <c:pt idx="52">
                  <c:v>11096.997711181632</c:v>
                </c:pt>
                <c:pt idx="53">
                  <c:v>12455.439534505227</c:v>
                </c:pt>
                <c:pt idx="54">
                  <c:v>7647.8220011393396</c:v>
                </c:pt>
                <c:pt idx="55">
                  <c:v>5909.4643554687364</c:v>
                </c:pt>
                <c:pt idx="56">
                  <c:v>6118.823527018234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20-42AA-ABBD-43C8BCD13D03}"/>
            </c:ext>
          </c:extLst>
        </c:ser>
        <c:ser>
          <c:idx val="1"/>
          <c:order val="3"/>
          <c:tx>
            <c:strRef>
              <c:f>Quant!$Z$1</c:f>
              <c:strCache>
                <c:ptCount val="1"/>
                <c:pt idx="0">
                  <c:v>25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65000"/>
                  <a:alpha val="50000"/>
                </a:schemeClr>
              </a:solidFill>
              <a:ln w="3175">
                <a:solidFill>
                  <a:schemeClr val="accent3">
                    <a:tint val="77000"/>
                    <a:alpha val="50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Quant!$Z$2:$Z$58</c:f>
              <c:numCache>
                <c:formatCode>General</c:formatCode>
                <c:ptCount val="57"/>
                <c:pt idx="0">
                  <c:v>572221.529296875</c:v>
                </c:pt>
                <c:pt idx="1">
                  <c:v>362722.484375</c:v>
                </c:pt>
                <c:pt idx="2">
                  <c:v>109561.38732910168</c:v>
                </c:pt>
                <c:pt idx="3">
                  <c:v>144475.56901041666</c:v>
                </c:pt>
                <c:pt idx="4">
                  <c:v>137575.25764973965</c:v>
                </c:pt>
                <c:pt idx="5">
                  <c:v>83935.004557291672</c:v>
                </c:pt>
                <c:pt idx="6">
                  <c:v>111001.03141276044</c:v>
                </c:pt>
                <c:pt idx="7">
                  <c:v>71092.320434570327</c:v>
                </c:pt>
                <c:pt idx="8">
                  <c:v>77026.390625000029</c:v>
                </c:pt>
                <c:pt idx="9">
                  <c:v>25876.97823079427</c:v>
                </c:pt>
                <c:pt idx="10">
                  <c:v>37351.564168294266</c:v>
                </c:pt>
                <c:pt idx="11">
                  <c:v>32744.098042805999</c:v>
                </c:pt>
                <c:pt idx="12">
                  <c:v>38150.079447428398</c:v>
                </c:pt>
                <c:pt idx="13">
                  <c:v>11338.73850504557</c:v>
                </c:pt>
                <c:pt idx="14">
                  <c:v>19846.666666666668</c:v>
                </c:pt>
                <c:pt idx="15">
                  <c:v>27659.972859700531</c:v>
                </c:pt>
                <c:pt idx="16">
                  <c:v>19228.092600504566</c:v>
                </c:pt>
                <c:pt idx="17">
                  <c:v>13174.282775878915</c:v>
                </c:pt>
                <c:pt idx="18">
                  <c:v>3799.8371582031264</c:v>
                </c:pt>
                <c:pt idx="19">
                  <c:v>15303.432108561201</c:v>
                </c:pt>
                <c:pt idx="20">
                  <c:v>5511.8243611653634</c:v>
                </c:pt>
                <c:pt idx="21">
                  <c:v>2370.9233805338567</c:v>
                </c:pt>
                <c:pt idx="22">
                  <c:v>18991.2020161947</c:v>
                </c:pt>
                <c:pt idx="23">
                  <c:v>1126.98935953776</c:v>
                </c:pt>
                <c:pt idx="24">
                  <c:v>16375.745981852202</c:v>
                </c:pt>
                <c:pt idx="25">
                  <c:v>1414.1899515787766</c:v>
                </c:pt>
                <c:pt idx="26">
                  <c:v>543.737009684246</c:v>
                </c:pt>
                <c:pt idx="27">
                  <c:v>4459.1994222005233</c:v>
                </c:pt>
                <c:pt idx="28">
                  <c:v>4058.3841552734361</c:v>
                </c:pt>
                <c:pt idx="29">
                  <c:v>1072.9617614746094</c:v>
                </c:pt>
                <c:pt idx="30">
                  <c:v>17324.999430338532</c:v>
                </c:pt>
                <c:pt idx="31">
                  <c:v>1439.589426676431</c:v>
                </c:pt>
                <c:pt idx="32">
                  <c:v>3635.23315429688</c:v>
                </c:pt>
                <c:pt idx="33">
                  <c:v>535.18566894531432</c:v>
                </c:pt>
                <c:pt idx="34">
                  <c:v>763.28173828124898</c:v>
                </c:pt>
                <c:pt idx="35">
                  <c:v>2325.0702006022166</c:v>
                </c:pt>
                <c:pt idx="36">
                  <c:v>4650.1260375976681</c:v>
                </c:pt>
                <c:pt idx="37">
                  <c:v>5191.1864929199228</c:v>
                </c:pt>
                <c:pt idx="38">
                  <c:v>17020.747365315769</c:v>
                </c:pt>
                <c:pt idx="39">
                  <c:v>13114.73366292317</c:v>
                </c:pt>
                <c:pt idx="40">
                  <c:v>743.1288452148433</c:v>
                </c:pt>
                <c:pt idx="41">
                  <c:v>842.12089029948004</c:v>
                </c:pt>
                <c:pt idx="42">
                  <c:v>970.10342407226506</c:v>
                </c:pt>
                <c:pt idx="43">
                  <c:v>636.62892659505201</c:v>
                </c:pt>
                <c:pt idx="44">
                  <c:v>1221.7244567871094</c:v>
                </c:pt>
                <c:pt idx="45">
                  <c:v>1876.479034423827</c:v>
                </c:pt>
                <c:pt idx="46">
                  <c:v>2731.2960917154965</c:v>
                </c:pt>
                <c:pt idx="47">
                  <c:v>488.06816609700667</c:v>
                </c:pt>
                <c:pt idx="48">
                  <c:v>3473.07301839193</c:v>
                </c:pt>
                <c:pt idx="49">
                  <c:v>1045.0726318359386</c:v>
                </c:pt>
                <c:pt idx="50">
                  <c:v>505.97876993814998</c:v>
                </c:pt>
                <c:pt idx="51">
                  <c:v>3146.8486124674505</c:v>
                </c:pt>
                <c:pt idx="52">
                  <c:v>1000.8487243652366</c:v>
                </c:pt>
                <c:pt idx="53">
                  <c:v>742.09017435709495</c:v>
                </c:pt>
                <c:pt idx="54">
                  <c:v>175.95865885416666</c:v>
                </c:pt>
                <c:pt idx="55">
                  <c:v>227.75758361816398</c:v>
                </c:pt>
                <c:pt idx="56">
                  <c:v>589.15962727864633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20-42AA-ABBD-43C8BCD13D03}"/>
            </c:ext>
          </c:extLst>
        </c:ser>
        <c:ser>
          <c:idx val="0"/>
          <c:order val="4"/>
          <c:tx>
            <c:strRef>
              <c:f>Quant!$Y$1</c:f>
              <c:strCache>
                <c:ptCount val="1"/>
                <c:pt idx="0">
                  <c:v>10 ug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tint val="54000"/>
                  <a:alpha val="50000"/>
                </a:schemeClr>
              </a:solidFill>
              <a:ln w="3175">
                <a:solidFill>
                  <a:schemeClr val="dk1">
                    <a:alpha val="50000"/>
                  </a:schemeClr>
                </a:solidFill>
              </a:ln>
              <a:effectLst/>
            </c:spPr>
          </c:marker>
          <c:xVal>
            <c:numRef>
              <c:f>Quant!$X$2:$X$58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Quant!$Y$2:$Y$58</c:f>
              <c:numCache>
                <c:formatCode>General</c:formatCode>
                <c:ptCount val="57"/>
                <c:pt idx="0">
                  <c:v>373061.06901041669</c:v>
                </c:pt>
                <c:pt idx="1">
                  <c:v>234573.29524739634</c:v>
                </c:pt>
                <c:pt idx="2">
                  <c:v>60792.614542643241</c:v>
                </c:pt>
                <c:pt idx="3">
                  <c:v>89853.6220703125</c:v>
                </c:pt>
                <c:pt idx="4">
                  <c:v>90095.441243489564</c:v>
                </c:pt>
                <c:pt idx="5">
                  <c:v>50842.774414062536</c:v>
                </c:pt>
                <c:pt idx="6">
                  <c:v>69008.123331705763</c:v>
                </c:pt>
                <c:pt idx="7">
                  <c:v>43216.484069824197</c:v>
                </c:pt>
                <c:pt idx="8">
                  <c:v>45376.862752278663</c:v>
                </c:pt>
                <c:pt idx="9">
                  <c:v>15616.547505696601</c:v>
                </c:pt>
                <c:pt idx="10">
                  <c:v>19966.658955891966</c:v>
                </c:pt>
                <c:pt idx="11">
                  <c:v>14840.545552571633</c:v>
                </c:pt>
                <c:pt idx="12">
                  <c:v>19649.202392578165</c:v>
                </c:pt>
                <c:pt idx="13">
                  <c:v>3524.1648152669263</c:v>
                </c:pt>
                <c:pt idx="14">
                  <c:v>6790.1951599121094</c:v>
                </c:pt>
                <c:pt idx="15">
                  <c:v>9707.4095153808485</c:v>
                </c:pt>
                <c:pt idx="16">
                  <c:v>9405.1172688802199</c:v>
                </c:pt>
                <c:pt idx="17">
                  <c:v>5175.1345011393241</c:v>
                </c:pt>
                <c:pt idx="18">
                  <c:v>2108.6962280273469</c:v>
                </c:pt>
                <c:pt idx="19">
                  <c:v>9417.5027465820258</c:v>
                </c:pt>
                <c:pt idx="20">
                  <c:v>2293.5726725260397</c:v>
                </c:pt>
                <c:pt idx="21">
                  <c:v>848.16481526692633</c:v>
                </c:pt>
                <c:pt idx="22">
                  <c:v>6511.4956156412736</c:v>
                </c:pt>
                <c:pt idx="23">
                  <c:v>791.15867106119674</c:v>
                </c:pt>
                <c:pt idx="24">
                  <c:v>6982.0374959309838</c:v>
                </c:pt>
                <c:pt idx="25">
                  <c:v>310.22584025065134</c:v>
                </c:pt>
                <c:pt idx="26">
                  <c:v>550.95234171549373</c:v>
                </c:pt>
                <c:pt idx="27">
                  <c:v>2229.6617838541665</c:v>
                </c:pt>
                <c:pt idx="28">
                  <c:v>1214.1301371256511</c:v>
                </c:pt>
                <c:pt idx="29">
                  <c:v>781.13419596354333</c:v>
                </c:pt>
                <c:pt idx="30">
                  <c:v>10355.882731119789</c:v>
                </c:pt>
                <c:pt idx="31">
                  <c:v>1049.7213134765636</c:v>
                </c:pt>
                <c:pt idx="32">
                  <c:v>3092.2714233398438</c:v>
                </c:pt>
                <c:pt idx="33">
                  <c:v>507.32428995768333</c:v>
                </c:pt>
                <c:pt idx="34">
                  <c:v>377.83454386393231</c:v>
                </c:pt>
                <c:pt idx="35">
                  <c:v>3548.8943888346366</c:v>
                </c:pt>
                <c:pt idx="36">
                  <c:v>13457.664342244496</c:v>
                </c:pt>
                <c:pt idx="37">
                  <c:v>1413.7372436523435</c:v>
                </c:pt>
                <c:pt idx="38">
                  <c:v>10251.005818684906</c:v>
                </c:pt>
                <c:pt idx="39">
                  <c:v>12805.175425211602</c:v>
                </c:pt>
                <c:pt idx="40">
                  <c:v>418.94844563802002</c:v>
                </c:pt>
                <c:pt idx="41">
                  <c:v>741.22546386718795</c:v>
                </c:pt>
                <c:pt idx="42">
                  <c:v>219.95011393229166</c:v>
                </c:pt>
                <c:pt idx="43">
                  <c:v>164.25228881835935</c:v>
                </c:pt>
                <c:pt idx="44">
                  <c:v>974.20882161458667</c:v>
                </c:pt>
                <c:pt idx="45">
                  <c:v>1286.3694152832049</c:v>
                </c:pt>
                <c:pt idx="46">
                  <c:v>1236.2438252766935</c:v>
                </c:pt>
                <c:pt idx="47">
                  <c:v>0</c:v>
                </c:pt>
                <c:pt idx="48">
                  <c:v>3248.3307495117201</c:v>
                </c:pt>
                <c:pt idx="49">
                  <c:v>541.89635213216161</c:v>
                </c:pt>
                <c:pt idx="50">
                  <c:v>542.11507161458496</c:v>
                </c:pt>
                <c:pt idx="51">
                  <c:v>2556.0145161946634</c:v>
                </c:pt>
                <c:pt idx="52">
                  <c:v>1954.1323649088536</c:v>
                </c:pt>
                <c:pt idx="53">
                  <c:v>1138.3158671061217</c:v>
                </c:pt>
                <c:pt idx="54">
                  <c:v>387.82194010416669</c:v>
                </c:pt>
                <c:pt idx="55">
                  <c:v>199.24485270182299</c:v>
                </c:pt>
                <c:pt idx="56">
                  <c:v>409.84733072916669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20-42AA-ABBD-43C8BCD1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37552"/>
        <c:axId val="190240048"/>
      </c:scatterChart>
      <c:valAx>
        <c:axId val="19023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240048"/>
        <c:crosses val="autoZero"/>
        <c:crossBetween val="midCat"/>
      </c:valAx>
      <c:valAx>
        <c:axId val="190240048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23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8651289908486"/>
          <c:y val="6.0795764951804866E-3"/>
          <c:w val="0.20713512698609263"/>
          <c:h val="0.50476549992235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317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Pt>
            <c:idx val="55"/>
            <c:marker>
              <c:symbol val="circle"/>
              <c:size val="5"/>
              <c:spPr>
                <a:solidFill>
                  <a:srgbClr val="C00000"/>
                </a:solidFill>
                <a:ln w="3175">
                  <a:solidFill>
                    <a:schemeClr val="bg1">
                      <a:lumMod val="6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8DE-4508-A234-D839F85A958A}"/>
              </c:ext>
            </c:extLst>
          </c:dPt>
          <c:dPt>
            <c:idx val="56"/>
            <c:marker>
              <c:symbol val="circle"/>
              <c:size val="5"/>
              <c:spPr>
                <a:solidFill>
                  <a:srgbClr val="C00000"/>
                </a:solidFill>
                <a:ln w="3175">
                  <a:solidFill>
                    <a:schemeClr val="bg1">
                      <a:lumMod val="6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8DE-4508-A234-D839F85A958A}"/>
              </c:ext>
            </c:extLst>
          </c:dPt>
          <c:yVal>
            <c:numRef>
              <c:f>Quant!$W$2:$W$58</c:f>
              <c:numCache>
                <c:formatCode>General</c:formatCode>
                <c:ptCount val="57"/>
                <c:pt idx="0">
                  <c:v>4088226.6749999998</c:v>
                </c:pt>
                <c:pt idx="1">
                  <c:v>2642189.5125000002</c:v>
                </c:pt>
                <c:pt idx="2">
                  <c:v>951960.8203125</c:v>
                </c:pt>
                <c:pt idx="3">
                  <c:v>944450.98281249998</c:v>
                </c:pt>
                <c:pt idx="4">
                  <c:v>917319.09453124995</c:v>
                </c:pt>
                <c:pt idx="5">
                  <c:v>757672.34375</c:v>
                </c:pt>
                <c:pt idx="6">
                  <c:v>680449.00078124995</c:v>
                </c:pt>
                <c:pt idx="7">
                  <c:v>616462.55546874995</c:v>
                </c:pt>
                <c:pt idx="8">
                  <c:v>598878.11484375002</c:v>
                </c:pt>
                <c:pt idx="9">
                  <c:v>434266.04062500002</c:v>
                </c:pt>
                <c:pt idx="10">
                  <c:v>430907.72343750001</c:v>
                </c:pt>
                <c:pt idx="11">
                  <c:v>338935.58710937499</c:v>
                </c:pt>
                <c:pt idx="12">
                  <c:v>281019.18789062538</c:v>
                </c:pt>
                <c:pt idx="13">
                  <c:v>266781.63320312521</c:v>
                </c:pt>
                <c:pt idx="14">
                  <c:v>212465.79375000019</c:v>
                </c:pt>
                <c:pt idx="15">
                  <c:v>205389.94785156258</c:v>
                </c:pt>
                <c:pt idx="16">
                  <c:v>154972.76699218759</c:v>
                </c:pt>
                <c:pt idx="17">
                  <c:v>150698.9464843754</c:v>
                </c:pt>
                <c:pt idx="18">
                  <c:v>144518.66743164061</c:v>
                </c:pt>
                <c:pt idx="19">
                  <c:v>140658.97475585921</c:v>
                </c:pt>
                <c:pt idx="20">
                  <c:v>137691.33403320302</c:v>
                </c:pt>
                <c:pt idx="21">
                  <c:v>136118.51116943362</c:v>
                </c:pt>
                <c:pt idx="22">
                  <c:v>129545.67070312519</c:v>
                </c:pt>
                <c:pt idx="23">
                  <c:v>126014.29067382838</c:v>
                </c:pt>
                <c:pt idx="24">
                  <c:v>122873.2182128906</c:v>
                </c:pt>
                <c:pt idx="25">
                  <c:v>119465.77929687504</c:v>
                </c:pt>
                <c:pt idx="26">
                  <c:v>118879.37128906281</c:v>
                </c:pt>
                <c:pt idx="27">
                  <c:v>111499.78542480487</c:v>
                </c:pt>
                <c:pt idx="28">
                  <c:v>108011.31162109357</c:v>
                </c:pt>
                <c:pt idx="29">
                  <c:v>104498.44687500029</c:v>
                </c:pt>
                <c:pt idx="30">
                  <c:v>99608.820410156273</c:v>
                </c:pt>
                <c:pt idx="31">
                  <c:v>92074.435778808693</c:v>
                </c:pt>
                <c:pt idx="32">
                  <c:v>86457.630566406282</c:v>
                </c:pt>
                <c:pt idx="33">
                  <c:v>85798.804235839838</c:v>
                </c:pt>
                <c:pt idx="34">
                  <c:v>77554.148059082043</c:v>
                </c:pt>
                <c:pt idx="35">
                  <c:v>76158.822460937547</c:v>
                </c:pt>
                <c:pt idx="36">
                  <c:v>71517.755273437506</c:v>
                </c:pt>
                <c:pt idx="37">
                  <c:v>70214.781933593753</c:v>
                </c:pt>
                <c:pt idx="38">
                  <c:v>61555.142602539076</c:v>
                </c:pt>
                <c:pt idx="39">
                  <c:v>55108.832055664083</c:v>
                </c:pt>
                <c:pt idx="40">
                  <c:v>54710.117187500022</c:v>
                </c:pt>
                <c:pt idx="41">
                  <c:v>49260.117272949225</c:v>
                </c:pt>
                <c:pt idx="42">
                  <c:v>48632.203393554679</c:v>
                </c:pt>
                <c:pt idx="43">
                  <c:v>47249.112597656262</c:v>
                </c:pt>
                <c:pt idx="44">
                  <c:v>46593.436596679698</c:v>
                </c:pt>
                <c:pt idx="45">
                  <c:v>42062.557128906286</c:v>
                </c:pt>
                <c:pt idx="46">
                  <c:v>40902.269628906281</c:v>
                </c:pt>
                <c:pt idx="47">
                  <c:v>38879.724914550796</c:v>
                </c:pt>
                <c:pt idx="48">
                  <c:v>36230.106823730479</c:v>
                </c:pt>
                <c:pt idx="49">
                  <c:v>32327.278613281262</c:v>
                </c:pt>
                <c:pt idx="50">
                  <c:v>26833.757751464836</c:v>
                </c:pt>
                <c:pt idx="51">
                  <c:v>23278.18393554688</c:v>
                </c:pt>
                <c:pt idx="52">
                  <c:v>22893.033276367198</c:v>
                </c:pt>
                <c:pt idx="53">
                  <c:v>21946.36329345706</c:v>
                </c:pt>
                <c:pt idx="54">
                  <c:v>21414.186053466783</c:v>
                </c:pt>
                <c:pt idx="55">
                  <c:v>12958.997149658206</c:v>
                </c:pt>
                <c:pt idx="56">
                  <c:v>5968.4330566406252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E-4508-A234-D839F85A9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509183"/>
        <c:axId val="1706509599"/>
      </c:scatterChart>
      <c:valAx>
        <c:axId val="170650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509599"/>
        <c:crosses val="autoZero"/>
        <c:crossBetween val="midCat"/>
      </c:valAx>
      <c:valAx>
        <c:axId val="1706509599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50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571937693265889"/>
          <c:y val="0.18055555555555555"/>
          <c:w val="0.67478449733954704"/>
          <c:h val="0.574289698162729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Quant!$AC$120</c:f>
              <c:strCache>
                <c:ptCount val="1"/>
                <c:pt idx="0">
                  <c:v>&lt;20% CV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Quant!$AD$119:$AH$119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cat>
          <c:val>
            <c:numRef>
              <c:f>Quant!$AD$120:$AH$120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29</c:v>
                </c:pt>
                <c:pt idx="3">
                  <c:v>34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B-470D-B43F-8DE37C9BD501}"/>
            </c:ext>
          </c:extLst>
        </c:ser>
        <c:ser>
          <c:idx val="1"/>
          <c:order val="1"/>
          <c:tx>
            <c:strRef>
              <c:f>Quant!$AC$121</c:f>
              <c:strCache>
                <c:ptCount val="1"/>
                <c:pt idx="0">
                  <c:v>&gt;=20% CV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Quant!$AD$119:$AH$119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cat>
          <c:val>
            <c:numRef>
              <c:f>Quant!$AD$121:$AH$121</c:f>
              <c:numCache>
                <c:formatCode>General</c:formatCode>
                <c:ptCount val="5"/>
                <c:pt idx="0">
                  <c:v>37</c:v>
                </c:pt>
                <c:pt idx="1">
                  <c:v>38</c:v>
                </c:pt>
                <c:pt idx="2">
                  <c:v>28</c:v>
                </c:pt>
                <c:pt idx="3">
                  <c:v>23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B-470D-B43F-8DE37C9BD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321135"/>
        <c:axId val="1416344847"/>
      </c:barChart>
      <c:catAx>
        <c:axId val="141632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ExpiCHO lysate protein (ug)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6344847"/>
        <c:crosses val="autoZero"/>
        <c:auto val="1"/>
        <c:lblAlgn val="ctr"/>
        <c:lblOffset val="100"/>
        <c:noMultiLvlLbl val="0"/>
      </c:catAx>
      <c:valAx>
        <c:axId val="1416344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632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22584925505509"/>
          <c:y val="7.4271680172857096E-2"/>
          <c:w val="0.66164888388326637"/>
          <c:h val="0.10309437882764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Quant!$W$1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Pt>
            <c:idx val="5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3C0-4BD3-AA06-DAF970BB5F6C}"/>
              </c:ext>
            </c:extLst>
          </c:dPt>
          <c:dPt>
            <c:idx val="56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3C0-4BD3-AA06-DAF970BB5F6C}"/>
              </c:ext>
            </c:extLst>
          </c:dPt>
          <c:xVal>
            <c:numRef>
              <c:f>Quant!$V$2:$V$58</c:f>
              <c:numCache>
                <c:formatCode>0%</c:formatCode>
                <c:ptCount val="57"/>
                <c:pt idx="0">
                  <c:v>6.8966591673135028E-2</c:v>
                </c:pt>
                <c:pt idx="1">
                  <c:v>6.8323752777980501E-2</c:v>
                </c:pt>
                <c:pt idx="2">
                  <c:v>6.6603449586567054E-2</c:v>
                </c:pt>
                <c:pt idx="3">
                  <c:v>7.2828714428515587E-2</c:v>
                </c:pt>
                <c:pt idx="4">
                  <c:v>7.648010278640692E-2</c:v>
                </c:pt>
                <c:pt idx="5">
                  <c:v>7.6345020958797152E-2</c:v>
                </c:pt>
                <c:pt idx="6">
                  <c:v>7.5303079804336273E-2</c:v>
                </c:pt>
                <c:pt idx="7">
                  <c:v>7.664795531638581E-2</c:v>
                </c:pt>
                <c:pt idx="8">
                  <c:v>7.6817743346015099E-2</c:v>
                </c:pt>
                <c:pt idx="9">
                  <c:v>8.325540204578602E-2</c:v>
                </c:pt>
                <c:pt idx="10">
                  <c:v>7.5996233633698063E-2</c:v>
                </c:pt>
                <c:pt idx="11">
                  <c:v>8.6995117121658194E-2</c:v>
                </c:pt>
                <c:pt idx="12">
                  <c:v>6.5660122891807046E-2</c:v>
                </c:pt>
                <c:pt idx="13">
                  <c:v>7.12297717981734E-2</c:v>
                </c:pt>
                <c:pt idx="14">
                  <c:v>5.7933671018807836E-2</c:v>
                </c:pt>
                <c:pt idx="15">
                  <c:v>7.8879520093638647E-2</c:v>
                </c:pt>
                <c:pt idx="16">
                  <c:v>7.2029913954171215E-2</c:v>
                </c:pt>
                <c:pt idx="17">
                  <c:v>8.522074605877715E-2</c:v>
                </c:pt>
                <c:pt idx="18">
                  <c:v>8.286095934492746E-2</c:v>
                </c:pt>
                <c:pt idx="19">
                  <c:v>8.3920610814170349E-2</c:v>
                </c:pt>
                <c:pt idx="20">
                  <c:v>7.8584298755409607E-2</c:v>
                </c:pt>
                <c:pt idx="21">
                  <c:v>7.5706474510820729E-2</c:v>
                </c:pt>
                <c:pt idx="22">
                  <c:v>7.3914984005765072E-2</c:v>
                </c:pt>
                <c:pt idx="23">
                  <c:v>7.6271529217337194E-2</c:v>
                </c:pt>
                <c:pt idx="24">
                  <c:v>6.8329632364280732E-2</c:v>
                </c:pt>
                <c:pt idx="25">
                  <c:v>0.1590524137114612</c:v>
                </c:pt>
                <c:pt idx="26">
                  <c:v>9.9097773244389592E-2</c:v>
                </c:pt>
                <c:pt idx="27">
                  <c:v>8.7633596614194745E-2</c:v>
                </c:pt>
                <c:pt idx="28">
                  <c:v>7.0341408945277448E-2</c:v>
                </c:pt>
                <c:pt idx="29">
                  <c:v>0.10376972849753027</c:v>
                </c:pt>
                <c:pt idx="30">
                  <c:v>7.8245925261065455E-2</c:v>
                </c:pt>
                <c:pt idx="31">
                  <c:v>0.10122986365459119</c:v>
                </c:pt>
                <c:pt idx="32">
                  <c:v>7.5419336758321479E-2</c:v>
                </c:pt>
                <c:pt idx="33">
                  <c:v>8.5138731558896633E-2</c:v>
                </c:pt>
                <c:pt idx="34">
                  <c:v>6.4863490066862511E-2</c:v>
                </c:pt>
                <c:pt idx="35">
                  <c:v>7.5382843389794604E-2</c:v>
                </c:pt>
                <c:pt idx="36">
                  <c:v>6.6394602432178512E-2</c:v>
                </c:pt>
                <c:pt idx="37">
                  <c:v>8.1646910110538526E-2</c:v>
                </c:pt>
                <c:pt idx="38">
                  <c:v>7.8789072559015655E-2</c:v>
                </c:pt>
                <c:pt idx="39">
                  <c:v>4.8811873043095512E-2</c:v>
                </c:pt>
                <c:pt idx="40">
                  <c:v>5.6404458490378236E-2</c:v>
                </c:pt>
                <c:pt idx="41">
                  <c:v>0.11231663658647734</c:v>
                </c:pt>
                <c:pt idx="42">
                  <c:v>0.11392473691968426</c:v>
                </c:pt>
                <c:pt idx="43">
                  <c:v>5.0630626867490973E-2</c:v>
                </c:pt>
                <c:pt idx="44">
                  <c:v>0.11091449995323155</c:v>
                </c:pt>
                <c:pt idx="45">
                  <c:v>4.4810298975174821E-2</c:v>
                </c:pt>
                <c:pt idx="46">
                  <c:v>8.4668955004656279E-2</c:v>
                </c:pt>
                <c:pt idx="47">
                  <c:v>4.7237197361665685E-2</c:v>
                </c:pt>
                <c:pt idx="48">
                  <c:v>0.14694428666299708</c:v>
                </c:pt>
                <c:pt idx="49">
                  <c:v>0.12795616974527577</c:v>
                </c:pt>
                <c:pt idx="50">
                  <c:v>0.11234325252509206</c:v>
                </c:pt>
                <c:pt idx="51">
                  <c:v>0.10000812146012773</c:v>
                </c:pt>
                <c:pt idx="52">
                  <c:v>0.17835787251562463</c:v>
                </c:pt>
                <c:pt idx="53">
                  <c:v>9.6915290188440889E-2</c:v>
                </c:pt>
                <c:pt idx="54">
                  <c:v>0.12987380673162632</c:v>
                </c:pt>
                <c:pt idx="55">
                  <c:v>0.25085765751705558</c:v>
                </c:pt>
                <c:pt idx="56">
                  <c:v>0.38573127485953157</c:v>
                </c:pt>
              </c:numCache>
            </c:numRef>
          </c:xVal>
          <c:yVal>
            <c:numRef>
              <c:f>Quant!$W$2:$W$58</c:f>
              <c:numCache>
                <c:formatCode>General</c:formatCode>
                <c:ptCount val="57"/>
                <c:pt idx="0">
                  <c:v>4088226.6749999998</c:v>
                </c:pt>
                <c:pt idx="1">
                  <c:v>2642189.5125000002</c:v>
                </c:pt>
                <c:pt idx="2">
                  <c:v>951960.8203125</c:v>
                </c:pt>
                <c:pt idx="3">
                  <c:v>944450.98281249998</c:v>
                </c:pt>
                <c:pt idx="4">
                  <c:v>917319.09453124995</c:v>
                </c:pt>
                <c:pt idx="5">
                  <c:v>757672.34375</c:v>
                </c:pt>
                <c:pt idx="6">
                  <c:v>680449.00078124995</c:v>
                </c:pt>
                <c:pt idx="7">
                  <c:v>616462.55546874995</c:v>
                </c:pt>
                <c:pt idx="8">
                  <c:v>598878.11484375002</c:v>
                </c:pt>
                <c:pt idx="9">
                  <c:v>434266.04062500002</c:v>
                </c:pt>
                <c:pt idx="10">
                  <c:v>430907.72343750001</c:v>
                </c:pt>
                <c:pt idx="11">
                  <c:v>338935.58710937499</c:v>
                </c:pt>
                <c:pt idx="12">
                  <c:v>281019.18789062538</c:v>
                </c:pt>
                <c:pt idx="13">
                  <c:v>266781.63320312521</c:v>
                </c:pt>
                <c:pt idx="14">
                  <c:v>212465.79375000019</c:v>
                </c:pt>
                <c:pt idx="15">
                  <c:v>205389.94785156258</c:v>
                </c:pt>
                <c:pt idx="16">
                  <c:v>154972.76699218759</c:v>
                </c:pt>
                <c:pt idx="17">
                  <c:v>150698.9464843754</c:v>
                </c:pt>
                <c:pt idx="18">
                  <c:v>144518.66743164061</c:v>
                </c:pt>
                <c:pt idx="19">
                  <c:v>140658.97475585921</c:v>
                </c:pt>
                <c:pt idx="20">
                  <c:v>137691.33403320302</c:v>
                </c:pt>
                <c:pt idx="21">
                  <c:v>136118.51116943362</c:v>
                </c:pt>
                <c:pt idx="22">
                  <c:v>129545.67070312519</c:v>
                </c:pt>
                <c:pt idx="23">
                  <c:v>126014.29067382838</c:v>
                </c:pt>
                <c:pt idx="24">
                  <c:v>122873.2182128906</c:v>
                </c:pt>
                <c:pt idx="25">
                  <c:v>119465.77929687504</c:v>
                </c:pt>
                <c:pt idx="26">
                  <c:v>118879.37128906281</c:v>
                </c:pt>
                <c:pt idx="27">
                  <c:v>111499.78542480487</c:v>
                </c:pt>
                <c:pt idx="28">
                  <c:v>108011.31162109357</c:v>
                </c:pt>
                <c:pt idx="29">
                  <c:v>104498.44687500029</c:v>
                </c:pt>
                <c:pt idx="30">
                  <c:v>99608.820410156273</c:v>
                </c:pt>
                <c:pt idx="31">
                  <c:v>92074.435778808693</c:v>
                </c:pt>
                <c:pt idx="32">
                  <c:v>86457.630566406282</c:v>
                </c:pt>
                <c:pt idx="33">
                  <c:v>85798.804235839838</c:v>
                </c:pt>
                <c:pt idx="34">
                  <c:v>77554.148059082043</c:v>
                </c:pt>
                <c:pt idx="35">
                  <c:v>76158.822460937547</c:v>
                </c:pt>
                <c:pt idx="36">
                  <c:v>71517.755273437506</c:v>
                </c:pt>
                <c:pt idx="37">
                  <c:v>70214.781933593753</c:v>
                </c:pt>
                <c:pt idx="38">
                  <c:v>61555.142602539076</c:v>
                </c:pt>
                <c:pt idx="39">
                  <c:v>55108.832055664083</c:v>
                </c:pt>
                <c:pt idx="40">
                  <c:v>54710.117187500022</c:v>
                </c:pt>
                <c:pt idx="41">
                  <c:v>49260.117272949225</c:v>
                </c:pt>
                <c:pt idx="42">
                  <c:v>48632.203393554679</c:v>
                </c:pt>
                <c:pt idx="43">
                  <c:v>47249.112597656262</c:v>
                </c:pt>
                <c:pt idx="44">
                  <c:v>46593.436596679698</c:v>
                </c:pt>
                <c:pt idx="45">
                  <c:v>42062.557128906286</c:v>
                </c:pt>
                <c:pt idx="46">
                  <c:v>40902.269628906281</c:v>
                </c:pt>
                <c:pt idx="47">
                  <c:v>38879.724914550796</c:v>
                </c:pt>
                <c:pt idx="48">
                  <c:v>36230.106823730479</c:v>
                </c:pt>
                <c:pt idx="49">
                  <c:v>32327.278613281262</c:v>
                </c:pt>
                <c:pt idx="50">
                  <c:v>26833.757751464836</c:v>
                </c:pt>
                <c:pt idx="51">
                  <c:v>23278.18393554688</c:v>
                </c:pt>
                <c:pt idx="52">
                  <c:v>22893.033276367198</c:v>
                </c:pt>
                <c:pt idx="53">
                  <c:v>21946.36329345706</c:v>
                </c:pt>
                <c:pt idx="54">
                  <c:v>21414.186053466783</c:v>
                </c:pt>
                <c:pt idx="55">
                  <c:v>12958.997149658206</c:v>
                </c:pt>
                <c:pt idx="56">
                  <c:v>5968.4330566406252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0-4BD3-AA06-DAF970BB5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079712"/>
        <c:axId val="659616624"/>
      </c:scatterChart>
      <c:valAx>
        <c:axId val="349079712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Co-efficient of 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59616624"/>
        <c:crosses val="autoZero"/>
        <c:crossBetween val="midCat"/>
        <c:majorUnit val="0.1"/>
      </c:valAx>
      <c:valAx>
        <c:axId val="659616624"/>
        <c:scaling>
          <c:logBase val="10"/>
          <c:orientation val="minMax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Glycan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E+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907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Raw peak area co-efficients of variation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Raw peak area co-efficients of variation</a:t>
          </a:r>
        </a:p>
      </cx:txPr>
    </cx:title>
    <cx:plotArea>
      <cx:plotAreaRegion>
        <cx:series layoutId="clusteredColumn" uniqueId="{4A893F72-F5A5-4D5D-B7CE-9241F771FAA1}">
          <cx:dataId val="0"/>
          <cx:layoutPr>
            <cx:binning intervalClosed="r" underflow="auto" overflow="0.21000000000000002">
              <cx:binSize val="0.010000000000000002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Glycan composition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Glycan composition 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Normalized peak area co-efficients of variation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Normalized peak area co-efficients of variation</a:t>
          </a:r>
        </a:p>
      </cx:txPr>
    </cx:title>
    <cx:plotArea>
      <cx:plotAreaRegion>
        <cx:series layoutId="clusteredColumn" uniqueId="{4A893F72-F5A5-4D5D-B7CE-9241F771FAA1}">
          <cx:dataId val="0"/>
          <cx:layoutPr>
            <cx:binning intervalClosed="r" overflow="0.21000000000000002">
              <cx:binSize val="0.010000000000000002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Glycan composition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Glycan composition 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2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566737</xdr:colOff>
      <xdr:row>25</xdr:row>
      <xdr:rowOff>187418</xdr:rowOff>
    </xdr:from>
    <xdr:to>
      <xdr:col>45</xdr:col>
      <xdr:colOff>261937</xdr:colOff>
      <xdr:row>40</xdr:row>
      <xdr:rowOff>73118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B9460A-8893-4B50-B218-A2D31D4B0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90487</xdr:colOff>
      <xdr:row>1</xdr:row>
      <xdr:rowOff>92168</xdr:rowOff>
    </xdr:from>
    <xdr:to>
      <xdr:col>45</xdr:col>
      <xdr:colOff>395287</xdr:colOff>
      <xdr:row>12</xdr:row>
      <xdr:rowOff>173131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E97DC3-16D2-49E9-BB35-C895F3AEC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37462" y="282668"/>
              <a:ext cx="4572000" cy="2176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4762</xdr:colOff>
      <xdr:row>13</xdr:row>
      <xdr:rowOff>120743</xdr:rowOff>
    </xdr:from>
    <xdr:to>
      <xdr:col>45</xdr:col>
      <xdr:colOff>309562</xdr:colOff>
      <xdr:row>25</xdr:row>
      <xdr:rowOff>11206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73A100E-198E-466D-B222-62EAE1CF0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51737" y="2597243"/>
              <a:ext cx="4572000" cy="2176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50</xdr:col>
      <xdr:colOff>208988</xdr:colOff>
      <xdr:row>19</xdr:row>
      <xdr:rowOff>7284</xdr:rowOff>
    </xdr:from>
    <xdr:to>
      <xdr:col>54</xdr:col>
      <xdr:colOff>509880</xdr:colOff>
      <xdr:row>33</xdr:row>
      <xdr:rowOff>100580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34CF21-5470-47C8-8D5D-59CF5599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257116</xdr:colOff>
      <xdr:row>40</xdr:row>
      <xdr:rowOff>64950</xdr:rowOff>
    </xdr:from>
    <xdr:to>
      <xdr:col>59</xdr:col>
      <xdr:colOff>415872</xdr:colOff>
      <xdr:row>54</xdr:row>
      <xdr:rowOff>141150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814057-BD75-49D3-8836-40671EF6C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39475</xdr:colOff>
      <xdr:row>32</xdr:row>
      <xdr:rowOff>50890</xdr:rowOff>
    </xdr:from>
    <xdr:to>
      <xdr:col>54</xdr:col>
      <xdr:colOff>18990</xdr:colOff>
      <xdr:row>41</xdr:row>
      <xdr:rowOff>178198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AC7F5-22A7-4AE6-97B4-AB61AB03E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599451</xdr:colOff>
      <xdr:row>44</xdr:row>
      <xdr:rowOff>174929</xdr:rowOff>
    </xdr:from>
    <xdr:to>
      <xdr:col>55</xdr:col>
      <xdr:colOff>0</xdr:colOff>
      <xdr:row>54</xdr:row>
      <xdr:rowOff>98729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5A6BE-339C-49D8-AC98-57380A646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81578</xdr:colOff>
      <xdr:row>31</xdr:row>
      <xdr:rowOff>187021</xdr:rowOff>
    </xdr:from>
    <xdr:to>
      <xdr:col>57</xdr:col>
      <xdr:colOff>268571</xdr:colOff>
      <xdr:row>42</xdr:row>
      <xdr:rowOff>167301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6ED6A3-FABA-40FA-A6A4-F74784A42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285262</xdr:colOff>
      <xdr:row>31</xdr:row>
      <xdr:rowOff>21483</xdr:rowOff>
    </xdr:from>
    <xdr:to>
      <xdr:col>61</xdr:col>
      <xdr:colOff>451184</xdr:colOff>
      <xdr:row>40</xdr:row>
      <xdr:rowOff>71941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0207B3-AD8A-49A6-FB93-B6BC351BD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2"/>
  <sheetViews>
    <sheetView tabSelected="1" zoomScale="133" zoomScaleNormal="85" workbookViewId="0"/>
  </sheetViews>
  <sheetFormatPr defaultRowHeight="15" x14ac:dyDescent="0.25"/>
  <cols>
    <col min="1" max="1" width="58.85546875" bestFit="1" customWidth="1"/>
    <col min="9" max="9" width="13.28515625" bestFit="1" customWidth="1"/>
    <col min="10" max="10" width="14.7109375" bestFit="1" customWidth="1"/>
    <col min="11" max="11" width="13.28515625" bestFit="1" customWidth="1"/>
    <col min="12" max="21" width="14.7109375" bestFit="1" customWidth="1"/>
    <col min="22" max="22" width="9.28515625" bestFit="1" customWidth="1"/>
    <col min="23" max="23" width="14.7109375" bestFit="1" customWidth="1"/>
    <col min="24" max="24" width="9.28515625" bestFit="1" customWidth="1"/>
    <col min="25" max="25" width="12" bestFit="1" customWidth="1"/>
    <col min="26" max="28" width="13.28515625" bestFit="1" customWidth="1"/>
    <col min="29" max="29" width="14.7109375" bestFit="1" customWidth="1"/>
    <col min="30" max="34" width="9.28515625" bestFit="1" customWidth="1"/>
  </cols>
  <sheetData>
    <row r="1" spans="1:29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75</v>
      </c>
      <c r="O1" t="s">
        <v>76</v>
      </c>
      <c r="P1" t="s">
        <v>77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78</v>
      </c>
      <c r="W1" t="s">
        <v>79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</row>
    <row r="2" spans="1:29" x14ac:dyDescent="0.25">
      <c r="A2" t="s">
        <v>20</v>
      </c>
      <c r="B2">
        <v>354724.482421875</v>
      </c>
      <c r="C2">
        <v>357554.138671875</v>
      </c>
      <c r="D2">
        <v>406904.5859375</v>
      </c>
      <c r="E2">
        <v>580701.7734375</v>
      </c>
      <c r="F2">
        <v>451699.779296875</v>
      </c>
      <c r="G2">
        <v>684263.03515625</v>
      </c>
      <c r="H2">
        <v>4311359.78125</v>
      </c>
      <c r="I2">
        <v>1412186.5234375</v>
      </c>
      <c r="J2">
        <v>3296664.53125</v>
      </c>
      <c r="K2">
        <v>2134469.9375</v>
      </c>
      <c r="L2">
        <v>4226757.84375</v>
      </c>
      <c r="M2">
        <v>2737486.140625</v>
      </c>
      <c r="N2">
        <v>3440548.078125</v>
      </c>
      <c r="O2">
        <v>8581786.8125</v>
      </c>
      <c r="P2">
        <v>5094111.84375</v>
      </c>
      <c r="Q2">
        <v>3791357.21875</v>
      </c>
      <c r="R2">
        <v>3714740.6875</v>
      </c>
      <c r="S2">
        <v>4409368.625</v>
      </c>
      <c r="T2">
        <v>4316459.71875</v>
      </c>
      <c r="U2">
        <v>4209207.125</v>
      </c>
      <c r="V2" s="1">
        <f t="shared" ref="V2:V33" si="0">_xlfn.STDEV.P(Q2:U2)/AVERAGE(Q2:U2)</f>
        <v>6.8966591673135028E-2</v>
      </c>
      <c r="W2">
        <f t="shared" ref="W2:W33" si="1">AVERAGE(Q2:U2)</f>
        <v>4088226.6749999998</v>
      </c>
      <c r="X2">
        <v>1</v>
      </c>
      <c r="Y2">
        <f t="shared" ref="Y2:Y33" si="2">AVERAGE(B2:D2)</f>
        <v>373061.06901041669</v>
      </c>
      <c r="Z2">
        <f t="shared" ref="Z2:Z33" si="3">AVERAGE(E2:G2)</f>
        <v>572221.529296875</v>
      </c>
      <c r="AA2">
        <f t="shared" ref="AA2:AA33" si="4">AVERAGE(H2:J2)</f>
        <v>3006736.9453125</v>
      </c>
      <c r="AB2">
        <f t="shared" ref="AB2:AB33" si="5">AVERAGE(K2:M2)</f>
        <v>3032904.640625</v>
      </c>
      <c r="AC2">
        <f t="shared" ref="AC2:AC33" si="6">AVERAGE(N2:P2)</f>
        <v>5705482.244791667</v>
      </c>
    </row>
    <row r="3" spans="1:29" x14ac:dyDescent="0.25">
      <c r="A3" t="s">
        <v>15</v>
      </c>
      <c r="B3">
        <v>216831.68457031299</v>
      </c>
      <c r="C3">
        <v>226936.98730468799</v>
      </c>
      <c r="D3">
        <v>259951.21386718799</v>
      </c>
      <c r="E3">
        <v>360429.37890625</v>
      </c>
      <c r="F3">
        <v>290518.1015625</v>
      </c>
      <c r="G3">
        <v>437219.97265625</v>
      </c>
      <c r="H3">
        <v>2709880</v>
      </c>
      <c r="I3">
        <v>889193.2890625</v>
      </c>
      <c r="J3">
        <v>2138871.609375</v>
      </c>
      <c r="K3">
        <v>1331187.140625</v>
      </c>
      <c r="L3">
        <v>2845574.953125</v>
      </c>
      <c r="M3">
        <v>1740306.8046875</v>
      </c>
      <c r="N3">
        <v>2155145.140625</v>
      </c>
      <c r="O3">
        <v>5922409.59375</v>
      </c>
      <c r="P3">
        <v>3216929.734375</v>
      </c>
      <c r="Q3">
        <v>2456471.421875</v>
      </c>
      <c r="R3">
        <v>2401456.890625</v>
      </c>
      <c r="S3">
        <v>2853264.84375</v>
      </c>
      <c r="T3">
        <v>2786996.21875</v>
      </c>
      <c r="U3">
        <v>2712758.1875</v>
      </c>
      <c r="V3" s="1">
        <f t="shared" si="0"/>
        <v>6.8323752777980501E-2</v>
      </c>
      <c r="W3">
        <f t="shared" si="1"/>
        <v>2642189.5125000002</v>
      </c>
      <c r="X3">
        <f>X2+1</f>
        <v>2</v>
      </c>
      <c r="Y3">
        <f t="shared" si="2"/>
        <v>234573.29524739634</v>
      </c>
      <c r="Z3">
        <f t="shared" si="3"/>
        <v>362722.484375</v>
      </c>
      <c r="AA3">
        <f t="shared" si="4"/>
        <v>1912648.2994791667</v>
      </c>
      <c r="AB3">
        <f t="shared" si="5"/>
        <v>1972356.2994791667</v>
      </c>
      <c r="AC3">
        <f t="shared" si="6"/>
        <v>3764828.15625</v>
      </c>
    </row>
    <row r="4" spans="1:29" x14ac:dyDescent="0.25">
      <c r="A4" t="s">
        <v>37</v>
      </c>
      <c r="B4">
        <v>64619.663330078103</v>
      </c>
      <c r="C4">
        <v>56160.849731445298</v>
      </c>
      <c r="D4">
        <v>61597.330566406301</v>
      </c>
      <c r="E4">
        <v>101542.456542969</v>
      </c>
      <c r="F4">
        <v>105133.05371093799</v>
      </c>
      <c r="G4">
        <v>122008.651733398</v>
      </c>
      <c r="H4">
        <v>953908.515625</v>
      </c>
      <c r="I4">
        <v>270079.908203125</v>
      </c>
      <c r="J4">
        <v>848407.0859375</v>
      </c>
      <c r="K4">
        <v>495651.689453125</v>
      </c>
      <c r="L4">
        <v>1057760.4296875</v>
      </c>
      <c r="M4">
        <v>606748.1875</v>
      </c>
      <c r="N4">
        <v>800148.78125</v>
      </c>
      <c r="O4">
        <v>2025030.9609375</v>
      </c>
      <c r="P4">
        <v>1040629.75</v>
      </c>
      <c r="Q4">
        <v>878532.03125</v>
      </c>
      <c r="R4">
        <v>873360.30859375</v>
      </c>
      <c r="S4">
        <v>1007606.34765625</v>
      </c>
      <c r="T4">
        <v>980289.5703125</v>
      </c>
      <c r="U4">
        <v>1020015.84375</v>
      </c>
      <c r="V4" s="1">
        <f t="shared" si="0"/>
        <v>6.6603449586567054E-2</v>
      </c>
      <c r="W4">
        <f t="shared" si="1"/>
        <v>951960.8203125</v>
      </c>
      <c r="X4">
        <f t="shared" ref="X4:X58" si="7">X3+1</f>
        <v>3</v>
      </c>
      <c r="Y4">
        <f t="shared" si="2"/>
        <v>60792.614542643241</v>
      </c>
      <c r="Z4">
        <f t="shared" si="3"/>
        <v>109561.38732910168</v>
      </c>
      <c r="AA4">
        <f t="shared" si="4"/>
        <v>690798.50325520837</v>
      </c>
      <c r="AB4">
        <f t="shared" si="5"/>
        <v>720053.435546875</v>
      </c>
      <c r="AC4">
        <f t="shared" si="6"/>
        <v>1288603.1640625</v>
      </c>
    </row>
    <row r="5" spans="1:29" x14ac:dyDescent="0.25">
      <c r="A5" t="s">
        <v>5</v>
      </c>
      <c r="B5">
        <v>90099.3203125</v>
      </c>
      <c r="C5">
        <v>79646.7333984375</v>
      </c>
      <c r="D5">
        <v>99814.8125</v>
      </c>
      <c r="E5">
        <v>138631.439453125</v>
      </c>
      <c r="F5">
        <v>120319.16015625</v>
      </c>
      <c r="G5">
        <v>174476.107421875</v>
      </c>
      <c r="H5">
        <v>1012277.578125</v>
      </c>
      <c r="I5">
        <v>337942.8125</v>
      </c>
      <c r="J5">
        <v>863150.46875</v>
      </c>
      <c r="K5">
        <v>499382.796875</v>
      </c>
      <c r="L5">
        <v>924540.078125</v>
      </c>
      <c r="M5">
        <v>656064.5859375</v>
      </c>
      <c r="N5">
        <v>786295.2890625</v>
      </c>
      <c r="O5">
        <v>1809087.15625</v>
      </c>
      <c r="P5">
        <v>1074211.734375</v>
      </c>
      <c r="Q5">
        <v>867028.0546875</v>
      </c>
      <c r="R5">
        <v>860634.515625</v>
      </c>
      <c r="S5">
        <v>1031106.15625</v>
      </c>
      <c r="T5">
        <v>968598.1875</v>
      </c>
      <c r="U5">
        <v>994888</v>
      </c>
      <c r="V5" s="1">
        <f t="shared" si="0"/>
        <v>7.2828714428515587E-2</v>
      </c>
      <c r="W5">
        <f t="shared" si="1"/>
        <v>944450.98281249998</v>
      </c>
      <c r="X5">
        <f t="shared" si="7"/>
        <v>4</v>
      </c>
      <c r="Y5">
        <f t="shared" si="2"/>
        <v>89853.6220703125</v>
      </c>
      <c r="Z5">
        <f t="shared" si="3"/>
        <v>144475.56901041666</v>
      </c>
      <c r="AA5">
        <f t="shared" si="4"/>
        <v>737790.28645833337</v>
      </c>
      <c r="AB5">
        <f t="shared" si="5"/>
        <v>693329.15364583337</v>
      </c>
      <c r="AC5">
        <f t="shared" si="6"/>
        <v>1223198.0598958333</v>
      </c>
    </row>
    <row r="6" spans="1:29" x14ac:dyDescent="0.25">
      <c r="A6" t="s">
        <v>8</v>
      </c>
      <c r="B6">
        <v>79078.160888671904</v>
      </c>
      <c r="C6">
        <v>82533.575683593794</v>
      </c>
      <c r="D6">
        <v>108674.58715820299</v>
      </c>
      <c r="E6">
        <v>139577.82666015599</v>
      </c>
      <c r="F6">
        <v>110332.212890625</v>
      </c>
      <c r="G6">
        <v>162815.73339843799</v>
      </c>
      <c r="H6">
        <v>947327.8671875</v>
      </c>
      <c r="I6">
        <v>330598.8203125</v>
      </c>
      <c r="J6">
        <v>762272.89453125</v>
      </c>
      <c r="K6">
        <v>468110.4296875</v>
      </c>
      <c r="L6">
        <v>988385.34375</v>
      </c>
      <c r="M6">
        <v>629667.06640625</v>
      </c>
      <c r="N6">
        <v>758006.94140625</v>
      </c>
      <c r="O6">
        <v>2033154.859375</v>
      </c>
      <c r="P6">
        <v>1137251.0546875</v>
      </c>
      <c r="Q6">
        <v>858963.3203125</v>
      </c>
      <c r="R6">
        <v>811757.6640625</v>
      </c>
      <c r="S6">
        <v>999091.671875</v>
      </c>
      <c r="T6">
        <v>957868.21484375</v>
      </c>
      <c r="U6">
        <v>958914.6015625</v>
      </c>
      <c r="V6" s="1">
        <f t="shared" si="0"/>
        <v>7.648010278640692E-2</v>
      </c>
      <c r="W6">
        <f t="shared" si="1"/>
        <v>917319.09453124995</v>
      </c>
      <c r="X6">
        <f t="shared" si="7"/>
        <v>5</v>
      </c>
      <c r="Y6">
        <f t="shared" si="2"/>
        <v>90095.441243489564</v>
      </c>
      <c r="Z6">
        <f t="shared" si="3"/>
        <v>137575.25764973965</v>
      </c>
      <c r="AA6">
        <f t="shared" si="4"/>
        <v>680066.52734375</v>
      </c>
      <c r="AB6">
        <f t="shared" si="5"/>
        <v>695387.61328125</v>
      </c>
      <c r="AC6">
        <f t="shared" si="6"/>
        <v>1309470.9518229167</v>
      </c>
    </row>
    <row r="7" spans="1:29" x14ac:dyDescent="0.25">
      <c r="A7" t="s">
        <v>30</v>
      </c>
      <c r="B7">
        <v>47917.760253906301</v>
      </c>
      <c r="C7">
        <v>48134.225097656301</v>
      </c>
      <c r="D7">
        <v>56476.337890625</v>
      </c>
      <c r="E7">
        <v>75138.838623046904</v>
      </c>
      <c r="F7">
        <v>75017.063720703096</v>
      </c>
      <c r="G7">
        <v>101649.111328125</v>
      </c>
      <c r="H7">
        <v>759773.8359375</v>
      </c>
      <c r="I7">
        <v>210888.376953125</v>
      </c>
      <c r="J7">
        <v>633360.19140625</v>
      </c>
      <c r="K7">
        <v>348647.72265625</v>
      </c>
      <c r="L7">
        <v>867045.7578125</v>
      </c>
      <c r="M7">
        <v>460895.69140625</v>
      </c>
      <c r="N7">
        <v>590900.2265625</v>
      </c>
      <c r="O7">
        <v>1788537.875</v>
      </c>
      <c r="P7">
        <v>835191.875</v>
      </c>
      <c r="Q7">
        <v>687665.6171875</v>
      </c>
      <c r="R7">
        <v>686614.6171875</v>
      </c>
      <c r="S7">
        <v>814239.453125</v>
      </c>
      <c r="T7">
        <v>797678.6328125</v>
      </c>
      <c r="U7">
        <v>802163.3984375</v>
      </c>
      <c r="V7" s="1">
        <f t="shared" si="0"/>
        <v>7.6345020958797152E-2</v>
      </c>
      <c r="W7">
        <f t="shared" si="1"/>
        <v>757672.34375</v>
      </c>
      <c r="X7">
        <f t="shared" si="7"/>
        <v>6</v>
      </c>
      <c r="Y7">
        <f t="shared" si="2"/>
        <v>50842.774414062536</v>
      </c>
      <c r="Z7">
        <f t="shared" si="3"/>
        <v>83935.004557291672</v>
      </c>
      <c r="AA7">
        <f t="shared" si="4"/>
        <v>534674.134765625</v>
      </c>
      <c r="AB7">
        <f t="shared" si="5"/>
        <v>558863.05729166663</v>
      </c>
      <c r="AC7">
        <f t="shared" si="6"/>
        <v>1071543.3255208333</v>
      </c>
    </row>
    <row r="8" spans="1:29" x14ac:dyDescent="0.25">
      <c r="A8" t="s">
        <v>29</v>
      </c>
      <c r="B8">
        <v>71394.723388671904</v>
      </c>
      <c r="C8">
        <v>63480.089477539099</v>
      </c>
      <c r="D8">
        <v>72149.557128906294</v>
      </c>
      <c r="E8">
        <v>112508.541015625</v>
      </c>
      <c r="F8">
        <v>93879.369628906294</v>
      </c>
      <c r="G8">
        <v>126615.18359375</v>
      </c>
      <c r="H8">
        <v>821882.3984375</v>
      </c>
      <c r="I8">
        <v>294150.81640625</v>
      </c>
      <c r="J8">
        <v>549983.13671875</v>
      </c>
      <c r="K8">
        <v>421766.515625</v>
      </c>
      <c r="L8">
        <v>490290.58203125</v>
      </c>
      <c r="M8">
        <v>571055.40234375</v>
      </c>
      <c r="N8">
        <v>709474.296875</v>
      </c>
      <c r="O8">
        <v>992635.671875</v>
      </c>
      <c r="P8">
        <v>1075862.234375</v>
      </c>
      <c r="Q8">
        <v>626691.359375</v>
      </c>
      <c r="R8">
        <v>614069.921875</v>
      </c>
      <c r="S8">
        <v>738759.1953125</v>
      </c>
      <c r="T8">
        <v>727490.421875</v>
      </c>
      <c r="U8">
        <v>695234.10546875</v>
      </c>
      <c r="V8" s="1">
        <f t="shared" si="0"/>
        <v>7.5303079804336273E-2</v>
      </c>
      <c r="W8">
        <f t="shared" si="1"/>
        <v>680449.00078124995</v>
      </c>
      <c r="X8">
        <f t="shared" si="7"/>
        <v>7</v>
      </c>
      <c r="Y8">
        <f t="shared" si="2"/>
        <v>69008.123331705763</v>
      </c>
      <c r="Z8">
        <f t="shared" si="3"/>
        <v>111001.03141276044</v>
      </c>
      <c r="AA8">
        <f t="shared" si="4"/>
        <v>555338.78385416663</v>
      </c>
      <c r="AB8">
        <f t="shared" si="5"/>
        <v>494370.83333333331</v>
      </c>
      <c r="AC8">
        <f t="shared" si="6"/>
        <v>925990.734375</v>
      </c>
    </row>
    <row r="9" spans="1:29" x14ac:dyDescent="0.25">
      <c r="A9" t="s">
        <v>16</v>
      </c>
      <c r="B9">
        <v>37389.6015625</v>
      </c>
      <c r="C9">
        <v>42220.325561523401</v>
      </c>
      <c r="D9">
        <v>50039.525085449197</v>
      </c>
      <c r="E9">
        <v>62052.210571289099</v>
      </c>
      <c r="F9">
        <v>60025.6328125</v>
      </c>
      <c r="G9">
        <v>91199.117919921904</v>
      </c>
      <c r="H9">
        <v>612235.62890625</v>
      </c>
      <c r="I9">
        <v>166091.205078125</v>
      </c>
      <c r="J9">
        <v>509765.287109375</v>
      </c>
      <c r="K9">
        <v>265514.607421875</v>
      </c>
      <c r="L9">
        <v>719468.33203125</v>
      </c>
      <c r="M9">
        <v>358209.845703125</v>
      </c>
      <c r="N9">
        <v>460772.921875</v>
      </c>
      <c r="O9">
        <v>1480528.75</v>
      </c>
      <c r="P9">
        <v>687100.14453125</v>
      </c>
      <c r="Q9">
        <v>561992.876953125</v>
      </c>
      <c r="R9">
        <v>556697.068359375</v>
      </c>
      <c r="S9">
        <v>666681.7109375</v>
      </c>
      <c r="T9">
        <v>653630.29296875</v>
      </c>
      <c r="U9">
        <v>643310.828125</v>
      </c>
      <c r="V9" s="1">
        <f t="shared" si="0"/>
        <v>7.664795531638581E-2</v>
      </c>
      <c r="W9">
        <f t="shared" si="1"/>
        <v>616462.55546874995</v>
      </c>
      <c r="X9">
        <f t="shared" si="7"/>
        <v>8</v>
      </c>
      <c r="Y9">
        <f t="shared" si="2"/>
        <v>43216.484069824197</v>
      </c>
      <c r="Z9">
        <f t="shared" si="3"/>
        <v>71092.320434570327</v>
      </c>
      <c r="AA9">
        <f t="shared" si="4"/>
        <v>429364.04036458331</v>
      </c>
      <c r="AB9">
        <f t="shared" si="5"/>
        <v>447730.92838541669</v>
      </c>
      <c r="AC9">
        <f t="shared" si="6"/>
        <v>876133.93880208337</v>
      </c>
    </row>
    <row r="10" spans="1:29" x14ac:dyDescent="0.25">
      <c r="A10" t="s">
        <v>3</v>
      </c>
      <c r="B10">
        <v>41687.919677734397</v>
      </c>
      <c r="C10">
        <v>40301.425415039099</v>
      </c>
      <c r="D10">
        <v>54141.2431640625</v>
      </c>
      <c r="E10">
        <v>72554.943847656294</v>
      </c>
      <c r="F10">
        <v>62927.253417968801</v>
      </c>
      <c r="G10">
        <v>95596.974609375</v>
      </c>
      <c r="H10">
        <v>570472.90625</v>
      </c>
      <c r="I10">
        <v>180205.896484375</v>
      </c>
      <c r="J10">
        <v>504635.3359375</v>
      </c>
      <c r="K10">
        <v>279247.03515625</v>
      </c>
      <c r="L10">
        <v>663249.7734375</v>
      </c>
      <c r="M10">
        <v>358127.83984375</v>
      </c>
      <c r="N10">
        <v>445004.93359375</v>
      </c>
      <c r="O10">
        <v>1322905.3125</v>
      </c>
      <c r="P10">
        <v>622883.6953125</v>
      </c>
      <c r="Q10">
        <v>545937.31640625</v>
      </c>
      <c r="R10">
        <v>542751.453125</v>
      </c>
      <c r="S10">
        <v>653657</v>
      </c>
      <c r="T10">
        <v>617225.4453125</v>
      </c>
      <c r="U10">
        <v>634819.359375</v>
      </c>
      <c r="V10" s="1">
        <f t="shared" si="0"/>
        <v>7.6817743346015099E-2</v>
      </c>
      <c r="W10">
        <f t="shared" si="1"/>
        <v>598878.11484375002</v>
      </c>
      <c r="X10">
        <f t="shared" si="7"/>
        <v>9</v>
      </c>
      <c r="Y10">
        <f t="shared" si="2"/>
        <v>45376.862752278663</v>
      </c>
      <c r="Z10">
        <f t="shared" si="3"/>
        <v>77026.390625000029</v>
      </c>
      <c r="AA10">
        <f t="shared" si="4"/>
        <v>418438.04622395831</v>
      </c>
      <c r="AB10">
        <f t="shared" si="5"/>
        <v>433541.54947916669</v>
      </c>
      <c r="AC10">
        <f t="shared" si="6"/>
        <v>796931.31380208337</v>
      </c>
    </row>
    <row r="11" spans="1:29" x14ac:dyDescent="0.25">
      <c r="A11" t="s">
        <v>49</v>
      </c>
      <c r="B11">
        <v>15614.7626342773</v>
      </c>
      <c r="C11">
        <v>15848.1681518555</v>
      </c>
      <c r="D11">
        <v>15386.711730957</v>
      </c>
      <c r="E11">
        <v>23373.479614257802</v>
      </c>
      <c r="F11">
        <v>15651.6706542969</v>
      </c>
      <c r="G11">
        <v>38605.784423828103</v>
      </c>
      <c r="H11">
        <v>415401.74609375</v>
      </c>
      <c r="I11">
        <v>91135.489501953096</v>
      </c>
      <c r="J11">
        <v>373733.17578125</v>
      </c>
      <c r="K11">
        <v>193451.31152343799</v>
      </c>
      <c r="L11">
        <v>541177.11328125</v>
      </c>
      <c r="M11">
        <v>224030.47167968799</v>
      </c>
      <c r="N11">
        <v>304433.650390625</v>
      </c>
      <c r="O11">
        <v>1038293.8203125</v>
      </c>
      <c r="P11">
        <v>410298.58984375</v>
      </c>
      <c r="Q11">
        <v>391317.14453125</v>
      </c>
      <c r="R11">
        <v>391438.18359375</v>
      </c>
      <c r="S11">
        <v>469963.369140625</v>
      </c>
      <c r="T11">
        <v>446483.677734375</v>
      </c>
      <c r="U11">
        <v>472127.828125</v>
      </c>
      <c r="V11" s="1">
        <f t="shared" si="0"/>
        <v>8.325540204578602E-2</v>
      </c>
      <c r="W11">
        <f t="shared" si="1"/>
        <v>434266.04062500002</v>
      </c>
      <c r="X11">
        <f t="shared" si="7"/>
        <v>10</v>
      </c>
      <c r="Y11">
        <f t="shared" si="2"/>
        <v>15616.547505696601</v>
      </c>
      <c r="Z11">
        <f t="shared" si="3"/>
        <v>25876.97823079427</v>
      </c>
      <c r="AA11">
        <f t="shared" si="4"/>
        <v>293423.47045898438</v>
      </c>
      <c r="AB11">
        <f t="shared" si="5"/>
        <v>319552.96549479198</v>
      </c>
      <c r="AC11">
        <f t="shared" si="6"/>
        <v>584342.02018229163</v>
      </c>
    </row>
    <row r="12" spans="1:29" x14ac:dyDescent="0.25">
      <c r="A12" t="s">
        <v>38</v>
      </c>
      <c r="B12">
        <v>19888.9766235352</v>
      </c>
      <c r="C12">
        <v>15778.792480468799</v>
      </c>
      <c r="D12">
        <v>24232.2077636719</v>
      </c>
      <c r="E12">
        <v>31629.425354003899</v>
      </c>
      <c r="F12">
        <v>25143.650939941399</v>
      </c>
      <c r="G12">
        <v>55281.6162109375</v>
      </c>
      <c r="H12">
        <v>436075.130859375</v>
      </c>
      <c r="I12">
        <v>108344.352661133</v>
      </c>
      <c r="J12">
        <v>361425.87011718802</v>
      </c>
      <c r="K12">
        <v>179165.55346679699</v>
      </c>
      <c r="L12">
        <v>501585.16015625</v>
      </c>
      <c r="M12">
        <v>241290.60986328099</v>
      </c>
      <c r="N12">
        <v>321640.345703125</v>
      </c>
      <c r="O12">
        <v>1015918.7734375</v>
      </c>
      <c r="P12">
        <v>455008.94140625</v>
      </c>
      <c r="Q12">
        <v>401265.044921875</v>
      </c>
      <c r="R12">
        <v>384285.798828125</v>
      </c>
      <c r="S12">
        <v>471879.08984375</v>
      </c>
      <c r="T12">
        <v>450578.923828125</v>
      </c>
      <c r="U12">
        <v>446529.759765625</v>
      </c>
      <c r="V12" s="1">
        <f t="shared" si="0"/>
        <v>7.5996233633698063E-2</v>
      </c>
      <c r="W12">
        <f t="shared" si="1"/>
        <v>430907.72343750001</v>
      </c>
      <c r="X12">
        <f t="shared" si="7"/>
        <v>11</v>
      </c>
      <c r="Y12">
        <f t="shared" si="2"/>
        <v>19966.658955891966</v>
      </c>
      <c r="Z12">
        <f t="shared" si="3"/>
        <v>37351.564168294266</v>
      </c>
      <c r="AA12">
        <f t="shared" si="4"/>
        <v>301948.45121256536</v>
      </c>
      <c r="AB12">
        <f t="shared" si="5"/>
        <v>307347.107828776</v>
      </c>
      <c r="AC12">
        <f t="shared" si="6"/>
        <v>597522.68684895837</v>
      </c>
    </row>
    <row r="13" spans="1:29" x14ac:dyDescent="0.25">
      <c r="A13" t="s">
        <v>33</v>
      </c>
      <c r="B13">
        <v>10703.595275878901</v>
      </c>
      <c r="C13">
        <v>15504.010375976601</v>
      </c>
      <c r="D13">
        <v>18314.0310058594</v>
      </c>
      <c r="E13">
        <v>28484.2861328125</v>
      </c>
      <c r="F13">
        <v>23045.696472168001</v>
      </c>
      <c r="G13">
        <v>46702.3115234375</v>
      </c>
      <c r="H13">
        <v>337812.017578125</v>
      </c>
      <c r="I13">
        <v>90796.456542968794</v>
      </c>
      <c r="J13">
        <v>274372.44140625</v>
      </c>
      <c r="K13">
        <v>142236.02832031299</v>
      </c>
      <c r="L13">
        <v>381809.36328125</v>
      </c>
      <c r="M13">
        <v>196963.70703125</v>
      </c>
      <c r="N13">
        <v>261648.1875</v>
      </c>
      <c r="O13">
        <v>782731.1953125</v>
      </c>
      <c r="P13">
        <v>381857.34765625</v>
      </c>
      <c r="Q13">
        <v>302399.45703125</v>
      </c>
      <c r="R13">
        <v>304027.73046875</v>
      </c>
      <c r="S13">
        <v>369869.390625</v>
      </c>
      <c r="T13">
        <v>356348.169921875</v>
      </c>
      <c r="U13">
        <v>362033.1875</v>
      </c>
      <c r="V13" s="1">
        <f t="shared" si="0"/>
        <v>8.6995117121658194E-2</v>
      </c>
      <c r="W13">
        <f t="shared" si="1"/>
        <v>338935.58710937499</v>
      </c>
      <c r="X13">
        <f t="shared" si="7"/>
        <v>12</v>
      </c>
      <c r="Y13">
        <f t="shared" si="2"/>
        <v>14840.545552571633</v>
      </c>
      <c r="Z13">
        <f t="shared" si="3"/>
        <v>32744.098042805999</v>
      </c>
      <c r="AA13">
        <f t="shared" si="4"/>
        <v>234326.97184244791</v>
      </c>
      <c r="AB13">
        <f t="shared" si="5"/>
        <v>240336.36621093765</v>
      </c>
      <c r="AC13">
        <f t="shared" si="6"/>
        <v>475412.24348958331</v>
      </c>
    </row>
    <row r="14" spans="1:29" x14ac:dyDescent="0.25">
      <c r="A14" t="s">
        <v>12</v>
      </c>
      <c r="B14">
        <v>17287.812133789099</v>
      </c>
      <c r="C14">
        <v>16730.908691406301</v>
      </c>
      <c r="D14">
        <v>24928.886352539099</v>
      </c>
      <c r="E14">
        <v>36546.905456542998</v>
      </c>
      <c r="F14">
        <v>34187.097290039099</v>
      </c>
      <c r="G14">
        <v>43716.235595703103</v>
      </c>
      <c r="H14">
        <v>294785.48339843802</v>
      </c>
      <c r="I14">
        <v>93938.870605468794</v>
      </c>
      <c r="J14">
        <v>234926.78808593799</v>
      </c>
      <c r="K14">
        <v>152383.978515625</v>
      </c>
      <c r="L14">
        <v>296983.21484375</v>
      </c>
      <c r="M14">
        <v>190519.28222656299</v>
      </c>
      <c r="N14">
        <v>257999.13378906299</v>
      </c>
      <c r="O14">
        <v>600054.96875</v>
      </c>
      <c r="P14">
        <v>366282.236328125</v>
      </c>
      <c r="Q14">
        <v>263370.423828125</v>
      </c>
      <c r="R14">
        <v>254223.18066406299</v>
      </c>
      <c r="S14">
        <v>298780.86035156302</v>
      </c>
      <c r="T14">
        <v>295185.49121093802</v>
      </c>
      <c r="U14">
        <v>293535.98339843802</v>
      </c>
      <c r="V14" s="1">
        <f t="shared" si="0"/>
        <v>6.5660122891807046E-2</v>
      </c>
      <c r="W14">
        <f t="shared" si="1"/>
        <v>281019.18789062538</v>
      </c>
      <c r="X14">
        <f t="shared" si="7"/>
        <v>13</v>
      </c>
      <c r="Y14">
        <f t="shared" si="2"/>
        <v>19649.202392578165</v>
      </c>
      <c r="Z14">
        <f t="shared" si="3"/>
        <v>38150.079447428398</v>
      </c>
      <c r="AA14">
        <f t="shared" si="4"/>
        <v>207883.71402994826</v>
      </c>
      <c r="AB14">
        <f t="shared" si="5"/>
        <v>213295.49186197933</v>
      </c>
      <c r="AC14">
        <f t="shared" si="6"/>
        <v>408112.1129557293</v>
      </c>
    </row>
    <row r="15" spans="1:29" x14ac:dyDescent="0.25">
      <c r="A15" t="s">
        <v>44</v>
      </c>
      <c r="B15">
        <v>2869.6677856445299</v>
      </c>
      <c r="C15">
        <v>4433.8467407226599</v>
      </c>
      <c r="D15">
        <v>3268.9799194335901</v>
      </c>
      <c r="E15">
        <v>7701.7385864257803</v>
      </c>
      <c r="F15">
        <v>4999.2463378906295</v>
      </c>
      <c r="G15">
        <v>21315.230590820302</v>
      </c>
      <c r="H15">
        <v>290825.17871093802</v>
      </c>
      <c r="I15">
        <v>56093.588378906301</v>
      </c>
      <c r="J15">
        <v>227270.03076171901</v>
      </c>
      <c r="K15">
        <v>105537.589782715</v>
      </c>
      <c r="L15">
        <v>306052.1171875</v>
      </c>
      <c r="M15">
        <v>144111.08874511701</v>
      </c>
      <c r="N15">
        <v>197198.259765625</v>
      </c>
      <c r="O15">
        <v>632076.01953125</v>
      </c>
      <c r="P15">
        <v>268293.197265625</v>
      </c>
      <c r="Q15">
        <v>250920.30078125</v>
      </c>
      <c r="R15">
        <v>239217.078125</v>
      </c>
      <c r="S15">
        <v>291666.14550781302</v>
      </c>
      <c r="T15">
        <v>277279.970703125</v>
      </c>
      <c r="U15">
        <v>274824.67089843802</v>
      </c>
      <c r="V15" s="1">
        <f t="shared" si="0"/>
        <v>7.12297717981734E-2</v>
      </c>
      <c r="W15">
        <f t="shared" si="1"/>
        <v>266781.63320312521</v>
      </c>
      <c r="X15">
        <f t="shared" si="7"/>
        <v>14</v>
      </c>
      <c r="Y15">
        <f t="shared" si="2"/>
        <v>3524.1648152669263</v>
      </c>
      <c r="Z15">
        <f t="shared" si="3"/>
        <v>11338.73850504557</v>
      </c>
      <c r="AA15">
        <f t="shared" si="4"/>
        <v>191396.2659505211</v>
      </c>
      <c r="AB15">
        <f t="shared" si="5"/>
        <v>185233.59857177734</v>
      </c>
      <c r="AC15">
        <f t="shared" si="6"/>
        <v>365855.82552083331</v>
      </c>
    </row>
    <row r="16" spans="1:29" x14ac:dyDescent="0.25">
      <c r="A16" t="s">
        <v>23</v>
      </c>
      <c r="B16">
        <v>7305.6249389648401</v>
      </c>
      <c r="C16">
        <v>5279.8138122558603</v>
      </c>
      <c r="D16">
        <v>7785.1467285156295</v>
      </c>
      <c r="E16">
        <v>17650.865234375</v>
      </c>
      <c r="F16">
        <v>12223.4025878906</v>
      </c>
      <c r="G16">
        <v>29665.7321777344</v>
      </c>
      <c r="H16">
        <v>213528.662109375</v>
      </c>
      <c r="I16">
        <v>54697.468261718801</v>
      </c>
      <c r="J16">
        <v>177533.564453125</v>
      </c>
      <c r="K16">
        <v>98282.186035156294</v>
      </c>
      <c r="L16">
        <v>235776.099609375</v>
      </c>
      <c r="M16">
        <v>129685.56738281299</v>
      </c>
      <c r="N16">
        <v>174970.66503906299</v>
      </c>
      <c r="O16">
        <v>487289.84765625</v>
      </c>
      <c r="P16">
        <v>237663.890625</v>
      </c>
      <c r="Q16">
        <v>198366.04199218799</v>
      </c>
      <c r="R16">
        <v>197919.32128906299</v>
      </c>
      <c r="S16">
        <v>228747.439453125</v>
      </c>
      <c r="T16">
        <v>220323.154296875</v>
      </c>
      <c r="U16">
        <v>216973.01171875</v>
      </c>
      <c r="V16" s="1">
        <f t="shared" si="0"/>
        <v>5.7933671018807836E-2</v>
      </c>
      <c r="W16">
        <f t="shared" si="1"/>
        <v>212465.79375000019</v>
      </c>
      <c r="X16">
        <f t="shared" si="7"/>
        <v>15</v>
      </c>
      <c r="Y16">
        <f t="shared" si="2"/>
        <v>6790.1951599121094</v>
      </c>
      <c r="Z16">
        <f t="shared" si="3"/>
        <v>19846.666666666668</v>
      </c>
      <c r="AA16">
        <f t="shared" si="4"/>
        <v>148586.56494140628</v>
      </c>
      <c r="AB16">
        <f t="shared" si="5"/>
        <v>154581.28434244811</v>
      </c>
      <c r="AC16">
        <f t="shared" si="6"/>
        <v>299974.80110677099</v>
      </c>
    </row>
    <row r="17" spans="1:29" x14ac:dyDescent="0.25">
      <c r="A17" t="s">
        <v>24</v>
      </c>
      <c r="B17">
        <v>8392.1937561035193</v>
      </c>
      <c r="C17">
        <v>13800.174194335899</v>
      </c>
      <c r="D17">
        <v>6929.8605957031295</v>
      </c>
      <c r="E17">
        <v>20206.135620117198</v>
      </c>
      <c r="F17">
        <v>36761.483886718801</v>
      </c>
      <c r="G17">
        <v>26012.2990722656</v>
      </c>
      <c r="H17">
        <v>213818.896484375</v>
      </c>
      <c r="I17">
        <v>57283.544189453103</v>
      </c>
      <c r="J17">
        <v>175203.515625</v>
      </c>
      <c r="K17">
        <v>96901.7333984375</v>
      </c>
      <c r="L17">
        <v>227043.349609375</v>
      </c>
      <c r="M17">
        <v>131474.61035156299</v>
      </c>
      <c r="N17">
        <v>171568.65234375</v>
      </c>
      <c r="O17">
        <v>460391.984375</v>
      </c>
      <c r="P17">
        <v>249132.203125</v>
      </c>
      <c r="Q17">
        <v>186005.83496093799</v>
      </c>
      <c r="R17">
        <v>185999.6484375</v>
      </c>
      <c r="S17">
        <v>223845.826171875</v>
      </c>
      <c r="T17">
        <v>212941.20703125</v>
      </c>
      <c r="U17">
        <v>218157.22265625</v>
      </c>
      <c r="V17" s="1">
        <f t="shared" si="0"/>
        <v>7.8879520093638647E-2</v>
      </c>
      <c r="W17">
        <f t="shared" si="1"/>
        <v>205389.94785156258</v>
      </c>
      <c r="X17">
        <f t="shared" si="7"/>
        <v>16</v>
      </c>
      <c r="Y17">
        <f t="shared" si="2"/>
        <v>9707.4095153808485</v>
      </c>
      <c r="Z17">
        <f t="shared" si="3"/>
        <v>27659.972859700531</v>
      </c>
      <c r="AA17">
        <f t="shared" si="4"/>
        <v>148768.65209960938</v>
      </c>
      <c r="AB17">
        <f t="shared" si="5"/>
        <v>151806.56445312515</v>
      </c>
      <c r="AC17">
        <f t="shared" si="6"/>
        <v>293697.61328125</v>
      </c>
    </row>
    <row r="18" spans="1:29" x14ac:dyDescent="0.25">
      <c r="A18" t="s">
        <v>10</v>
      </c>
      <c r="B18">
        <v>11050.466003418</v>
      </c>
      <c r="C18">
        <v>9265.6079711914099</v>
      </c>
      <c r="D18">
        <v>7899.27783203125</v>
      </c>
      <c r="E18">
        <v>16566.107788085901</v>
      </c>
      <c r="F18">
        <v>16377.9510803223</v>
      </c>
      <c r="G18">
        <v>24740.218933105501</v>
      </c>
      <c r="H18">
        <v>154398.75341796901</v>
      </c>
      <c r="I18">
        <v>39964.942016601599</v>
      </c>
      <c r="J18">
        <v>118295.683837891</v>
      </c>
      <c r="K18">
        <v>63356.558227539099</v>
      </c>
      <c r="L18">
        <v>182826.87890625</v>
      </c>
      <c r="M18">
        <v>86031.306396484404</v>
      </c>
      <c r="N18">
        <v>114683.45214843799</v>
      </c>
      <c r="O18">
        <v>383012.259765625</v>
      </c>
      <c r="P18">
        <v>176357.728515625</v>
      </c>
      <c r="Q18">
        <v>144916.38720703099</v>
      </c>
      <c r="R18">
        <v>141338.59863281299</v>
      </c>
      <c r="S18">
        <v>172687.400390625</v>
      </c>
      <c r="T18">
        <v>159434.02636718799</v>
      </c>
      <c r="U18">
        <v>156487.42236328099</v>
      </c>
      <c r="V18" s="1">
        <f t="shared" si="0"/>
        <v>7.2029913954171215E-2</v>
      </c>
      <c r="W18">
        <f t="shared" si="1"/>
        <v>154972.76699218759</v>
      </c>
      <c r="X18">
        <f t="shared" si="7"/>
        <v>17</v>
      </c>
      <c r="Y18">
        <f t="shared" si="2"/>
        <v>9405.1172688802199</v>
      </c>
      <c r="Z18">
        <f t="shared" si="3"/>
        <v>19228.092600504566</v>
      </c>
      <c r="AA18">
        <f t="shared" si="4"/>
        <v>104219.79309082055</v>
      </c>
      <c r="AB18">
        <f t="shared" si="5"/>
        <v>110738.2478434245</v>
      </c>
      <c r="AC18">
        <f t="shared" si="6"/>
        <v>224684.48014322933</v>
      </c>
    </row>
    <row r="19" spans="1:29" x14ac:dyDescent="0.25">
      <c r="A19" t="s">
        <v>4</v>
      </c>
      <c r="B19">
        <v>4025.4189453125</v>
      </c>
      <c r="C19">
        <v>5578.2410888671902</v>
      </c>
      <c r="D19">
        <v>5921.7434692382803</v>
      </c>
      <c r="E19">
        <v>10973.9376831055</v>
      </c>
      <c r="F19">
        <v>9451.29638671875</v>
      </c>
      <c r="G19">
        <v>19097.6142578125</v>
      </c>
      <c r="H19">
        <v>156313.791015625</v>
      </c>
      <c r="I19">
        <v>42567.066223144502</v>
      </c>
      <c r="J19">
        <v>142031.73730468799</v>
      </c>
      <c r="K19">
        <v>65413.2265625</v>
      </c>
      <c r="L19">
        <v>168091.87207031299</v>
      </c>
      <c r="M19">
        <v>91146.9541015625</v>
      </c>
      <c r="N19">
        <v>120876.359375</v>
      </c>
      <c r="O19">
        <v>341333.59375</v>
      </c>
      <c r="P19">
        <v>167308.51855468799</v>
      </c>
      <c r="Q19">
        <v>133108.81347656299</v>
      </c>
      <c r="R19">
        <v>139306.96972656299</v>
      </c>
      <c r="S19">
        <v>168709.345703125</v>
      </c>
      <c r="T19">
        <v>156862.33691406299</v>
      </c>
      <c r="U19">
        <v>155507.26660156299</v>
      </c>
      <c r="V19" s="1">
        <f t="shared" si="0"/>
        <v>8.522074605877715E-2</v>
      </c>
      <c r="W19">
        <f t="shared" si="1"/>
        <v>150698.9464843754</v>
      </c>
      <c r="X19">
        <f t="shared" si="7"/>
        <v>18</v>
      </c>
      <c r="Y19">
        <f t="shared" si="2"/>
        <v>5175.1345011393241</v>
      </c>
      <c r="Z19">
        <f t="shared" si="3"/>
        <v>13174.282775878915</v>
      </c>
      <c r="AA19">
        <f t="shared" si="4"/>
        <v>113637.53151448583</v>
      </c>
      <c r="AB19">
        <f t="shared" si="5"/>
        <v>108217.35091145849</v>
      </c>
      <c r="AC19">
        <f t="shared" si="6"/>
        <v>209839.49055989599</v>
      </c>
    </row>
    <row r="20" spans="1:29" x14ac:dyDescent="0.25">
      <c r="A20" t="s">
        <v>36</v>
      </c>
      <c r="B20">
        <v>3255.8301391601599</v>
      </c>
      <c r="C20">
        <v>1122.88952636719</v>
      </c>
      <c r="D20">
        <v>1947.36901855469</v>
      </c>
      <c r="E20">
        <v>2056.31713867188</v>
      </c>
      <c r="F20">
        <v>5300.2653198242197</v>
      </c>
      <c r="G20">
        <v>4042.9290161132799</v>
      </c>
      <c r="H20">
        <v>133264.220947266</v>
      </c>
      <c r="I20">
        <v>30039.9208984375</v>
      </c>
      <c r="J20">
        <v>129168.60864257799</v>
      </c>
      <c r="K20">
        <v>58417.979003906301</v>
      </c>
      <c r="L20">
        <v>174958.45849609401</v>
      </c>
      <c r="M20">
        <v>82087.952026367202</v>
      </c>
      <c r="N20">
        <v>106451.948730469</v>
      </c>
      <c r="O20">
        <v>339101.533203125</v>
      </c>
      <c r="P20">
        <v>154624.42285156299</v>
      </c>
      <c r="Q20">
        <v>135804.16284179699</v>
      </c>
      <c r="R20">
        <v>126925.16528320299</v>
      </c>
      <c r="S20">
        <v>158336.82495117199</v>
      </c>
      <c r="T20">
        <v>156357.52783203099</v>
      </c>
      <c r="U20">
        <v>145169.65625</v>
      </c>
      <c r="V20" s="1">
        <f t="shared" si="0"/>
        <v>8.286095934492746E-2</v>
      </c>
      <c r="W20">
        <f t="shared" si="1"/>
        <v>144518.66743164061</v>
      </c>
      <c r="X20">
        <f t="shared" si="7"/>
        <v>19</v>
      </c>
      <c r="Y20">
        <f t="shared" si="2"/>
        <v>2108.6962280273469</v>
      </c>
      <c r="Z20">
        <f t="shared" si="3"/>
        <v>3799.8371582031264</v>
      </c>
      <c r="AA20">
        <f t="shared" si="4"/>
        <v>97490.916829427166</v>
      </c>
      <c r="AB20">
        <f t="shared" si="5"/>
        <v>105154.79650878918</v>
      </c>
      <c r="AC20">
        <f t="shared" si="6"/>
        <v>200059.30159505233</v>
      </c>
    </row>
    <row r="21" spans="1:29" x14ac:dyDescent="0.25">
      <c r="A21" t="s">
        <v>9</v>
      </c>
      <c r="B21">
        <v>8405.1505126953107</v>
      </c>
      <c r="C21">
        <v>12519.6016845703</v>
      </c>
      <c r="D21">
        <v>7327.7560424804697</v>
      </c>
      <c r="E21">
        <v>10429.2917480469</v>
      </c>
      <c r="F21">
        <v>18379.941101074201</v>
      </c>
      <c r="G21">
        <v>17101.0634765625</v>
      </c>
      <c r="H21">
        <v>139090.158203125</v>
      </c>
      <c r="I21">
        <v>33567.830322265603</v>
      </c>
      <c r="J21">
        <v>115153.25878906299</v>
      </c>
      <c r="K21">
        <v>60723.779541015603</v>
      </c>
      <c r="L21">
        <v>178600.48339843799</v>
      </c>
      <c r="M21">
        <v>81141.48046875</v>
      </c>
      <c r="N21">
        <v>100823.29394531299</v>
      </c>
      <c r="O21">
        <v>357713.138671875</v>
      </c>
      <c r="P21">
        <v>148353.322265625</v>
      </c>
      <c r="Q21">
        <v>127744.535644531</v>
      </c>
      <c r="R21">
        <v>126318.138183594</v>
      </c>
      <c r="S21">
        <v>153084.38134765599</v>
      </c>
      <c r="T21">
        <v>153546.50439453099</v>
      </c>
      <c r="U21">
        <v>142601.314208984</v>
      </c>
      <c r="V21" s="1">
        <f t="shared" si="0"/>
        <v>8.3920610814170349E-2</v>
      </c>
      <c r="W21">
        <f t="shared" si="1"/>
        <v>140658.97475585921</v>
      </c>
      <c r="X21">
        <f t="shared" si="7"/>
        <v>20</v>
      </c>
      <c r="Y21">
        <f t="shared" si="2"/>
        <v>9417.5027465820258</v>
      </c>
      <c r="Z21">
        <f t="shared" si="3"/>
        <v>15303.432108561201</v>
      </c>
      <c r="AA21">
        <f t="shared" si="4"/>
        <v>95937.082438151192</v>
      </c>
      <c r="AB21">
        <f t="shared" si="5"/>
        <v>106821.91446940119</v>
      </c>
      <c r="AC21">
        <f t="shared" si="6"/>
        <v>202296.58496093765</v>
      </c>
    </row>
    <row r="22" spans="1:29" x14ac:dyDescent="0.25">
      <c r="A22" t="s">
        <v>34</v>
      </c>
      <c r="B22">
        <v>2036.4581909179699</v>
      </c>
      <c r="C22">
        <v>1985.1654663085901</v>
      </c>
      <c r="D22">
        <v>2859.0943603515602</v>
      </c>
      <c r="E22">
        <v>6394.8466186523401</v>
      </c>
      <c r="F22">
        <v>5632.2960815429697</v>
      </c>
      <c r="G22">
        <v>4508.3303833007803</v>
      </c>
      <c r="H22">
        <v>131401.70068359401</v>
      </c>
      <c r="I22">
        <v>25978.788574218801</v>
      </c>
      <c r="J22">
        <v>106160.749145508</v>
      </c>
      <c r="K22">
        <v>51835.8623046875</v>
      </c>
      <c r="L22">
        <v>166376.37768554699</v>
      </c>
      <c r="M22">
        <v>76798.919799804702</v>
      </c>
      <c r="N22">
        <v>97329.630981445298</v>
      </c>
      <c r="O22">
        <v>338532.501953125</v>
      </c>
      <c r="P22">
        <v>142637.35253906299</v>
      </c>
      <c r="Q22">
        <v>127904.029785156</v>
      </c>
      <c r="R22">
        <v>123372.262207031</v>
      </c>
      <c r="S22">
        <v>153323.12622070301</v>
      </c>
      <c r="T22">
        <v>143397.20166015599</v>
      </c>
      <c r="U22">
        <v>140460.05029296901</v>
      </c>
      <c r="V22" s="1">
        <f t="shared" si="0"/>
        <v>7.8584298755409607E-2</v>
      </c>
      <c r="W22">
        <f t="shared" si="1"/>
        <v>137691.33403320302</v>
      </c>
      <c r="X22">
        <f t="shared" si="7"/>
        <v>21</v>
      </c>
      <c r="Y22">
        <f t="shared" si="2"/>
        <v>2293.5726725260397</v>
      </c>
      <c r="Z22">
        <f t="shared" si="3"/>
        <v>5511.8243611653634</v>
      </c>
      <c r="AA22">
        <f t="shared" si="4"/>
        <v>87847.079467773612</v>
      </c>
      <c r="AB22">
        <f t="shared" si="5"/>
        <v>98337.053263346388</v>
      </c>
      <c r="AC22">
        <f t="shared" si="6"/>
        <v>192833.16182454443</v>
      </c>
    </row>
    <row r="23" spans="1:29" x14ac:dyDescent="0.25">
      <c r="A23" t="s">
        <v>41</v>
      </c>
      <c r="B23">
        <v>858.16223144531295</v>
      </c>
      <c r="C23">
        <v>564.28179931640602</v>
      </c>
      <c r="D23">
        <v>1122.05041503906</v>
      </c>
      <c r="E23">
        <v>2335.1815185546898</v>
      </c>
      <c r="F23">
        <v>2684.0223388671898</v>
      </c>
      <c r="G23">
        <v>2093.5662841796898</v>
      </c>
      <c r="H23">
        <v>135574.57373046901</v>
      </c>
      <c r="I23">
        <v>18634.748168945302</v>
      </c>
      <c r="J23">
        <v>111869.729370117</v>
      </c>
      <c r="K23">
        <v>59939.291381835901</v>
      </c>
      <c r="L23">
        <v>160635.320068359</v>
      </c>
      <c r="M23">
        <v>73276.077514648394</v>
      </c>
      <c r="N23">
        <v>101456.024902344</v>
      </c>
      <c r="O23">
        <v>319895.58300781302</v>
      </c>
      <c r="P23">
        <v>148711.52050781299</v>
      </c>
      <c r="Q23">
        <v>129570.478515625</v>
      </c>
      <c r="R23">
        <v>118893.90032959</v>
      </c>
      <c r="S23">
        <v>142628.38940429699</v>
      </c>
      <c r="T23">
        <v>144634.68090820301</v>
      </c>
      <c r="U23">
        <v>144865.10668945301</v>
      </c>
      <c r="V23" s="1">
        <f t="shared" si="0"/>
        <v>7.5706474510820729E-2</v>
      </c>
      <c r="W23">
        <f t="shared" si="1"/>
        <v>136118.51116943362</v>
      </c>
      <c r="X23">
        <f t="shared" si="7"/>
        <v>22</v>
      </c>
      <c r="Y23">
        <f t="shared" si="2"/>
        <v>848.16481526692633</v>
      </c>
      <c r="Z23">
        <f t="shared" si="3"/>
        <v>2370.9233805338567</v>
      </c>
      <c r="AA23">
        <f t="shared" si="4"/>
        <v>88693.017089843765</v>
      </c>
      <c r="AB23">
        <f t="shared" si="5"/>
        <v>97950.229654947761</v>
      </c>
      <c r="AC23">
        <f t="shared" si="6"/>
        <v>190021.04280599</v>
      </c>
    </row>
    <row r="24" spans="1:29" x14ac:dyDescent="0.25">
      <c r="A24" t="s">
        <v>1</v>
      </c>
      <c r="B24">
        <v>5120.2535095214798</v>
      </c>
      <c r="C24">
        <v>4883.6135559082004</v>
      </c>
      <c r="D24">
        <v>9530.6197814941406</v>
      </c>
      <c r="E24">
        <v>21700.304199218801</v>
      </c>
      <c r="F24">
        <v>17840.151275634798</v>
      </c>
      <c r="G24">
        <v>17433.150573730501</v>
      </c>
      <c r="H24">
        <v>132077.47753906299</v>
      </c>
      <c r="I24">
        <v>38089.624633789099</v>
      </c>
      <c r="J24">
        <v>113931.72973632799</v>
      </c>
      <c r="K24">
        <v>61378.092346191399</v>
      </c>
      <c r="L24">
        <v>141646.04003906299</v>
      </c>
      <c r="M24">
        <v>84992.335449218794</v>
      </c>
      <c r="N24">
        <v>105308.28515625</v>
      </c>
      <c r="O24">
        <v>291025.2109375</v>
      </c>
      <c r="P24">
        <v>149580.576171875</v>
      </c>
      <c r="Q24">
        <v>118189.83886718799</v>
      </c>
      <c r="R24">
        <v>117801.30859375</v>
      </c>
      <c r="S24">
        <v>139486.275390625</v>
      </c>
      <c r="T24">
        <v>137879.06347656299</v>
      </c>
      <c r="U24">
        <v>134371.8671875</v>
      </c>
      <c r="V24" s="1">
        <f t="shared" si="0"/>
        <v>7.3914984005765072E-2</v>
      </c>
      <c r="W24">
        <f t="shared" si="1"/>
        <v>129545.67070312519</v>
      </c>
      <c r="X24">
        <f t="shared" si="7"/>
        <v>23</v>
      </c>
      <c r="Y24">
        <f t="shared" si="2"/>
        <v>6511.4956156412736</v>
      </c>
      <c r="Z24">
        <f t="shared" si="3"/>
        <v>18991.2020161947</v>
      </c>
      <c r="AA24">
        <f t="shared" si="4"/>
        <v>94699.610636393365</v>
      </c>
      <c r="AB24">
        <f t="shared" si="5"/>
        <v>96005.489278157722</v>
      </c>
      <c r="AC24">
        <f t="shared" si="6"/>
        <v>181971.357421875</v>
      </c>
    </row>
    <row r="25" spans="1:29" x14ac:dyDescent="0.25">
      <c r="A25" t="s">
        <v>47</v>
      </c>
      <c r="B25">
        <v>0</v>
      </c>
      <c r="C25">
        <v>1110.02783203125</v>
      </c>
      <c r="D25">
        <v>1263.4481811523401</v>
      </c>
      <c r="E25">
        <v>586.751220703125</v>
      </c>
      <c r="F25">
        <v>468.577880859375</v>
      </c>
      <c r="G25">
        <v>2325.6389770507799</v>
      </c>
      <c r="H25">
        <v>113920.222412109</v>
      </c>
      <c r="I25">
        <v>9452.1207275390607</v>
      </c>
      <c r="J25">
        <v>91601.5195922852</v>
      </c>
      <c r="K25">
        <v>36291.054016113303</v>
      </c>
      <c r="L25">
        <v>159694.96191406299</v>
      </c>
      <c r="M25">
        <v>56238.041748046897</v>
      </c>
      <c r="N25">
        <v>82912.111083984404</v>
      </c>
      <c r="O25">
        <v>339586.927734375</v>
      </c>
      <c r="P25">
        <v>122462.41796875</v>
      </c>
      <c r="Q25">
        <v>114466.826660156</v>
      </c>
      <c r="R25">
        <v>115356.511962891</v>
      </c>
      <c r="S25">
        <v>133070.66308593799</v>
      </c>
      <c r="T25">
        <v>128567.919433594</v>
      </c>
      <c r="U25">
        <v>138609.53222656299</v>
      </c>
      <c r="V25" s="1">
        <f t="shared" si="0"/>
        <v>7.6271529217337194E-2</v>
      </c>
      <c r="W25">
        <f t="shared" si="1"/>
        <v>126014.29067382838</v>
      </c>
      <c r="X25">
        <f t="shared" si="7"/>
        <v>24</v>
      </c>
      <c r="Y25">
        <f t="shared" si="2"/>
        <v>791.15867106119674</v>
      </c>
      <c r="Z25">
        <f t="shared" si="3"/>
        <v>1126.98935953776</v>
      </c>
      <c r="AA25">
        <f t="shared" si="4"/>
        <v>71657.954243977743</v>
      </c>
      <c r="AB25">
        <f t="shared" si="5"/>
        <v>84074.685892741065</v>
      </c>
      <c r="AC25">
        <f t="shared" si="6"/>
        <v>181653.81892903647</v>
      </c>
    </row>
    <row r="26" spans="1:29" x14ac:dyDescent="0.25">
      <c r="A26" t="s">
        <v>25</v>
      </c>
      <c r="B26">
        <v>5227.6441955566397</v>
      </c>
      <c r="C26">
        <v>10067.4277038574</v>
      </c>
      <c r="D26">
        <v>5651.0405883789099</v>
      </c>
      <c r="E26">
        <v>11472.581726074201</v>
      </c>
      <c r="F26">
        <v>22803.121673583999</v>
      </c>
      <c r="G26">
        <v>14851.534545898399</v>
      </c>
      <c r="H26">
        <v>123108.39575195299</v>
      </c>
      <c r="I26">
        <v>31393.1320800781</v>
      </c>
      <c r="J26">
        <v>94616.818359375</v>
      </c>
      <c r="K26">
        <v>53959.820831298799</v>
      </c>
      <c r="L26">
        <v>145794.02099609401</v>
      </c>
      <c r="M26">
        <v>73762.304321289106</v>
      </c>
      <c r="N26">
        <v>94829.265014648394</v>
      </c>
      <c r="O26">
        <v>290025.58886718802</v>
      </c>
      <c r="P26">
        <v>142512.921875</v>
      </c>
      <c r="Q26">
        <v>113886.05078125</v>
      </c>
      <c r="R26">
        <v>111627.80590820299</v>
      </c>
      <c r="S26">
        <v>131991.07470703099</v>
      </c>
      <c r="T26">
        <v>128831.72729492201</v>
      </c>
      <c r="U26">
        <v>128029.43237304701</v>
      </c>
      <c r="V26" s="1">
        <f t="shared" si="0"/>
        <v>6.8329632364280732E-2</v>
      </c>
      <c r="W26">
        <f t="shared" si="1"/>
        <v>122873.2182128906</v>
      </c>
      <c r="X26">
        <f t="shared" si="7"/>
        <v>25</v>
      </c>
      <c r="Y26">
        <f t="shared" si="2"/>
        <v>6982.0374959309838</v>
      </c>
      <c r="Z26">
        <f t="shared" si="3"/>
        <v>16375.745981852202</v>
      </c>
      <c r="AA26">
        <f t="shared" si="4"/>
        <v>83039.448730468706</v>
      </c>
      <c r="AB26">
        <f t="shared" si="5"/>
        <v>91172.048716227306</v>
      </c>
      <c r="AC26">
        <f t="shared" si="6"/>
        <v>175789.25858561214</v>
      </c>
    </row>
    <row r="27" spans="1:29" x14ac:dyDescent="0.25">
      <c r="A27" t="s">
        <v>52</v>
      </c>
      <c r="B27">
        <v>0</v>
      </c>
      <c r="C27">
        <v>464.11270141601602</v>
      </c>
      <c r="D27">
        <v>466.56481933593801</v>
      </c>
      <c r="E27">
        <v>1363.0665893554699</v>
      </c>
      <c r="F27">
        <v>1455.7328796386701</v>
      </c>
      <c r="G27">
        <v>1423.77038574219</v>
      </c>
      <c r="H27">
        <v>125131.74536132799</v>
      </c>
      <c r="I27">
        <v>12169.0311889648</v>
      </c>
      <c r="J27">
        <v>73276.944458007798</v>
      </c>
      <c r="K27">
        <v>47580.5889282227</v>
      </c>
      <c r="L27">
        <v>165062.72119140599</v>
      </c>
      <c r="M27">
        <v>55815.203857421897</v>
      </c>
      <c r="N27">
        <v>80579.474121093794</v>
      </c>
      <c r="O27">
        <v>280487.59423828102</v>
      </c>
      <c r="P27">
        <v>117013.45825195299</v>
      </c>
      <c r="Q27">
        <v>115930.849609375</v>
      </c>
      <c r="R27">
        <v>117020.867675781</v>
      </c>
      <c r="S27">
        <v>144946.873413086</v>
      </c>
      <c r="T27">
        <v>131479.136962891</v>
      </c>
      <c r="U27">
        <v>87951.168823242202</v>
      </c>
      <c r="V27" s="1">
        <f t="shared" si="0"/>
        <v>0.1590524137114612</v>
      </c>
      <c r="W27">
        <f t="shared" si="1"/>
        <v>119465.77929687504</v>
      </c>
      <c r="X27">
        <f t="shared" si="7"/>
        <v>26</v>
      </c>
      <c r="Y27">
        <f t="shared" si="2"/>
        <v>310.22584025065134</v>
      </c>
      <c r="Z27">
        <f t="shared" si="3"/>
        <v>1414.1899515787766</v>
      </c>
      <c r="AA27">
        <f t="shared" si="4"/>
        <v>70192.573669433536</v>
      </c>
      <c r="AB27">
        <f t="shared" si="5"/>
        <v>89486.171325683521</v>
      </c>
      <c r="AC27">
        <f t="shared" si="6"/>
        <v>159360.17553710929</v>
      </c>
    </row>
    <row r="28" spans="1:29" x14ac:dyDescent="0.25">
      <c r="A28" t="s">
        <v>54</v>
      </c>
      <c r="B28">
        <v>1320.7728881835901</v>
      </c>
      <c r="C28">
        <v>0</v>
      </c>
      <c r="D28">
        <v>332.08413696289102</v>
      </c>
      <c r="E28">
        <v>524.83190917968795</v>
      </c>
      <c r="F28">
        <v>1106.3791198730501</v>
      </c>
      <c r="G28">
        <v>0</v>
      </c>
      <c r="H28">
        <v>121444.017578125</v>
      </c>
      <c r="I28">
        <v>14613.6444396973</v>
      </c>
      <c r="J28">
        <v>75319.668212890596</v>
      </c>
      <c r="K28">
        <v>36594.712707519502</v>
      </c>
      <c r="L28">
        <v>169714.501953125</v>
      </c>
      <c r="M28">
        <v>44260.4189453125</v>
      </c>
      <c r="N28">
        <v>74010.191650390596</v>
      </c>
      <c r="O28">
        <v>309387.806640625</v>
      </c>
      <c r="P28">
        <v>125712.88378906299</v>
      </c>
      <c r="Q28">
        <v>108040.38769531299</v>
      </c>
      <c r="R28">
        <v>103647.909667969</v>
      </c>
      <c r="S28">
        <v>136400.35058593799</v>
      </c>
      <c r="T28">
        <v>122479.62890625</v>
      </c>
      <c r="U28">
        <v>123828.579589844</v>
      </c>
      <c r="V28" s="1">
        <f t="shared" si="0"/>
        <v>9.9097773244389592E-2</v>
      </c>
      <c r="W28">
        <f t="shared" si="1"/>
        <v>118879.37128906281</v>
      </c>
      <c r="X28">
        <f t="shared" si="7"/>
        <v>27</v>
      </c>
      <c r="Y28">
        <f t="shared" si="2"/>
        <v>550.95234171549373</v>
      </c>
      <c r="Z28">
        <f t="shared" si="3"/>
        <v>543.737009684246</v>
      </c>
      <c r="AA28">
        <f t="shared" si="4"/>
        <v>70459.110076904297</v>
      </c>
      <c r="AB28">
        <f t="shared" si="5"/>
        <v>83523.211201985672</v>
      </c>
      <c r="AC28">
        <f t="shared" si="6"/>
        <v>169703.62736002621</v>
      </c>
    </row>
    <row r="29" spans="1:29" x14ac:dyDescent="0.25">
      <c r="A29" t="s">
        <v>35</v>
      </c>
      <c r="B29">
        <v>1180.515625</v>
      </c>
      <c r="C29">
        <v>3268.8416748046898</v>
      </c>
      <c r="D29">
        <v>2239.6280517578102</v>
      </c>
      <c r="E29">
        <v>3387.4945068359398</v>
      </c>
      <c r="F29">
        <v>3888.02392578125</v>
      </c>
      <c r="G29">
        <v>6102.0798339843795</v>
      </c>
      <c r="H29">
        <v>109722.08300781299</v>
      </c>
      <c r="I29">
        <v>19832.228210449201</v>
      </c>
      <c r="J29">
        <v>88361.287841796904</v>
      </c>
      <c r="K29">
        <v>41031.8104858398</v>
      </c>
      <c r="L29">
        <v>124881.490722656</v>
      </c>
      <c r="M29">
        <v>61505.670166015603</v>
      </c>
      <c r="N29">
        <v>86431.8408203125</v>
      </c>
      <c r="O29">
        <v>275604.62988281302</v>
      </c>
      <c r="P29">
        <v>123458.123535156</v>
      </c>
      <c r="Q29">
        <v>99993.001953125</v>
      </c>
      <c r="R29">
        <v>99785.859863281294</v>
      </c>
      <c r="S29">
        <v>122411.172119141</v>
      </c>
      <c r="T29">
        <v>120197.52050781299</v>
      </c>
      <c r="U29">
        <v>115111.372680664</v>
      </c>
      <c r="V29" s="1">
        <f t="shared" si="0"/>
        <v>8.7633596614194745E-2</v>
      </c>
      <c r="W29">
        <f t="shared" si="1"/>
        <v>111499.78542480487</v>
      </c>
      <c r="X29">
        <f t="shared" si="7"/>
        <v>28</v>
      </c>
      <c r="Y29">
        <f t="shared" si="2"/>
        <v>2229.6617838541665</v>
      </c>
      <c r="Z29">
        <f t="shared" si="3"/>
        <v>4459.1994222005233</v>
      </c>
      <c r="AA29">
        <f t="shared" si="4"/>
        <v>72638.533020019706</v>
      </c>
      <c r="AB29">
        <f t="shared" si="5"/>
        <v>75806.323791503804</v>
      </c>
      <c r="AC29">
        <f t="shared" si="6"/>
        <v>161831.53141276052</v>
      </c>
    </row>
    <row r="30" spans="1:29" x14ac:dyDescent="0.25">
      <c r="A30" t="s">
        <v>27</v>
      </c>
      <c r="B30">
        <v>760.999267578125</v>
      </c>
      <c r="C30">
        <v>503.52493286132801</v>
      </c>
      <c r="D30">
        <v>2377.8662109375</v>
      </c>
      <c r="E30">
        <v>1470.3207397460901</v>
      </c>
      <c r="F30">
        <v>3340.2299194335901</v>
      </c>
      <c r="G30">
        <v>7364.6018066406295</v>
      </c>
      <c r="H30">
        <v>100688.09277343799</v>
      </c>
      <c r="I30">
        <v>14917.795196533199</v>
      </c>
      <c r="J30">
        <v>78372.140747070298</v>
      </c>
      <c r="K30">
        <v>34273.8789672852</v>
      </c>
      <c r="L30">
        <v>120873.437011719</v>
      </c>
      <c r="M30">
        <v>51522.522613525398</v>
      </c>
      <c r="N30">
        <v>75225.613037109404</v>
      </c>
      <c r="O30">
        <v>259819.5078125</v>
      </c>
      <c r="P30">
        <v>107538.251464844</v>
      </c>
      <c r="Q30">
        <v>103450.250488281</v>
      </c>
      <c r="R30">
        <v>95349.829589843794</v>
      </c>
      <c r="S30">
        <v>115105.342285156</v>
      </c>
      <c r="T30">
        <v>114791.336425781</v>
      </c>
      <c r="U30">
        <v>111359.799316406</v>
      </c>
      <c r="V30" s="1">
        <f t="shared" si="0"/>
        <v>7.0341408945277448E-2</v>
      </c>
      <c r="W30">
        <f t="shared" si="1"/>
        <v>108011.31162109357</v>
      </c>
      <c r="X30">
        <f t="shared" si="7"/>
        <v>29</v>
      </c>
      <c r="Y30">
        <f t="shared" si="2"/>
        <v>1214.1301371256511</v>
      </c>
      <c r="Z30">
        <f t="shared" si="3"/>
        <v>4058.3841552734361</v>
      </c>
      <c r="AA30">
        <f t="shared" si="4"/>
        <v>64659.342905680496</v>
      </c>
      <c r="AB30">
        <f t="shared" si="5"/>
        <v>68889.946197509867</v>
      </c>
      <c r="AC30">
        <f t="shared" si="6"/>
        <v>147527.79077148446</v>
      </c>
    </row>
    <row r="31" spans="1:29" x14ac:dyDescent="0.25">
      <c r="A31" t="s">
        <v>48</v>
      </c>
      <c r="B31">
        <v>907.23605346679699</v>
      </c>
      <c r="C31">
        <v>1062.37280273438</v>
      </c>
      <c r="D31">
        <v>373.79373168945301</v>
      </c>
      <c r="E31">
        <v>1746.2080078125</v>
      </c>
      <c r="F31">
        <v>910.62802124023403</v>
      </c>
      <c r="G31">
        <v>562.04925537109398</v>
      </c>
      <c r="H31">
        <v>98690.8291015625</v>
      </c>
      <c r="I31">
        <v>6752.50244140625</v>
      </c>
      <c r="J31">
        <v>70138.407958984404</v>
      </c>
      <c r="K31">
        <v>24619.904022216801</v>
      </c>
      <c r="L31">
        <v>129645.515625</v>
      </c>
      <c r="M31">
        <v>38328.388000488303</v>
      </c>
      <c r="N31">
        <v>70010</v>
      </c>
      <c r="O31">
        <v>265776.875</v>
      </c>
      <c r="P31">
        <v>106441.705078125</v>
      </c>
      <c r="Q31">
        <v>92970.7451171875</v>
      </c>
      <c r="R31">
        <v>90787.91796875</v>
      </c>
      <c r="S31">
        <v>118728.69042968799</v>
      </c>
      <c r="T31">
        <v>111413.66308593799</v>
      </c>
      <c r="U31">
        <v>108591.21777343799</v>
      </c>
      <c r="V31" s="1">
        <f t="shared" si="0"/>
        <v>0.10376972849753027</v>
      </c>
      <c r="W31">
        <f t="shared" si="1"/>
        <v>104498.44687500029</v>
      </c>
      <c r="X31">
        <f t="shared" si="7"/>
        <v>30</v>
      </c>
      <c r="Y31">
        <f t="shared" si="2"/>
        <v>781.13419596354333</v>
      </c>
      <c r="Z31">
        <f t="shared" si="3"/>
        <v>1072.9617614746094</v>
      </c>
      <c r="AA31">
        <f t="shared" si="4"/>
        <v>58527.246500651054</v>
      </c>
      <c r="AB31">
        <f t="shared" si="5"/>
        <v>64197.935882568367</v>
      </c>
      <c r="AC31">
        <f t="shared" si="6"/>
        <v>147409.52669270834</v>
      </c>
    </row>
    <row r="32" spans="1:29" x14ac:dyDescent="0.25">
      <c r="A32" t="s">
        <v>11</v>
      </c>
      <c r="B32">
        <v>11719.4490661621</v>
      </c>
      <c r="C32">
        <v>9880.8667602539099</v>
      </c>
      <c r="D32">
        <v>9467.3323669433594</v>
      </c>
      <c r="E32">
        <v>15154.5731201172</v>
      </c>
      <c r="F32">
        <v>15320.086303710899</v>
      </c>
      <c r="G32">
        <v>21500.3388671875</v>
      </c>
      <c r="H32">
        <v>104755.00488281299</v>
      </c>
      <c r="I32">
        <v>29150.610839843801</v>
      </c>
      <c r="J32">
        <v>74827.9130859375</v>
      </c>
      <c r="K32">
        <v>51920.284790039099</v>
      </c>
      <c r="L32">
        <v>106595.11328125</v>
      </c>
      <c r="M32">
        <v>65749.006103515596</v>
      </c>
      <c r="N32">
        <v>75465.403076171904</v>
      </c>
      <c r="O32">
        <v>213453.86230468799</v>
      </c>
      <c r="P32">
        <v>119929.694824219</v>
      </c>
      <c r="Q32">
        <v>94384.247314453096</v>
      </c>
      <c r="R32">
        <v>86987.980957031294</v>
      </c>
      <c r="S32">
        <v>108166.708984375</v>
      </c>
      <c r="T32">
        <v>103627.003662109</v>
      </c>
      <c r="U32">
        <v>104878.16113281299</v>
      </c>
      <c r="V32" s="1">
        <f t="shared" si="0"/>
        <v>7.8245925261065455E-2</v>
      </c>
      <c r="W32">
        <f t="shared" si="1"/>
        <v>99608.820410156273</v>
      </c>
      <c r="X32">
        <f t="shared" si="7"/>
        <v>31</v>
      </c>
      <c r="Y32">
        <f t="shared" si="2"/>
        <v>10355.882731119789</v>
      </c>
      <c r="Z32">
        <f t="shared" si="3"/>
        <v>17324.999430338532</v>
      </c>
      <c r="AA32">
        <f t="shared" si="4"/>
        <v>69577.842936198096</v>
      </c>
      <c r="AB32">
        <f t="shared" si="5"/>
        <v>74754.801391601563</v>
      </c>
      <c r="AC32">
        <f t="shared" si="6"/>
        <v>136282.98673502629</v>
      </c>
    </row>
    <row r="33" spans="1:29" x14ac:dyDescent="0.25">
      <c r="A33" t="s">
        <v>42</v>
      </c>
      <c r="B33">
        <v>0</v>
      </c>
      <c r="C33">
        <v>2477.9473266601599</v>
      </c>
      <c r="D33">
        <v>671.21661376953102</v>
      </c>
      <c r="E33">
        <v>426.35134887695301</v>
      </c>
      <c r="F33">
        <v>1501.408203125</v>
      </c>
      <c r="G33">
        <v>2391.0087280273401</v>
      </c>
      <c r="H33">
        <v>84012.7793579102</v>
      </c>
      <c r="I33">
        <v>5731.3685607910202</v>
      </c>
      <c r="J33">
        <v>64324.0849609375</v>
      </c>
      <c r="K33">
        <v>21650.1989746094</v>
      </c>
      <c r="L33">
        <v>107091.913452148</v>
      </c>
      <c r="M33">
        <v>36720.174316406301</v>
      </c>
      <c r="N33">
        <v>59683.090637207002</v>
      </c>
      <c r="O33">
        <v>240293.15576171901</v>
      </c>
      <c r="P33">
        <v>80415.159667968794</v>
      </c>
      <c r="Q33">
        <v>85184.779602050796</v>
      </c>
      <c r="R33">
        <v>78412.4951171875</v>
      </c>
      <c r="S33">
        <v>103127.043579102</v>
      </c>
      <c r="T33">
        <v>92762.889892578096</v>
      </c>
      <c r="U33">
        <v>100884.970703125</v>
      </c>
      <c r="V33" s="1">
        <f t="shared" si="0"/>
        <v>0.10122986365459119</v>
      </c>
      <c r="W33">
        <f t="shared" si="1"/>
        <v>92074.435778808693</v>
      </c>
      <c r="X33">
        <f t="shared" si="7"/>
        <v>32</v>
      </c>
      <c r="Y33">
        <f t="shared" si="2"/>
        <v>1049.7213134765636</v>
      </c>
      <c r="Z33">
        <f t="shared" si="3"/>
        <v>1439.589426676431</v>
      </c>
      <c r="AA33">
        <f t="shared" si="4"/>
        <v>51356.077626546241</v>
      </c>
      <c r="AB33">
        <f t="shared" si="5"/>
        <v>55154.095581054571</v>
      </c>
      <c r="AC33">
        <f t="shared" si="6"/>
        <v>126797.1353556316</v>
      </c>
    </row>
    <row r="34" spans="1:29" x14ac:dyDescent="0.25">
      <c r="A34" t="s">
        <v>28</v>
      </c>
      <c r="B34">
        <v>4305.98974609375</v>
      </c>
      <c r="C34">
        <v>1821.59802246094</v>
      </c>
      <c r="D34">
        <v>3149.2265014648401</v>
      </c>
      <c r="E34">
        <v>1022.25317382813</v>
      </c>
      <c r="F34">
        <v>4039.60766601563</v>
      </c>
      <c r="G34">
        <v>5843.8386230468795</v>
      </c>
      <c r="H34">
        <v>101165.67285156299</v>
      </c>
      <c r="I34">
        <v>15910.751342773399</v>
      </c>
      <c r="J34">
        <v>65125.4912109375</v>
      </c>
      <c r="K34">
        <v>28440.839233398401</v>
      </c>
      <c r="L34">
        <v>98389.297363281294</v>
      </c>
      <c r="M34">
        <v>43763.072631835901</v>
      </c>
      <c r="N34">
        <v>59654.23828125</v>
      </c>
      <c r="O34">
        <v>208386.9609375</v>
      </c>
      <c r="P34">
        <v>96271.477050781294</v>
      </c>
      <c r="Q34">
        <v>81305.1455078125</v>
      </c>
      <c r="R34">
        <v>79199.262207031294</v>
      </c>
      <c r="S34">
        <v>96783.491699218794</v>
      </c>
      <c r="T34">
        <v>91004.453613281294</v>
      </c>
      <c r="U34">
        <v>83995.7998046875</v>
      </c>
      <c r="V34" s="1">
        <f t="shared" ref="V34:V65" si="8">_xlfn.STDEV.P(Q34:U34)/AVERAGE(Q34:U34)</f>
        <v>7.5419336758321479E-2</v>
      </c>
      <c r="W34">
        <f t="shared" ref="W34:W58" si="9">AVERAGE(Q34:U34)</f>
        <v>86457.630566406282</v>
      </c>
      <c r="X34">
        <f t="shared" si="7"/>
        <v>33</v>
      </c>
      <c r="Y34">
        <f t="shared" ref="Y34:Y58" si="10">AVERAGE(B34:D34)</f>
        <v>3092.2714233398438</v>
      </c>
      <c r="Z34">
        <f t="shared" ref="Z34:Z58" si="11">AVERAGE(E34:G34)</f>
        <v>3635.23315429688</v>
      </c>
      <c r="AA34">
        <f t="shared" ref="AA34:AA58" si="12">AVERAGE(H34:J34)</f>
        <v>60733.971801757965</v>
      </c>
      <c r="AB34">
        <f t="shared" ref="AB34:AB58" si="13">AVERAGE(K34:M34)</f>
        <v>56864.403076171868</v>
      </c>
      <c r="AC34">
        <f t="shared" ref="AC34:AC58" si="14">AVERAGE(N34:P34)</f>
        <v>121437.55875651044</v>
      </c>
    </row>
    <row r="35" spans="1:29" x14ac:dyDescent="0.25">
      <c r="A35" t="s">
        <v>53</v>
      </c>
      <c r="B35">
        <v>1521.9728698730501</v>
      </c>
      <c r="C35">
        <v>0</v>
      </c>
      <c r="D35">
        <v>0</v>
      </c>
      <c r="E35">
        <v>549.60461425781295</v>
      </c>
      <c r="F35">
        <v>0</v>
      </c>
      <c r="G35">
        <v>1055.95239257813</v>
      </c>
      <c r="H35">
        <v>75860.388793945298</v>
      </c>
      <c r="I35">
        <v>3491.4061584472702</v>
      </c>
      <c r="J35">
        <v>57611.948364257798</v>
      </c>
      <c r="K35">
        <v>21664.136291503899</v>
      </c>
      <c r="L35">
        <v>112727.36621093799</v>
      </c>
      <c r="M35">
        <v>34159.8603515625</v>
      </c>
      <c r="N35">
        <v>55314.547485351599</v>
      </c>
      <c r="O35">
        <v>228045.27294921901</v>
      </c>
      <c r="P35">
        <v>71284.40625</v>
      </c>
      <c r="Q35">
        <v>79089.836425781294</v>
      </c>
      <c r="R35">
        <v>77544.158508300796</v>
      </c>
      <c r="S35">
        <v>94740.6815795898</v>
      </c>
      <c r="T35">
        <v>83538.839111328096</v>
      </c>
      <c r="U35">
        <v>94080.505554199204</v>
      </c>
      <c r="V35" s="1">
        <f t="shared" si="8"/>
        <v>8.5138731558896633E-2</v>
      </c>
      <c r="W35">
        <f t="shared" si="9"/>
        <v>85798.804235839838</v>
      </c>
      <c r="X35">
        <f t="shared" si="7"/>
        <v>34</v>
      </c>
      <c r="Y35">
        <f t="shared" si="10"/>
        <v>507.32428995768333</v>
      </c>
      <c r="Z35">
        <f t="shared" si="11"/>
        <v>535.18566894531432</v>
      </c>
      <c r="AA35">
        <f t="shared" si="12"/>
        <v>45654.581105550118</v>
      </c>
      <c r="AB35">
        <f t="shared" si="13"/>
        <v>56183.787618001465</v>
      </c>
      <c r="AC35">
        <f t="shared" si="14"/>
        <v>118214.7422281902</v>
      </c>
    </row>
    <row r="36" spans="1:29" x14ac:dyDescent="0.25">
      <c r="A36" t="s">
        <v>50</v>
      </c>
      <c r="B36">
        <v>633.112548828125</v>
      </c>
      <c r="C36">
        <v>500.39108276367199</v>
      </c>
      <c r="D36">
        <v>0</v>
      </c>
      <c r="E36">
        <v>504.43484497070301</v>
      </c>
      <c r="F36">
        <v>1293.52502441406</v>
      </c>
      <c r="G36">
        <v>491.88534545898398</v>
      </c>
      <c r="H36">
        <v>78207.968994140596</v>
      </c>
      <c r="I36">
        <v>4040.7261657714798</v>
      </c>
      <c r="J36">
        <v>51494.267578125</v>
      </c>
      <c r="K36">
        <v>14402.228027343799</v>
      </c>
      <c r="L36">
        <v>89015.634521484404</v>
      </c>
      <c r="M36">
        <v>31635.951538085901</v>
      </c>
      <c r="N36">
        <v>52881.088073730498</v>
      </c>
      <c r="O36">
        <v>206028.93121337899</v>
      </c>
      <c r="P36">
        <v>89416.048339843794</v>
      </c>
      <c r="Q36">
        <v>73476.987182617202</v>
      </c>
      <c r="R36">
        <v>74392.429870605498</v>
      </c>
      <c r="S36">
        <v>87379.188964843794</v>
      </c>
      <c r="T36">
        <v>76136.531372070298</v>
      </c>
      <c r="U36">
        <v>76385.602905273394</v>
      </c>
      <c r="V36" s="1">
        <f t="shared" si="8"/>
        <v>6.4863490066862511E-2</v>
      </c>
      <c r="W36">
        <f t="shared" si="9"/>
        <v>77554.148059082043</v>
      </c>
      <c r="X36">
        <f t="shared" si="7"/>
        <v>35</v>
      </c>
      <c r="Y36">
        <f t="shared" si="10"/>
        <v>377.83454386393231</v>
      </c>
      <c r="Z36">
        <f t="shared" si="11"/>
        <v>763.28173828124898</v>
      </c>
      <c r="AA36">
        <f t="shared" si="12"/>
        <v>44580.987579345696</v>
      </c>
      <c r="AB36">
        <f t="shared" si="13"/>
        <v>45017.938028971366</v>
      </c>
      <c r="AC36">
        <f t="shared" si="14"/>
        <v>116108.68920898443</v>
      </c>
    </row>
    <row r="37" spans="1:29" x14ac:dyDescent="0.25">
      <c r="A37" t="s">
        <v>13</v>
      </c>
      <c r="B37">
        <v>3386.6128234863299</v>
      </c>
      <c r="C37">
        <v>2853.0465698242201</v>
      </c>
      <c r="D37">
        <v>4407.0237731933603</v>
      </c>
      <c r="E37">
        <v>2340.0926818847702</v>
      </c>
      <c r="F37">
        <v>2512.7899169921898</v>
      </c>
      <c r="G37">
        <v>2122.3280029296898</v>
      </c>
      <c r="H37">
        <v>76157.269042968794</v>
      </c>
      <c r="I37">
        <v>13053.2644042969</v>
      </c>
      <c r="J37">
        <v>67924.581542968794</v>
      </c>
      <c r="K37">
        <v>24294.057495117198</v>
      </c>
      <c r="L37">
        <v>92061.7138671875</v>
      </c>
      <c r="M37">
        <v>45333.685546875</v>
      </c>
      <c r="N37">
        <v>59617.479736328103</v>
      </c>
      <c r="O37">
        <v>200001.478515625</v>
      </c>
      <c r="P37">
        <v>92159.660644531294</v>
      </c>
      <c r="Q37">
        <v>70918.3623046875</v>
      </c>
      <c r="R37">
        <v>67620.738769531294</v>
      </c>
      <c r="S37">
        <v>80010.136230468794</v>
      </c>
      <c r="T37">
        <v>80715.939941406294</v>
      </c>
      <c r="U37">
        <v>81528.935058593794</v>
      </c>
      <c r="V37" s="1">
        <f t="shared" si="8"/>
        <v>7.5382843389794604E-2</v>
      </c>
      <c r="W37">
        <f t="shared" si="9"/>
        <v>76158.822460937547</v>
      </c>
      <c r="X37">
        <f t="shared" si="7"/>
        <v>36</v>
      </c>
      <c r="Y37">
        <f t="shared" si="10"/>
        <v>3548.8943888346366</v>
      </c>
      <c r="Z37">
        <f t="shared" si="11"/>
        <v>2325.0702006022166</v>
      </c>
      <c r="AA37">
        <f t="shared" si="12"/>
        <v>52378.371663411497</v>
      </c>
      <c r="AB37">
        <f t="shared" si="13"/>
        <v>53896.485636393227</v>
      </c>
      <c r="AC37">
        <f t="shared" si="14"/>
        <v>117259.53963216145</v>
      </c>
    </row>
    <row r="38" spans="1:29" x14ac:dyDescent="0.25">
      <c r="A38" t="s">
        <v>45</v>
      </c>
      <c r="B38">
        <v>13185.577636718799</v>
      </c>
      <c r="C38">
        <v>1606.83079528809</v>
      </c>
      <c r="D38">
        <v>25580.584594726599</v>
      </c>
      <c r="E38">
        <v>2405.0577392578102</v>
      </c>
      <c r="F38">
        <v>10970.234985351601</v>
      </c>
      <c r="G38">
        <v>575.08538818359398</v>
      </c>
      <c r="H38">
        <v>83814.9267578125</v>
      </c>
      <c r="I38">
        <v>5308.81591796875</v>
      </c>
      <c r="J38">
        <v>48995.4853515625</v>
      </c>
      <c r="K38">
        <v>14791.5485839844</v>
      </c>
      <c r="L38">
        <v>85163.423828125</v>
      </c>
      <c r="M38">
        <v>35539.274902343801</v>
      </c>
      <c r="N38">
        <v>53438.8564453125</v>
      </c>
      <c r="O38">
        <v>179100.0625</v>
      </c>
      <c r="P38">
        <v>85814.890625</v>
      </c>
      <c r="Q38">
        <v>68077.8837890625</v>
      </c>
      <c r="R38">
        <v>65779.45703125</v>
      </c>
      <c r="S38">
        <v>70423.5185546875</v>
      </c>
      <c r="T38">
        <v>74006.61328125</v>
      </c>
      <c r="U38">
        <v>79301.3037109375</v>
      </c>
      <c r="V38" s="1">
        <f t="shared" si="8"/>
        <v>6.6394602432178512E-2</v>
      </c>
      <c r="W38">
        <f t="shared" si="9"/>
        <v>71517.755273437506</v>
      </c>
      <c r="X38">
        <f t="shared" si="7"/>
        <v>37</v>
      </c>
      <c r="Y38">
        <f t="shared" si="10"/>
        <v>13457.664342244496</v>
      </c>
      <c r="Z38">
        <f t="shared" si="11"/>
        <v>4650.1260375976681</v>
      </c>
      <c r="AA38">
        <f t="shared" si="12"/>
        <v>46039.74267578125</v>
      </c>
      <c r="AB38">
        <f t="shared" si="13"/>
        <v>45164.74910481774</v>
      </c>
      <c r="AC38">
        <f t="shared" si="14"/>
        <v>106117.9365234375</v>
      </c>
    </row>
    <row r="39" spans="1:29" x14ac:dyDescent="0.25">
      <c r="A39" t="s">
        <v>2</v>
      </c>
      <c r="B39">
        <v>1455.98767089844</v>
      </c>
      <c r="C39">
        <v>1110.1713256835901</v>
      </c>
      <c r="D39">
        <v>1675.052734375</v>
      </c>
      <c r="E39">
        <v>1747.3193359375</v>
      </c>
      <c r="F39">
        <v>7842.3768615722702</v>
      </c>
      <c r="G39">
        <v>5983.86328125</v>
      </c>
      <c r="H39">
        <v>71321.837890625</v>
      </c>
      <c r="I39">
        <v>18281.0048828125</v>
      </c>
      <c r="J39">
        <v>69770.022949218794</v>
      </c>
      <c r="K39">
        <v>25384.352416992198</v>
      </c>
      <c r="L39">
        <v>84109.2109375</v>
      </c>
      <c r="M39">
        <v>41507.030883789099</v>
      </c>
      <c r="N39">
        <v>51841.706542968801</v>
      </c>
      <c r="O39">
        <v>169353.677734375</v>
      </c>
      <c r="P39">
        <v>75709.271972656294</v>
      </c>
      <c r="Q39">
        <v>63021.7421875</v>
      </c>
      <c r="R39">
        <v>63610.160888671897</v>
      </c>
      <c r="S39">
        <v>76606.9150390625</v>
      </c>
      <c r="T39">
        <v>73332.311035156294</v>
      </c>
      <c r="U39">
        <v>74502.780517578096</v>
      </c>
      <c r="V39" s="1">
        <f t="shared" si="8"/>
        <v>8.1646910110538526E-2</v>
      </c>
      <c r="W39">
        <f t="shared" si="9"/>
        <v>70214.781933593753</v>
      </c>
      <c r="X39">
        <f t="shared" si="7"/>
        <v>38</v>
      </c>
      <c r="Y39">
        <f t="shared" si="10"/>
        <v>1413.7372436523435</v>
      </c>
      <c r="Z39">
        <f t="shared" si="11"/>
        <v>5191.1864929199228</v>
      </c>
      <c r="AA39">
        <f t="shared" si="12"/>
        <v>53124.288574218772</v>
      </c>
      <c r="AB39">
        <f t="shared" si="13"/>
        <v>50333.531412760436</v>
      </c>
      <c r="AC39">
        <f t="shared" si="14"/>
        <v>98968.218750000044</v>
      </c>
    </row>
    <row r="40" spans="1:29" x14ac:dyDescent="0.25">
      <c r="A40" t="s">
        <v>0</v>
      </c>
      <c r="B40">
        <v>11706.0928344727</v>
      </c>
      <c r="C40">
        <v>11406.6866455078</v>
      </c>
      <c r="D40">
        <v>7640.2379760742197</v>
      </c>
      <c r="E40">
        <v>11293.459259033199</v>
      </c>
      <c r="F40">
        <v>23688.259765625</v>
      </c>
      <c r="G40">
        <v>16080.523071289101</v>
      </c>
      <c r="H40">
        <v>67469.250244140596</v>
      </c>
      <c r="I40">
        <v>19860.3620605469</v>
      </c>
      <c r="J40">
        <v>61677.535888671897</v>
      </c>
      <c r="K40">
        <v>32950.885375976599</v>
      </c>
      <c r="L40">
        <v>71449.207397460894</v>
      </c>
      <c r="M40">
        <v>47089.461181640603</v>
      </c>
      <c r="N40">
        <v>51829.190063476599</v>
      </c>
      <c r="O40">
        <v>136077.99462890599</v>
      </c>
      <c r="P40">
        <v>70418.515136718794</v>
      </c>
      <c r="Q40">
        <v>56366.0029296875</v>
      </c>
      <c r="R40">
        <v>54970.740234375</v>
      </c>
      <c r="S40">
        <v>65235.592651367202</v>
      </c>
      <c r="T40">
        <v>64884.048583984397</v>
      </c>
      <c r="U40">
        <v>66319.328613281294</v>
      </c>
      <c r="V40" s="1">
        <f t="shared" si="8"/>
        <v>7.8789072559015655E-2</v>
      </c>
      <c r="W40">
        <f t="shared" si="9"/>
        <v>61555.142602539076</v>
      </c>
      <c r="X40">
        <f t="shared" si="7"/>
        <v>39</v>
      </c>
      <c r="Y40">
        <f t="shared" si="10"/>
        <v>10251.005818684906</v>
      </c>
      <c r="Z40">
        <f t="shared" si="11"/>
        <v>17020.747365315769</v>
      </c>
      <c r="AA40">
        <f t="shared" si="12"/>
        <v>49669.049397786468</v>
      </c>
      <c r="AB40">
        <f t="shared" si="13"/>
        <v>50496.517985026032</v>
      </c>
      <c r="AC40">
        <f t="shared" si="14"/>
        <v>86108.566609700458</v>
      </c>
    </row>
    <row r="41" spans="1:29" x14ac:dyDescent="0.25">
      <c r="A41" t="s">
        <v>14</v>
      </c>
      <c r="B41">
        <v>18060.939453125</v>
      </c>
      <c r="C41">
        <v>14628.8992004395</v>
      </c>
      <c r="D41">
        <v>5725.6876220703098</v>
      </c>
      <c r="E41">
        <v>7621.2173461914099</v>
      </c>
      <c r="F41">
        <v>15916.3848876953</v>
      </c>
      <c r="G41">
        <v>15806.5987548828</v>
      </c>
      <c r="H41">
        <v>57910.05078125</v>
      </c>
      <c r="I41">
        <v>17171.624908447298</v>
      </c>
      <c r="J41">
        <v>47239.288574218801</v>
      </c>
      <c r="K41">
        <v>43149.357421875</v>
      </c>
      <c r="L41">
        <v>75018.028808593794</v>
      </c>
      <c r="M41">
        <v>33752.8231811523</v>
      </c>
      <c r="N41">
        <v>42482.589965820298</v>
      </c>
      <c r="O41">
        <v>127673.44140625</v>
      </c>
      <c r="P41">
        <v>76861.265319824204</v>
      </c>
      <c r="Q41">
        <v>51755.141845703103</v>
      </c>
      <c r="R41">
        <v>52912.342651367202</v>
      </c>
      <c r="S41">
        <v>59239.270996093801</v>
      </c>
      <c r="T41">
        <v>54808.899047851599</v>
      </c>
      <c r="U41">
        <v>56828.505737304702</v>
      </c>
      <c r="V41" s="1">
        <f t="shared" si="8"/>
        <v>4.8811873043095512E-2</v>
      </c>
      <c r="W41">
        <f t="shared" si="9"/>
        <v>55108.832055664083</v>
      </c>
      <c r="X41">
        <f t="shared" si="7"/>
        <v>40</v>
      </c>
      <c r="Y41">
        <f t="shared" si="10"/>
        <v>12805.175425211602</v>
      </c>
      <c r="Z41">
        <f t="shared" si="11"/>
        <v>13114.73366292317</v>
      </c>
      <c r="AA41">
        <f t="shared" si="12"/>
        <v>40773.654754638701</v>
      </c>
      <c r="AB41">
        <f t="shared" si="13"/>
        <v>50640.069803873695</v>
      </c>
      <c r="AC41">
        <f t="shared" si="14"/>
        <v>82339.098897298172</v>
      </c>
    </row>
    <row r="42" spans="1:29" x14ac:dyDescent="0.25">
      <c r="A42" t="s">
        <v>46</v>
      </c>
      <c r="B42">
        <v>0</v>
      </c>
      <c r="C42">
        <v>0</v>
      </c>
      <c r="D42">
        <v>1256.84533691406</v>
      </c>
      <c r="E42">
        <v>2229.3865356445299</v>
      </c>
      <c r="F42">
        <v>0</v>
      </c>
      <c r="G42">
        <v>0</v>
      </c>
      <c r="H42">
        <v>48224.3798828125</v>
      </c>
      <c r="I42">
        <v>3188.22827148438</v>
      </c>
      <c r="J42">
        <v>45746.266235351599</v>
      </c>
      <c r="K42">
        <v>8591.6055908203107</v>
      </c>
      <c r="L42">
        <v>64496.8369140625</v>
      </c>
      <c r="M42">
        <v>20919.9377441406</v>
      </c>
      <c r="N42">
        <v>37030.816528320298</v>
      </c>
      <c r="O42">
        <v>149686.09497070301</v>
      </c>
      <c r="P42">
        <v>56840.043640136697</v>
      </c>
      <c r="Q42">
        <v>54602.4970092773</v>
      </c>
      <c r="R42">
        <v>50078.359375</v>
      </c>
      <c r="S42">
        <v>52779.292480468801</v>
      </c>
      <c r="T42">
        <v>58341.087402343801</v>
      </c>
      <c r="U42">
        <v>57749.3496704102</v>
      </c>
      <c r="V42" s="1">
        <f t="shared" si="8"/>
        <v>5.6404458490378236E-2</v>
      </c>
      <c r="W42">
        <f t="shared" si="9"/>
        <v>54710.117187500022</v>
      </c>
      <c r="X42">
        <f t="shared" si="7"/>
        <v>41</v>
      </c>
      <c r="Y42">
        <f t="shared" si="10"/>
        <v>418.94844563802002</v>
      </c>
      <c r="Z42">
        <f t="shared" si="11"/>
        <v>743.1288452148433</v>
      </c>
      <c r="AA42">
        <f t="shared" si="12"/>
        <v>32386.291463216159</v>
      </c>
      <c r="AB42">
        <f t="shared" si="13"/>
        <v>31336.126749674469</v>
      </c>
      <c r="AC42">
        <f t="shared" si="14"/>
        <v>81185.651713053332</v>
      </c>
    </row>
    <row r="43" spans="1:29" x14ac:dyDescent="0.25">
      <c r="A43" t="s">
        <v>32</v>
      </c>
      <c r="B43">
        <v>521.56115722656295</v>
      </c>
      <c r="C43">
        <v>694.96759033203102</v>
      </c>
      <c r="D43">
        <v>1007.14764404297</v>
      </c>
      <c r="E43">
        <v>1464.99621582031</v>
      </c>
      <c r="F43">
        <v>1061.36645507813</v>
      </c>
      <c r="G43">
        <v>0</v>
      </c>
      <c r="H43">
        <v>49574.622192382798</v>
      </c>
      <c r="I43">
        <v>6945.9136352539099</v>
      </c>
      <c r="J43">
        <v>32371.3515625</v>
      </c>
      <c r="K43">
        <v>9507.10888671875</v>
      </c>
      <c r="L43">
        <v>52454.824584960901</v>
      </c>
      <c r="M43">
        <v>24144.395996093801</v>
      </c>
      <c r="N43">
        <v>32998.649108886697</v>
      </c>
      <c r="O43">
        <v>128773.66015625</v>
      </c>
      <c r="P43">
        <v>50997.714233398401</v>
      </c>
      <c r="Q43">
        <v>44077.054077148401</v>
      </c>
      <c r="R43">
        <v>42619.986083984397</v>
      </c>
      <c r="S43">
        <v>56384.9677734375</v>
      </c>
      <c r="T43">
        <v>54795.144348144502</v>
      </c>
      <c r="U43">
        <v>48423.434082031301</v>
      </c>
      <c r="V43" s="1">
        <f t="shared" si="8"/>
        <v>0.11231663658647734</v>
      </c>
      <c r="W43">
        <f t="shared" si="9"/>
        <v>49260.117272949225</v>
      </c>
      <c r="X43">
        <f t="shared" si="7"/>
        <v>42</v>
      </c>
      <c r="Y43">
        <f t="shared" si="10"/>
        <v>741.22546386718795</v>
      </c>
      <c r="Z43">
        <f t="shared" si="11"/>
        <v>842.12089029948004</v>
      </c>
      <c r="AA43">
        <f t="shared" si="12"/>
        <v>29630.629130045567</v>
      </c>
      <c r="AB43">
        <f t="shared" si="13"/>
        <v>28702.109822591152</v>
      </c>
      <c r="AC43">
        <f t="shared" si="14"/>
        <v>70923.341166178361</v>
      </c>
    </row>
    <row r="44" spans="1:29" x14ac:dyDescent="0.25">
      <c r="A44" t="s">
        <v>56</v>
      </c>
      <c r="B44">
        <v>0</v>
      </c>
      <c r="C44">
        <v>659.850341796875</v>
      </c>
      <c r="D44">
        <v>0</v>
      </c>
      <c r="E44">
        <v>0</v>
      </c>
      <c r="F44">
        <v>693.843994140625</v>
      </c>
      <c r="G44">
        <v>2216.4662780761701</v>
      </c>
      <c r="H44">
        <v>44362.866760253899</v>
      </c>
      <c r="I44">
        <v>4206.4449462890598</v>
      </c>
      <c r="J44">
        <v>28325.7033691406</v>
      </c>
      <c r="K44">
        <v>11042.265014648399</v>
      </c>
      <c r="L44">
        <v>65042.765869140603</v>
      </c>
      <c r="M44">
        <v>10695.6798095703</v>
      </c>
      <c r="N44">
        <v>23259.2917480469</v>
      </c>
      <c r="O44">
        <v>155760.03759765599</v>
      </c>
      <c r="P44">
        <v>48787.809082031301</v>
      </c>
      <c r="Q44">
        <v>42958.8408203125</v>
      </c>
      <c r="R44">
        <v>41626.496826171897</v>
      </c>
      <c r="S44">
        <v>54602.260131835901</v>
      </c>
      <c r="T44">
        <v>49334.653747558601</v>
      </c>
      <c r="U44">
        <v>54638.765441894502</v>
      </c>
      <c r="V44" s="1">
        <f t="shared" si="8"/>
        <v>0.11392473691968426</v>
      </c>
      <c r="W44">
        <f t="shared" si="9"/>
        <v>48632.203393554679</v>
      </c>
      <c r="X44">
        <f t="shared" si="7"/>
        <v>43</v>
      </c>
      <c r="Y44">
        <f t="shared" si="10"/>
        <v>219.95011393229166</v>
      </c>
      <c r="Z44">
        <f t="shared" si="11"/>
        <v>970.10342407226506</v>
      </c>
      <c r="AA44">
        <f t="shared" si="12"/>
        <v>25631.67169189452</v>
      </c>
      <c r="AB44">
        <f t="shared" si="13"/>
        <v>28926.9035644531</v>
      </c>
      <c r="AC44">
        <f t="shared" si="14"/>
        <v>75935.712809244738</v>
      </c>
    </row>
    <row r="45" spans="1:29" x14ac:dyDescent="0.25">
      <c r="A45" t="s">
        <v>6</v>
      </c>
      <c r="B45">
        <v>0</v>
      </c>
      <c r="C45">
        <v>492.75686645507801</v>
      </c>
      <c r="D45">
        <v>0</v>
      </c>
      <c r="E45">
        <v>688.71697998046898</v>
      </c>
      <c r="F45">
        <v>623.35479736328102</v>
      </c>
      <c r="G45">
        <v>597.81500244140602</v>
      </c>
      <c r="H45">
        <v>45818.200683593801</v>
      </c>
      <c r="I45">
        <v>1505.29663085938</v>
      </c>
      <c r="J45">
        <v>30595.5693359375</v>
      </c>
      <c r="K45">
        <v>13657.4736938477</v>
      </c>
      <c r="L45">
        <v>46473.248046875</v>
      </c>
      <c r="M45">
        <v>24208.018066406301</v>
      </c>
      <c r="N45">
        <v>31325.995727539099</v>
      </c>
      <c r="O45">
        <v>97571.759765625</v>
      </c>
      <c r="P45">
        <v>43272.823486328103</v>
      </c>
      <c r="Q45">
        <v>47023.3955078125</v>
      </c>
      <c r="R45">
        <v>43737.0703125</v>
      </c>
      <c r="S45">
        <v>46262.9599609375</v>
      </c>
      <c r="T45">
        <v>48179.4970703125</v>
      </c>
      <c r="U45">
        <v>51042.640136718801</v>
      </c>
      <c r="V45" s="1">
        <f t="shared" si="8"/>
        <v>5.0630626867490973E-2</v>
      </c>
      <c r="W45">
        <f t="shared" si="9"/>
        <v>47249.112597656262</v>
      </c>
      <c r="X45">
        <f t="shared" si="7"/>
        <v>44</v>
      </c>
      <c r="Y45">
        <f t="shared" si="10"/>
        <v>164.25228881835935</v>
      </c>
      <c r="Z45">
        <f t="shared" si="11"/>
        <v>636.62892659505201</v>
      </c>
      <c r="AA45">
        <f t="shared" si="12"/>
        <v>25973.022216796893</v>
      </c>
      <c r="AB45">
        <f t="shared" si="13"/>
        <v>28112.913269042998</v>
      </c>
      <c r="AC45">
        <f t="shared" si="14"/>
        <v>57390.192993164063</v>
      </c>
    </row>
    <row r="46" spans="1:29" x14ac:dyDescent="0.25">
      <c r="A46" t="s">
        <v>31</v>
      </c>
      <c r="B46">
        <v>0</v>
      </c>
      <c r="C46">
        <v>1190.22583007813</v>
      </c>
      <c r="D46">
        <v>1732.40063476563</v>
      </c>
      <c r="E46">
        <v>1962.509765625</v>
      </c>
      <c r="F46">
        <v>673.46228027343795</v>
      </c>
      <c r="G46">
        <v>1029.2013244628899</v>
      </c>
      <c r="H46">
        <v>38419.417724609397</v>
      </c>
      <c r="I46">
        <v>6622.9296875</v>
      </c>
      <c r="J46">
        <v>29434.105957031301</v>
      </c>
      <c r="K46">
        <v>6932.56005859375</v>
      </c>
      <c r="L46">
        <v>47457.758300781301</v>
      </c>
      <c r="M46">
        <v>15252.1463623047</v>
      </c>
      <c r="N46">
        <v>39848.587707519502</v>
      </c>
      <c r="O46">
        <v>112669.54394531299</v>
      </c>
      <c r="P46">
        <v>48552.7587890625</v>
      </c>
      <c r="Q46">
        <v>37212.688842773401</v>
      </c>
      <c r="R46">
        <v>48232.715454101599</v>
      </c>
      <c r="S46">
        <v>51588.564697265603</v>
      </c>
      <c r="T46">
        <v>50624.346191406301</v>
      </c>
      <c r="U46">
        <v>45308.867797851599</v>
      </c>
      <c r="V46" s="1">
        <f t="shared" si="8"/>
        <v>0.11091449995323155</v>
      </c>
      <c r="W46">
        <f t="shared" si="9"/>
        <v>46593.436596679698</v>
      </c>
      <c r="X46">
        <f t="shared" si="7"/>
        <v>45</v>
      </c>
      <c r="Y46">
        <f t="shared" si="10"/>
        <v>974.20882161458667</v>
      </c>
      <c r="Z46">
        <f t="shared" si="11"/>
        <v>1221.7244567871094</v>
      </c>
      <c r="AA46">
        <f t="shared" si="12"/>
        <v>24825.484456380233</v>
      </c>
      <c r="AB46">
        <f t="shared" si="13"/>
        <v>23214.154907226581</v>
      </c>
      <c r="AC46">
        <f t="shared" si="14"/>
        <v>67023.630147298332</v>
      </c>
    </row>
    <row r="47" spans="1:29" x14ac:dyDescent="0.25">
      <c r="A47" t="s">
        <v>17</v>
      </c>
      <c r="B47">
        <v>1281.4084167480501</v>
      </c>
      <c r="C47">
        <v>1776.63464355469</v>
      </c>
      <c r="D47">
        <v>801.065185546875</v>
      </c>
      <c r="E47">
        <v>1514.2435913085901</v>
      </c>
      <c r="F47">
        <v>880.513671875</v>
      </c>
      <c r="G47">
        <v>3234.6798400878902</v>
      </c>
      <c r="H47">
        <v>37045.765136718801</v>
      </c>
      <c r="I47">
        <v>2854.6844482421898</v>
      </c>
      <c r="J47">
        <v>23068.427368164099</v>
      </c>
      <c r="K47">
        <v>8475.0764160156305</v>
      </c>
      <c r="L47">
        <v>52404.521118164099</v>
      </c>
      <c r="M47">
        <v>22914.218200683601</v>
      </c>
      <c r="N47">
        <v>30529.715332031301</v>
      </c>
      <c r="O47">
        <v>112293.45410156299</v>
      </c>
      <c r="P47">
        <v>47459.7255859375</v>
      </c>
      <c r="Q47">
        <v>40629.090332031301</v>
      </c>
      <c r="R47">
        <v>39596.698486328103</v>
      </c>
      <c r="S47">
        <v>43099.923339843801</v>
      </c>
      <c r="T47">
        <v>44986.220458984397</v>
      </c>
      <c r="U47">
        <v>42000.853027343801</v>
      </c>
      <c r="V47" s="1">
        <f t="shared" si="8"/>
        <v>4.4810298975174821E-2</v>
      </c>
      <c r="W47">
        <f t="shared" si="9"/>
        <v>42062.557128906286</v>
      </c>
      <c r="X47">
        <f t="shared" si="7"/>
        <v>46</v>
      </c>
      <c r="Y47">
        <f t="shared" si="10"/>
        <v>1286.3694152832049</v>
      </c>
      <c r="Z47">
        <f t="shared" si="11"/>
        <v>1876.479034423827</v>
      </c>
      <c r="AA47">
        <f t="shared" si="12"/>
        <v>20989.625651041697</v>
      </c>
      <c r="AB47">
        <f t="shared" si="13"/>
        <v>27931.271911621112</v>
      </c>
      <c r="AC47">
        <f t="shared" si="14"/>
        <v>63427.631673177268</v>
      </c>
    </row>
    <row r="48" spans="1:29" x14ac:dyDescent="0.25">
      <c r="A48" t="s">
        <v>18</v>
      </c>
      <c r="B48">
        <v>1472.8743591308601</v>
      </c>
      <c r="C48">
        <v>1268.29284667969</v>
      </c>
      <c r="D48">
        <v>967.56427001953102</v>
      </c>
      <c r="E48">
        <v>4116.3618469238299</v>
      </c>
      <c r="F48">
        <v>1544.28247070313</v>
      </c>
      <c r="G48">
        <v>2533.2439575195299</v>
      </c>
      <c r="H48">
        <v>39934.181793212898</v>
      </c>
      <c r="I48">
        <v>6888.8143615722702</v>
      </c>
      <c r="J48">
        <v>31028.1630859375</v>
      </c>
      <c r="K48">
        <v>16206.3928222656</v>
      </c>
      <c r="L48">
        <v>52917.4453125</v>
      </c>
      <c r="M48">
        <v>21515.023010253899</v>
      </c>
      <c r="N48">
        <v>38280.3505859375</v>
      </c>
      <c r="O48">
        <v>112698.1796875</v>
      </c>
      <c r="P48">
        <v>62007.199951171897</v>
      </c>
      <c r="Q48">
        <v>42038.217285156301</v>
      </c>
      <c r="R48">
        <v>44564.053466796897</v>
      </c>
      <c r="S48">
        <v>34497.1669921875</v>
      </c>
      <c r="T48">
        <v>42920.641357421897</v>
      </c>
      <c r="U48">
        <v>40491.269042968801</v>
      </c>
      <c r="V48" s="1">
        <f t="shared" si="8"/>
        <v>8.4668955004656279E-2</v>
      </c>
      <c r="W48">
        <f t="shared" si="9"/>
        <v>40902.269628906281</v>
      </c>
      <c r="X48">
        <f t="shared" si="7"/>
        <v>47</v>
      </c>
      <c r="Y48">
        <f t="shared" si="10"/>
        <v>1236.2438252766935</v>
      </c>
      <c r="Z48">
        <f t="shared" si="11"/>
        <v>2731.2960917154965</v>
      </c>
      <c r="AA48">
        <f t="shared" si="12"/>
        <v>25950.386413574222</v>
      </c>
      <c r="AB48">
        <f t="shared" si="13"/>
        <v>30212.953715006501</v>
      </c>
      <c r="AC48">
        <f t="shared" si="14"/>
        <v>70995.24340820314</v>
      </c>
    </row>
    <row r="49" spans="1:34" x14ac:dyDescent="0.25">
      <c r="A49" t="s">
        <v>43</v>
      </c>
      <c r="B49">
        <v>0</v>
      </c>
      <c r="C49">
        <v>0</v>
      </c>
      <c r="D49">
        <v>0</v>
      </c>
      <c r="E49">
        <v>0</v>
      </c>
      <c r="F49">
        <v>364.61376953125</v>
      </c>
      <c r="G49">
        <v>1099.5907287597699</v>
      </c>
      <c r="H49">
        <v>24497.6943969727</v>
      </c>
      <c r="I49">
        <v>3599.56860351563</v>
      </c>
      <c r="J49">
        <v>18575.488830566399</v>
      </c>
      <c r="K49">
        <v>10433.274047851601</v>
      </c>
      <c r="L49">
        <v>50434.1669921875</v>
      </c>
      <c r="M49">
        <v>11878.5390014648</v>
      </c>
      <c r="N49">
        <v>29999.853820800799</v>
      </c>
      <c r="O49">
        <v>132932.46728515599</v>
      </c>
      <c r="P49">
        <v>33959.376708984397</v>
      </c>
      <c r="Q49">
        <v>40467.549560546897</v>
      </c>
      <c r="R49">
        <v>37344.136230468801</v>
      </c>
      <c r="S49">
        <v>38187.002502441399</v>
      </c>
      <c r="T49">
        <v>41577.0185546875</v>
      </c>
      <c r="U49">
        <v>36822.917724609397</v>
      </c>
      <c r="V49" s="1">
        <f t="shared" si="8"/>
        <v>4.7237197361665685E-2</v>
      </c>
      <c r="W49">
        <f t="shared" si="9"/>
        <v>38879.724914550796</v>
      </c>
      <c r="X49">
        <f t="shared" si="7"/>
        <v>48</v>
      </c>
      <c r="Y49">
        <f t="shared" si="10"/>
        <v>0</v>
      </c>
      <c r="Z49">
        <f t="shared" si="11"/>
        <v>488.06816609700667</v>
      </c>
      <c r="AA49">
        <f t="shared" si="12"/>
        <v>15557.583943684911</v>
      </c>
      <c r="AB49">
        <f t="shared" si="13"/>
        <v>24248.660013834637</v>
      </c>
      <c r="AC49">
        <f t="shared" si="14"/>
        <v>65630.565938313739</v>
      </c>
    </row>
    <row r="50" spans="1:34" x14ac:dyDescent="0.25">
      <c r="A50" t="s">
        <v>39</v>
      </c>
      <c r="B50">
        <v>4424.5020141601599</v>
      </c>
      <c r="C50">
        <v>4707.6267700195303</v>
      </c>
      <c r="D50">
        <v>612.86346435546898</v>
      </c>
      <c r="E50">
        <v>8121.2878417968795</v>
      </c>
      <c r="F50">
        <v>1120.3733825683601</v>
      </c>
      <c r="G50">
        <v>1177.5578308105501</v>
      </c>
      <c r="H50">
        <v>30128.804809570302</v>
      </c>
      <c r="I50">
        <v>1704.626953125</v>
      </c>
      <c r="J50">
        <v>21155.7421875</v>
      </c>
      <c r="K50">
        <v>6975.3064575195303</v>
      </c>
      <c r="L50">
        <v>41640.700866699197</v>
      </c>
      <c r="M50">
        <v>5667.7751312255896</v>
      </c>
      <c r="N50">
        <v>23787.58984375</v>
      </c>
      <c r="O50">
        <v>89739.263000488296</v>
      </c>
      <c r="P50">
        <v>36773.236816406301</v>
      </c>
      <c r="Q50">
        <v>32826.678344726599</v>
      </c>
      <c r="R50">
        <v>32393.898071289099</v>
      </c>
      <c r="S50">
        <v>36574.662719726599</v>
      </c>
      <c r="T50">
        <v>46442.446105957002</v>
      </c>
      <c r="U50">
        <v>32912.848876953103</v>
      </c>
      <c r="V50" s="1">
        <f t="shared" si="8"/>
        <v>0.14694428666299708</v>
      </c>
      <c r="W50">
        <f t="shared" si="9"/>
        <v>36230.106823730479</v>
      </c>
      <c r="X50">
        <f t="shared" si="7"/>
        <v>49</v>
      </c>
      <c r="Y50">
        <f t="shared" si="10"/>
        <v>3248.3307495117201</v>
      </c>
      <c r="Z50">
        <f t="shared" si="11"/>
        <v>3473.07301839193</v>
      </c>
      <c r="AA50">
        <f t="shared" si="12"/>
        <v>17663.057983398434</v>
      </c>
      <c r="AB50">
        <f t="shared" si="13"/>
        <v>18094.594151814774</v>
      </c>
      <c r="AC50">
        <f t="shared" si="14"/>
        <v>50100.02988688153</v>
      </c>
    </row>
    <row r="51" spans="1:34" x14ac:dyDescent="0.25">
      <c r="A51" t="s">
        <v>26</v>
      </c>
      <c r="B51">
        <v>751.32266235351597</v>
      </c>
      <c r="C51">
        <v>874.36639404296898</v>
      </c>
      <c r="D51">
        <v>0</v>
      </c>
      <c r="E51">
        <v>1049.8294372558601</v>
      </c>
      <c r="F51">
        <v>464.12100219726602</v>
      </c>
      <c r="G51">
        <v>1621.26745605469</v>
      </c>
      <c r="H51">
        <v>35978.842010498003</v>
      </c>
      <c r="I51">
        <v>783.09906005859398</v>
      </c>
      <c r="J51">
        <v>25263.438110351599</v>
      </c>
      <c r="K51">
        <v>6828.7116394042996</v>
      </c>
      <c r="L51">
        <v>40580.228515625</v>
      </c>
      <c r="M51">
        <v>15982.837585449201</v>
      </c>
      <c r="N51">
        <v>31771.950622558601</v>
      </c>
      <c r="O51">
        <v>100870.947265625</v>
      </c>
      <c r="P51">
        <v>34865.636047363303</v>
      </c>
      <c r="Q51">
        <v>25617.4091796875</v>
      </c>
      <c r="R51">
        <v>34238.5068359375</v>
      </c>
      <c r="S51">
        <v>37909.55078125</v>
      </c>
      <c r="T51">
        <v>33579.8740234375</v>
      </c>
      <c r="U51">
        <v>30291.052246093801</v>
      </c>
      <c r="V51" s="1">
        <f t="shared" si="8"/>
        <v>0.12795616974527577</v>
      </c>
      <c r="W51">
        <f t="shared" si="9"/>
        <v>32327.278613281262</v>
      </c>
      <c r="X51">
        <f t="shared" si="7"/>
        <v>50</v>
      </c>
      <c r="Y51">
        <f t="shared" si="10"/>
        <v>541.89635213216161</v>
      </c>
      <c r="Z51">
        <f t="shared" si="11"/>
        <v>1045.0726318359386</v>
      </c>
      <c r="AA51">
        <f t="shared" si="12"/>
        <v>20675.126393636066</v>
      </c>
      <c r="AB51">
        <f t="shared" si="13"/>
        <v>21130.5925801595</v>
      </c>
      <c r="AC51">
        <f t="shared" si="14"/>
        <v>55836.177978515632</v>
      </c>
    </row>
    <row r="52" spans="1:34" x14ac:dyDescent="0.25">
      <c r="A52" t="s">
        <v>21</v>
      </c>
      <c r="B52">
        <v>526.250244140625</v>
      </c>
      <c r="C52">
        <v>1100.09497070313</v>
      </c>
      <c r="D52">
        <v>0</v>
      </c>
      <c r="E52">
        <v>1517.9363098144499</v>
      </c>
      <c r="F52">
        <v>0</v>
      </c>
      <c r="G52">
        <v>0</v>
      </c>
      <c r="H52">
        <v>17268.062347412098</v>
      </c>
      <c r="I52">
        <v>4860.5791625976599</v>
      </c>
      <c r="J52">
        <v>17869.92578125</v>
      </c>
      <c r="K52">
        <v>11810.915405273399</v>
      </c>
      <c r="L52">
        <v>20171.6252441406</v>
      </c>
      <c r="M52">
        <v>17143.0627441406</v>
      </c>
      <c r="N52">
        <v>31019.4121704102</v>
      </c>
      <c r="O52">
        <v>51551.699829101599</v>
      </c>
      <c r="P52">
        <v>50457.928955078103</v>
      </c>
      <c r="Q52">
        <v>22071.5790710449</v>
      </c>
      <c r="R52">
        <v>25798.535797119101</v>
      </c>
      <c r="S52">
        <v>30651.9257202148</v>
      </c>
      <c r="T52">
        <v>29428.318847656301</v>
      </c>
      <c r="U52">
        <v>26218.429321289099</v>
      </c>
      <c r="V52" s="1">
        <f t="shared" si="8"/>
        <v>0.11234325252509206</v>
      </c>
      <c r="W52">
        <f t="shared" si="9"/>
        <v>26833.757751464836</v>
      </c>
      <c r="X52">
        <f t="shared" si="7"/>
        <v>51</v>
      </c>
      <c r="Y52">
        <f t="shared" si="10"/>
        <v>542.11507161458496</v>
      </c>
      <c r="Z52">
        <f t="shared" si="11"/>
        <v>505.97876993814998</v>
      </c>
      <c r="AA52">
        <f t="shared" si="12"/>
        <v>13332.855763753252</v>
      </c>
      <c r="AB52">
        <f t="shared" si="13"/>
        <v>16375.201131184867</v>
      </c>
      <c r="AC52">
        <f t="shared" si="14"/>
        <v>44343.013651529967</v>
      </c>
    </row>
    <row r="53" spans="1:34" x14ac:dyDescent="0.25">
      <c r="A53" t="s">
        <v>7</v>
      </c>
      <c r="B53">
        <v>3394.0198974609398</v>
      </c>
      <c r="C53">
        <v>2362.5832214355501</v>
      </c>
      <c r="D53">
        <v>1911.4404296875</v>
      </c>
      <c r="E53">
        <v>3749.4727783203102</v>
      </c>
      <c r="F53">
        <v>1901.6748657226599</v>
      </c>
      <c r="G53">
        <v>3789.39819335938</v>
      </c>
      <c r="H53">
        <v>22709.4677734375</v>
      </c>
      <c r="I53">
        <v>5440.3885498046902</v>
      </c>
      <c r="J53">
        <v>11087.716430664101</v>
      </c>
      <c r="K53">
        <v>13135.9099121094</v>
      </c>
      <c r="L53">
        <v>29601.9645996094</v>
      </c>
      <c r="M53">
        <v>14357.646484375</v>
      </c>
      <c r="N53">
        <v>27281.437988281301</v>
      </c>
      <c r="O53">
        <v>55948.846191406301</v>
      </c>
      <c r="P53">
        <v>32171.590332031301</v>
      </c>
      <c r="Q53">
        <v>21005.8718261719</v>
      </c>
      <c r="R53">
        <v>21000.4931640625</v>
      </c>
      <c r="S53">
        <v>24028.1364746094</v>
      </c>
      <c r="T53">
        <v>27295.3056640625</v>
      </c>
      <c r="U53">
        <v>23061.1125488281</v>
      </c>
      <c r="V53" s="1">
        <f t="shared" si="8"/>
        <v>0.10000812146012773</v>
      </c>
      <c r="W53">
        <f t="shared" si="9"/>
        <v>23278.18393554688</v>
      </c>
      <c r="X53">
        <f t="shared" si="7"/>
        <v>52</v>
      </c>
      <c r="Y53">
        <f t="shared" si="10"/>
        <v>2556.0145161946634</v>
      </c>
      <c r="Z53">
        <f t="shared" si="11"/>
        <v>3146.8486124674505</v>
      </c>
      <c r="AA53">
        <f t="shared" si="12"/>
        <v>13079.190917968765</v>
      </c>
      <c r="AB53">
        <f t="shared" si="13"/>
        <v>19031.840332031268</v>
      </c>
      <c r="AC53">
        <f t="shared" si="14"/>
        <v>38467.291503906301</v>
      </c>
    </row>
    <row r="54" spans="1:34" x14ac:dyDescent="0.25">
      <c r="A54" t="s">
        <v>19</v>
      </c>
      <c r="B54">
        <v>551.81671142578102</v>
      </c>
      <c r="C54">
        <v>1262.4237976074201</v>
      </c>
      <c r="D54">
        <v>4048.1565856933598</v>
      </c>
      <c r="E54">
        <v>327.70751953125</v>
      </c>
      <c r="F54">
        <v>1360.05834960938</v>
      </c>
      <c r="G54">
        <v>1314.7803039550799</v>
      </c>
      <c r="H54">
        <v>24394.2053222656</v>
      </c>
      <c r="I54">
        <v>870.33749389648403</v>
      </c>
      <c r="J54">
        <v>8026.4503173828098</v>
      </c>
      <c r="K54">
        <v>5546.2467041015598</v>
      </c>
      <c r="L54">
        <v>27840.8537597656</v>
      </c>
      <c r="M54">
        <v>5033.6521301269504</v>
      </c>
      <c r="N54">
        <v>18717.8518066406</v>
      </c>
      <c r="O54">
        <v>68310.508300781294</v>
      </c>
      <c r="P54">
        <v>26905.325988769499</v>
      </c>
      <c r="Q54">
        <v>19965.1315917969</v>
      </c>
      <c r="R54">
        <v>17259.426879882802</v>
      </c>
      <c r="S54">
        <v>27763.074707031301</v>
      </c>
      <c r="T54">
        <v>22236.788940429698</v>
      </c>
      <c r="U54">
        <v>27240.744262695302</v>
      </c>
      <c r="V54" s="1">
        <f t="shared" si="8"/>
        <v>0.17835787251562463</v>
      </c>
      <c r="W54">
        <f t="shared" si="9"/>
        <v>22893.033276367198</v>
      </c>
      <c r="X54">
        <f t="shared" si="7"/>
        <v>53</v>
      </c>
      <c r="Y54">
        <f t="shared" si="10"/>
        <v>1954.1323649088536</v>
      </c>
      <c r="Z54">
        <f t="shared" si="11"/>
        <v>1000.8487243652366</v>
      </c>
      <c r="AA54">
        <f t="shared" si="12"/>
        <v>11096.997711181632</v>
      </c>
      <c r="AB54">
        <f t="shared" si="13"/>
        <v>12806.91753133137</v>
      </c>
      <c r="AC54">
        <f t="shared" si="14"/>
        <v>37977.895365397133</v>
      </c>
    </row>
    <row r="55" spans="1:34" x14ac:dyDescent="0.25">
      <c r="A55" t="s">
        <v>22</v>
      </c>
      <c r="B55">
        <v>525.038330078125</v>
      </c>
      <c r="C55">
        <v>1391.6826782226599</v>
      </c>
      <c r="D55">
        <v>1498.2265930175799</v>
      </c>
      <c r="E55">
        <v>148.18751525878901</v>
      </c>
      <c r="F55">
        <v>1202.1739196777301</v>
      </c>
      <c r="G55">
        <v>875.90908813476597</v>
      </c>
      <c r="H55">
        <v>21644.9714355469</v>
      </c>
      <c r="I55">
        <v>3749.69018554688</v>
      </c>
      <c r="J55">
        <v>11971.6569824219</v>
      </c>
      <c r="K55">
        <v>6253.9606628417996</v>
      </c>
      <c r="L55">
        <v>24241.2268066406</v>
      </c>
      <c r="M55">
        <v>10633.048370361301</v>
      </c>
      <c r="N55">
        <v>13857.328430175799</v>
      </c>
      <c r="O55">
        <v>63860.4072265625</v>
      </c>
      <c r="P55">
        <v>33559.845214843801</v>
      </c>
      <c r="Q55">
        <v>23723.548461914099</v>
      </c>
      <c r="R55">
        <v>20473.808227539099</v>
      </c>
      <c r="S55">
        <v>22420.2608032227</v>
      </c>
      <c r="T55">
        <v>24452.3449707031</v>
      </c>
      <c r="U55">
        <v>18661.854003906301</v>
      </c>
      <c r="V55" s="1">
        <f t="shared" si="8"/>
        <v>9.6915290188440889E-2</v>
      </c>
      <c r="W55">
        <f t="shared" si="9"/>
        <v>21946.36329345706</v>
      </c>
      <c r="X55">
        <f t="shared" si="7"/>
        <v>54</v>
      </c>
      <c r="Y55">
        <f t="shared" si="10"/>
        <v>1138.3158671061217</v>
      </c>
      <c r="Z55">
        <f t="shared" si="11"/>
        <v>742.09017435709495</v>
      </c>
      <c r="AA55">
        <f t="shared" si="12"/>
        <v>12455.439534505227</v>
      </c>
      <c r="AB55">
        <f t="shared" si="13"/>
        <v>13709.411946614566</v>
      </c>
      <c r="AC55">
        <f t="shared" si="14"/>
        <v>37092.52695719403</v>
      </c>
    </row>
    <row r="56" spans="1:34" x14ac:dyDescent="0.25">
      <c r="A56" t="s">
        <v>40</v>
      </c>
      <c r="B56">
        <v>554.19708251953102</v>
      </c>
      <c r="C56">
        <v>609.26873779296898</v>
      </c>
      <c r="D56">
        <v>0</v>
      </c>
      <c r="E56">
        <v>0</v>
      </c>
      <c r="F56">
        <v>0</v>
      </c>
      <c r="G56">
        <v>527.8759765625</v>
      </c>
      <c r="H56">
        <v>14020.007324218799</v>
      </c>
      <c r="I56">
        <v>0</v>
      </c>
      <c r="J56">
        <v>8923.4586791992206</v>
      </c>
      <c r="K56">
        <v>2157.30786132813</v>
      </c>
      <c r="L56">
        <v>25322.327331543001</v>
      </c>
      <c r="M56">
        <v>3669.8812866210901</v>
      </c>
      <c r="N56">
        <v>9004.9467163085901</v>
      </c>
      <c r="O56">
        <v>66222.9677734375</v>
      </c>
      <c r="P56">
        <v>22648.0485839844</v>
      </c>
      <c r="Q56">
        <v>20993.1301269531</v>
      </c>
      <c r="R56">
        <v>17567.717163085901</v>
      </c>
      <c r="S56">
        <v>26231.481597900402</v>
      </c>
      <c r="T56">
        <v>20724.765441894499</v>
      </c>
      <c r="U56">
        <v>21553.8359375</v>
      </c>
      <c r="V56" s="1">
        <f t="shared" si="8"/>
        <v>0.12987380673162632</v>
      </c>
      <c r="W56">
        <f t="shared" si="9"/>
        <v>21414.186053466783</v>
      </c>
      <c r="X56">
        <f t="shared" si="7"/>
        <v>55</v>
      </c>
      <c r="Y56">
        <f t="shared" si="10"/>
        <v>387.82194010416669</v>
      </c>
      <c r="Z56">
        <f t="shared" si="11"/>
        <v>175.95865885416666</v>
      </c>
      <c r="AA56">
        <f t="shared" si="12"/>
        <v>7647.8220011393396</v>
      </c>
      <c r="AB56">
        <f t="shared" si="13"/>
        <v>10383.172159830739</v>
      </c>
      <c r="AC56">
        <f t="shared" si="14"/>
        <v>32625.321024576831</v>
      </c>
    </row>
    <row r="57" spans="1:34" x14ac:dyDescent="0.25">
      <c r="A57" t="s">
        <v>51</v>
      </c>
      <c r="B57">
        <v>597.73455810546898</v>
      </c>
      <c r="C57">
        <v>0</v>
      </c>
      <c r="D57">
        <v>0</v>
      </c>
      <c r="E57">
        <v>0</v>
      </c>
      <c r="F57">
        <v>449.39096069335898</v>
      </c>
      <c r="G57">
        <v>233.88179016113301</v>
      </c>
      <c r="H57">
        <v>12986.792358398399</v>
      </c>
      <c r="I57">
        <v>0</v>
      </c>
      <c r="J57">
        <v>4741.6007080078098</v>
      </c>
      <c r="K57">
        <v>1787.46105957031</v>
      </c>
      <c r="L57">
        <v>16228.7745361328</v>
      </c>
      <c r="M57">
        <v>1664.5993041992199</v>
      </c>
      <c r="N57">
        <v>2600.6205444335901</v>
      </c>
      <c r="O57">
        <v>63392.403015136697</v>
      </c>
      <c r="P57">
        <v>11104.895019531299</v>
      </c>
      <c r="Q57">
        <v>9143.8838806152307</v>
      </c>
      <c r="R57">
        <v>10695.7155761719</v>
      </c>
      <c r="S57">
        <v>13268.529785156299</v>
      </c>
      <c r="T57">
        <v>12977.4777832031</v>
      </c>
      <c r="U57">
        <v>18709.378723144499</v>
      </c>
      <c r="V57" s="1">
        <f t="shared" si="8"/>
        <v>0.25085765751705558</v>
      </c>
      <c r="W57">
        <f t="shared" si="9"/>
        <v>12958.997149658206</v>
      </c>
      <c r="X57">
        <f t="shared" si="7"/>
        <v>56</v>
      </c>
      <c r="Y57">
        <f t="shared" si="10"/>
        <v>199.24485270182299</v>
      </c>
      <c r="Z57">
        <f t="shared" si="11"/>
        <v>227.75758361816398</v>
      </c>
      <c r="AA57">
        <f t="shared" si="12"/>
        <v>5909.4643554687364</v>
      </c>
      <c r="AB57">
        <f t="shared" si="13"/>
        <v>6560.2782999674428</v>
      </c>
      <c r="AC57">
        <f t="shared" si="14"/>
        <v>25699.306193033859</v>
      </c>
    </row>
    <row r="58" spans="1:34" x14ac:dyDescent="0.25">
      <c r="A58" t="s">
        <v>55</v>
      </c>
      <c r="B58">
        <v>795.37237548828102</v>
      </c>
      <c r="C58">
        <v>434.16961669921898</v>
      </c>
      <c r="D58">
        <v>0</v>
      </c>
      <c r="E58">
        <v>593.89373779296898</v>
      </c>
      <c r="F58">
        <v>0</v>
      </c>
      <c r="G58">
        <v>1173.5851440429699</v>
      </c>
      <c r="H58">
        <v>11528.1590576172</v>
      </c>
      <c r="I58">
        <v>0</v>
      </c>
      <c r="J58">
        <v>6828.3115234375</v>
      </c>
      <c r="K58">
        <v>1033.7890014648401</v>
      </c>
      <c r="L58">
        <v>9774.9215087890607</v>
      </c>
      <c r="M58">
        <v>2258.0078125</v>
      </c>
      <c r="N58">
        <v>3369.4751892089798</v>
      </c>
      <c r="O58">
        <v>28950.934753418001</v>
      </c>
      <c r="P58">
        <v>12006.7487792969</v>
      </c>
      <c r="Q58">
        <v>2236.0457458496098</v>
      </c>
      <c r="R58">
        <v>8423.1580200195294</v>
      </c>
      <c r="S58">
        <v>7589.4554443359402</v>
      </c>
      <c r="T58">
        <v>4407.8986816406295</v>
      </c>
      <c r="U58">
        <v>7185.6073913574201</v>
      </c>
      <c r="V58" s="1">
        <f t="shared" si="8"/>
        <v>0.38573127485953157</v>
      </c>
      <c r="W58">
        <f t="shared" si="9"/>
        <v>5968.4330566406252</v>
      </c>
      <c r="X58">
        <f t="shared" si="7"/>
        <v>57</v>
      </c>
      <c r="Y58">
        <f t="shared" si="10"/>
        <v>409.84733072916669</v>
      </c>
      <c r="Z58">
        <f t="shared" si="11"/>
        <v>589.15962727864633</v>
      </c>
      <c r="AA58">
        <f t="shared" si="12"/>
        <v>6118.823527018234</v>
      </c>
      <c r="AB58">
        <f t="shared" si="13"/>
        <v>4355.5727742513</v>
      </c>
      <c r="AC58">
        <f t="shared" si="14"/>
        <v>14775.719573974629</v>
      </c>
    </row>
    <row r="59" spans="1:34" x14ac:dyDescent="0.25">
      <c r="A59" t="s">
        <v>80</v>
      </c>
      <c r="B59">
        <f>SUM(B2:B58)</f>
        <v>1211326.6895751958</v>
      </c>
      <c r="C59">
        <f t="shared" ref="C59:U59" si="15">SUM(C2:C58)</f>
        <v>1201851.155563355</v>
      </c>
      <c r="D59">
        <f t="shared" si="15"/>
        <v>1392059.4263610845</v>
      </c>
      <c r="E59">
        <f t="shared" si="15"/>
        <v>1970286.379989624</v>
      </c>
      <c r="F59">
        <f t="shared" si="15"/>
        <v>1726926.3959045415</v>
      </c>
      <c r="G59">
        <f t="shared" si="15"/>
        <v>2472066.3205108643</v>
      </c>
      <c r="H59">
        <f t="shared" si="15"/>
        <v>17995403.279083252</v>
      </c>
      <c r="I59">
        <f t="shared" si="15"/>
        <v>5166821.3309326172</v>
      </c>
      <c r="J59">
        <f t="shared" si="15"/>
        <v>14303878.207214355</v>
      </c>
      <c r="K59">
        <f t="shared" si="15"/>
        <v>8326376.0692138691</v>
      </c>
      <c r="L59">
        <f t="shared" si="15"/>
        <v>19051006.691772461</v>
      </c>
      <c r="M59">
        <f t="shared" si="15"/>
        <v>10976733.286819458</v>
      </c>
      <c r="N59">
        <f t="shared" si="15"/>
        <v>14133575.059051514</v>
      </c>
      <c r="O59">
        <f t="shared" si="15"/>
        <v>38863784.365844727</v>
      </c>
      <c r="P59">
        <f t="shared" si="15"/>
        <v>20596072.773071289</v>
      </c>
      <c r="Q59">
        <f t="shared" si="15"/>
        <v>16184432.564239502</v>
      </c>
      <c r="R59">
        <f t="shared" si="15"/>
        <v>15883807.656158447</v>
      </c>
      <c r="S59">
        <f t="shared" si="15"/>
        <v>18964988.799224854</v>
      </c>
      <c r="T59">
        <f t="shared" si="15"/>
        <v>18382370.931152344</v>
      </c>
      <c r="U59">
        <f t="shared" si="15"/>
        <v>18189455.753631592</v>
      </c>
    </row>
    <row r="61" spans="1:34" x14ac:dyDescent="0.25">
      <c r="A61" t="s">
        <v>57</v>
      </c>
      <c r="B61" t="s">
        <v>58</v>
      </c>
      <c r="C61" t="s">
        <v>59</v>
      </c>
      <c r="D61" t="s">
        <v>60</v>
      </c>
      <c r="E61" t="s">
        <v>61</v>
      </c>
      <c r="F61" t="s">
        <v>62</v>
      </c>
      <c r="G61" t="s">
        <v>63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 t="s">
        <v>69</v>
      </c>
      <c r="N61" t="s">
        <v>75</v>
      </c>
      <c r="O61" t="s">
        <v>76</v>
      </c>
      <c r="P61" t="s">
        <v>77</v>
      </c>
      <c r="Q61" t="s">
        <v>70</v>
      </c>
      <c r="R61" t="s">
        <v>71</v>
      </c>
      <c r="S61" t="s">
        <v>72</v>
      </c>
      <c r="T61" t="s">
        <v>73</v>
      </c>
      <c r="U61" t="s">
        <v>74</v>
      </c>
      <c r="V61" t="s">
        <v>78</v>
      </c>
      <c r="W61" t="s">
        <v>79</v>
      </c>
      <c r="Z61" t="s">
        <v>81</v>
      </c>
      <c r="AA61" t="s">
        <v>82</v>
      </c>
      <c r="AD61" t="s">
        <v>83</v>
      </c>
      <c r="AE61" t="s">
        <v>84</v>
      </c>
      <c r="AF61" t="s">
        <v>85</v>
      </c>
      <c r="AG61" t="s">
        <v>86</v>
      </c>
      <c r="AH61" t="s">
        <v>87</v>
      </c>
    </row>
    <row r="62" spans="1:34" x14ac:dyDescent="0.25">
      <c r="A62" t="s">
        <v>20</v>
      </c>
      <c r="B62">
        <f>B2/B$59</f>
        <v>0.29283964885333658</v>
      </c>
      <c r="C62">
        <f t="shared" ref="C62:U62" si="16">C2/C$59</f>
        <v>0.29750284552023026</v>
      </c>
      <c r="D62">
        <f t="shared" si="16"/>
        <v>0.29230403403191607</v>
      </c>
      <c r="E62">
        <f t="shared" si="16"/>
        <v>0.2947296288169835</v>
      </c>
      <c r="F62">
        <f t="shared" si="16"/>
        <v>0.26156284388732187</v>
      </c>
      <c r="G62">
        <f t="shared" si="16"/>
        <v>0.27679800880699829</v>
      </c>
      <c r="H62">
        <f t="shared" si="16"/>
        <v>0.23958117050153907</v>
      </c>
      <c r="I62">
        <f t="shared" si="16"/>
        <v>0.2733182421042995</v>
      </c>
      <c r="J62">
        <f t="shared" si="16"/>
        <v>0.23047347603863702</v>
      </c>
      <c r="K62">
        <f t="shared" si="16"/>
        <v>0.25635041220297955</v>
      </c>
      <c r="L62">
        <f t="shared" si="16"/>
        <v>0.22186532775590309</v>
      </c>
      <c r="M62">
        <f t="shared" si="16"/>
        <v>0.24938987484665348</v>
      </c>
      <c r="N62">
        <f t="shared" si="16"/>
        <v>0.24343084207286836</v>
      </c>
      <c r="O62">
        <f t="shared" si="16"/>
        <v>0.22081706536129475</v>
      </c>
      <c r="P62">
        <f t="shared" si="16"/>
        <v>0.24733413500123136</v>
      </c>
      <c r="Q62">
        <f t="shared" si="16"/>
        <v>0.23425950855560032</v>
      </c>
      <c r="R62">
        <f t="shared" si="16"/>
        <v>0.23386965946164212</v>
      </c>
      <c r="S62">
        <f t="shared" si="16"/>
        <v>0.23250046027869112</v>
      </c>
      <c r="T62">
        <f t="shared" si="16"/>
        <v>0.23481517889702447</v>
      </c>
      <c r="U62">
        <f t="shared" si="16"/>
        <v>0.23140918464037147</v>
      </c>
      <c r="V62" s="1">
        <f t="shared" ref="V62:V93" si="17">_xlfn.STDEV.P(Q62:U62)/AVERAGE(Q62:U62)</f>
        <v>5.3280369124263849E-3</v>
      </c>
      <c r="W62">
        <f t="shared" ref="W62:W93" si="18">AVERAGE(Q62:U62)</f>
        <v>0.23337079836666588</v>
      </c>
      <c r="Z62" s="1">
        <v>6.8966591673135028E-2</v>
      </c>
      <c r="AA62">
        <v>5.3280369124263849E-3</v>
      </c>
      <c r="AD62">
        <f t="shared" ref="AD62:AD108" si="19">_xlfn.STDEV.P(B62:D62)/AVERAGE(B62:D62)</f>
        <v>7.9355426966064638E-3</v>
      </c>
      <c r="AE62">
        <f t="shared" ref="AE62:AE93" si="20">_xlfn.STDEV.P(E62:G62)/AVERAGE(E62:G62)</f>
        <v>4.8812913377728258E-2</v>
      </c>
      <c r="AF62">
        <f t="shared" ref="AF62:AF93" si="21">_xlfn.STDEV.P(H62:J62)/AVERAGE(H62:J62)</f>
        <v>7.4375139684992583E-2</v>
      </c>
      <c r="AG62">
        <f t="shared" ref="AG62:AG93" si="22">_xlfn.STDEV.P(K62:M62)/AVERAGE(K62:M62)</f>
        <v>6.1391024934703942E-2</v>
      </c>
      <c r="AH62">
        <f t="shared" ref="AH62:AH93" si="23">_xlfn.STDEV.P(N62:P62)/AVERAGE(N62:P62)</f>
        <v>4.9281917662147193E-2</v>
      </c>
    </row>
    <row r="63" spans="1:34" x14ac:dyDescent="0.25">
      <c r="A63" t="s">
        <v>15</v>
      </c>
      <c r="B63">
        <f t="shared" ref="B63:U63" si="24">B3/B$59</f>
        <v>0.1790034731640846</v>
      </c>
      <c r="C63">
        <f t="shared" si="24"/>
        <v>0.18882287232840717</v>
      </c>
      <c r="D63">
        <f t="shared" si="24"/>
        <v>0.1867385895634599</v>
      </c>
      <c r="E63">
        <f t="shared" si="24"/>
        <v>0.18293248259075318</v>
      </c>
      <c r="F63">
        <f t="shared" si="24"/>
        <v>0.16822842146108399</v>
      </c>
      <c r="G63">
        <f t="shared" si="24"/>
        <v>0.17686417594407275</v>
      </c>
      <c r="H63">
        <f t="shared" si="24"/>
        <v>0.15058734488878042</v>
      </c>
      <c r="I63">
        <f t="shared" si="24"/>
        <v>0.17209677519505007</v>
      </c>
      <c r="J63">
        <f t="shared" si="24"/>
        <v>0.1495308879445178</v>
      </c>
      <c r="K63">
        <f t="shared" si="24"/>
        <v>0.15987593276587175</v>
      </c>
      <c r="L63">
        <f t="shared" si="24"/>
        <v>0.14936612007773403</v>
      </c>
      <c r="M63">
        <f t="shared" si="24"/>
        <v>0.15854505700500254</v>
      </c>
      <c r="N63">
        <f t="shared" si="24"/>
        <v>0.15248407650722373</v>
      </c>
      <c r="O63">
        <f t="shared" si="24"/>
        <v>0.15238890628867541</v>
      </c>
      <c r="P63">
        <f t="shared" si="24"/>
        <v>0.1561914142477217</v>
      </c>
      <c r="Q63">
        <f t="shared" si="24"/>
        <v>0.1517798917030137</v>
      </c>
      <c r="R63">
        <f t="shared" si="24"/>
        <v>0.15118899338307654</v>
      </c>
      <c r="S63">
        <f t="shared" si="24"/>
        <v>0.15044906558904059</v>
      </c>
      <c r="T63">
        <f t="shared" si="24"/>
        <v>0.1516124459237691</v>
      </c>
      <c r="U63">
        <f t="shared" si="24"/>
        <v>0.14913905200040897</v>
      </c>
      <c r="V63" s="1">
        <f t="shared" si="17"/>
        <v>6.3919980731923735E-3</v>
      </c>
      <c r="W63">
        <f t="shared" si="18"/>
        <v>0.15083388971986178</v>
      </c>
      <c r="Z63" s="1">
        <v>6.8323752777980501E-2</v>
      </c>
      <c r="AA63">
        <v>6.3919980731923735E-3</v>
      </c>
      <c r="AD63">
        <f t="shared" si="19"/>
        <v>2.2851574005041318E-2</v>
      </c>
      <c r="AE63">
        <f t="shared" si="20"/>
        <v>3.4278675565372216E-2</v>
      </c>
      <c r="AF63">
        <f t="shared" si="21"/>
        <v>6.6056356740563704E-2</v>
      </c>
      <c r="AG63">
        <f t="shared" si="22"/>
        <v>2.9964789387125417E-2</v>
      </c>
      <c r="AH63">
        <f t="shared" si="23"/>
        <v>1.1520173594251511E-2</v>
      </c>
    </row>
    <row r="64" spans="1:34" x14ac:dyDescent="0.25">
      <c r="A64" t="s">
        <v>37</v>
      </c>
      <c r="B64">
        <f t="shared" ref="B64:U64" si="25">B4/B$59</f>
        <v>5.3346189666422517E-2</v>
      </c>
      <c r="C64">
        <f t="shared" si="25"/>
        <v>4.6728623150610105E-2</v>
      </c>
      <c r="D64">
        <f t="shared" si="25"/>
        <v>4.4249066814212749E-2</v>
      </c>
      <c r="E64">
        <f t="shared" si="25"/>
        <v>5.1536902236264628E-2</v>
      </c>
      <c r="F64">
        <f t="shared" si="25"/>
        <v>6.087871142641877E-2</v>
      </c>
      <c r="G64">
        <f t="shared" si="25"/>
        <v>4.9354926573403714E-2</v>
      </c>
      <c r="H64">
        <f t="shared" si="25"/>
        <v>5.3008454483138172E-2</v>
      </c>
      <c r="I64">
        <f t="shared" si="25"/>
        <v>5.2271965857657261E-2</v>
      </c>
      <c r="J64">
        <f t="shared" si="25"/>
        <v>5.9313080945389646E-2</v>
      </c>
      <c r="K64">
        <f t="shared" si="25"/>
        <v>5.9527900893854499E-2</v>
      </c>
      <c r="L64">
        <f t="shared" si="25"/>
        <v>5.5522547800285739E-2</v>
      </c>
      <c r="M64">
        <f t="shared" si="25"/>
        <v>5.5275843153496824E-2</v>
      </c>
      <c r="N64">
        <f t="shared" si="25"/>
        <v>5.6613332289027866E-2</v>
      </c>
      <c r="O64">
        <f t="shared" si="25"/>
        <v>5.2105861381764713E-2</v>
      </c>
      <c r="P64">
        <f t="shared" si="25"/>
        <v>5.0525639594777037E-2</v>
      </c>
      <c r="Q64">
        <f t="shared" si="25"/>
        <v>5.4282535254969053E-2</v>
      </c>
      <c r="R64">
        <f t="shared" si="25"/>
        <v>5.4984316575700409E-2</v>
      </c>
      <c r="S64">
        <f t="shared" si="25"/>
        <v>5.3129815067300933E-2</v>
      </c>
      <c r="T64">
        <f t="shared" si="25"/>
        <v>5.3327700435595995E-2</v>
      </c>
      <c r="U64">
        <f t="shared" si="25"/>
        <v>5.6077315207539953E-2</v>
      </c>
      <c r="V64" s="1">
        <f t="shared" si="17"/>
        <v>2.0023417257936611E-2</v>
      </c>
      <c r="W64">
        <f t="shared" si="18"/>
        <v>5.4360336508221266E-2</v>
      </c>
      <c r="Z64" s="1">
        <v>6.6603449586567054E-2</v>
      </c>
      <c r="AA64">
        <v>2.0023417257936611E-2</v>
      </c>
      <c r="AD64">
        <f t="shared" si="19"/>
        <v>7.9816750645346671E-2</v>
      </c>
      <c r="AE64">
        <f t="shared" si="20"/>
        <v>9.2688487563932276E-2</v>
      </c>
      <c r="AF64">
        <f t="shared" si="21"/>
        <v>5.7595682883740791E-2</v>
      </c>
      <c r="AG64">
        <f t="shared" si="22"/>
        <v>3.4326372928154394E-2</v>
      </c>
      <c r="AH64">
        <f t="shared" si="23"/>
        <v>4.8590931720241426E-2</v>
      </c>
    </row>
    <row r="65" spans="1:34" x14ac:dyDescent="0.25">
      <c r="A65" t="s">
        <v>5</v>
      </c>
      <c r="B65">
        <f t="shared" ref="B65:U65" si="26">B5/B$59</f>
        <v>7.4380694397229233E-2</v>
      </c>
      <c r="C65">
        <f t="shared" si="26"/>
        <v>6.6270047692473147E-2</v>
      </c>
      <c r="D65">
        <f t="shared" si="26"/>
        <v>7.1702982365430407E-2</v>
      </c>
      <c r="E65">
        <f t="shared" si="26"/>
        <v>7.0361060636198E-2</v>
      </c>
      <c r="F65">
        <f t="shared" si="26"/>
        <v>6.9672430997401252E-2</v>
      </c>
      <c r="G65">
        <f t="shared" si="26"/>
        <v>7.0579056061011614E-2</v>
      </c>
      <c r="H65">
        <f t="shared" si="26"/>
        <v>5.6252008494947658E-2</v>
      </c>
      <c r="I65">
        <f t="shared" si="26"/>
        <v>6.5406328350626541E-2</v>
      </c>
      <c r="J65">
        <f t="shared" si="26"/>
        <v>6.0343807200110129E-2</v>
      </c>
      <c r="K65">
        <f t="shared" si="26"/>
        <v>5.9976007896331902E-2</v>
      </c>
      <c r="L65">
        <f t="shared" si="26"/>
        <v>4.8529723026357455E-2</v>
      </c>
      <c r="M65">
        <f t="shared" si="26"/>
        <v>5.9768655099353037E-2</v>
      </c>
      <c r="N65">
        <f t="shared" si="26"/>
        <v>5.5633149134403599E-2</v>
      </c>
      <c r="O65">
        <f t="shared" si="26"/>
        <v>4.654943376641181E-2</v>
      </c>
      <c r="P65">
        <f t="shared" si="26"/>
        <v>5.2156143853768946E-2</v>
      </c>
      <c r="Q65">
        <f t="shared" si="26"/>
        <v>5.35717301948078E-2</v>
      </c>
      <c r="R65">
        <f t="shared" si="26"/>
        <v>5.4183136326969812E-2</v>
      </c>
      <c r="S65">
        <f t="shared" si="26"/>
        <v>5.4368930409921669E-2</v>
      </c>
      <c r="T65">
        <f t="shared" si="26"/>
        <v>5.2691689833030755E-2</v>
      </c>
      <c r="U65">
        <f t="shared" si="26"/>
        <v>5.4695864102551117E-2</v>
      </c>
      <c r="V65" s="1">
        <f t="shared" si="17"/>
        <v>1.3121486820512528E-2</v>
      </c>
      <c r="W65">
        <f t="shared" si="18"/>
        <v>5.3902270173456238E-2</v>
      </c>
      <c r="Z65" s="1">
        <v>7.2828714428515587E-2</v>
      </c>
      <c r="AA65">
        <v>1.3121486820512528E-2</v>
      </c>
      <c r="AD65">
        <f t="shared" si="19"/>
        <v>4.7669154511457014E-2</v>
      </c>
      <c r="AE65">
        <f t="shared" si="20"/>
        <v>5.5038578196841192E-3</v>
      </c>
      <c r="AF65">
        <f t="shared" si="21"/>
        <v>6.1717394969607056E-2</v>
      </c>
      <c r="AG65">
        <f t="shared" si="22"/>
        <v>9.5337628325246365E-2</v>
      </c>
      <c r="AH65">
        <f t="shared" si="23"/>
        <v>7.2740612874062555E-2</v>
      </c>
    </row>
    <row r="66" spans="1:34" x14ac:dyDescent="0.25">
      <c r="A66" t="s">
        <v>8</v>
      </c>
      <c r="B66">
        <f t="shared" ref="B66:U66" si="27">B6/B$59</f>
        <v>6.5282274029976245E-2</v>
      </c>
      <c r="C66">
        <f t="shared" si="27"/>
        <v>6.8672044205762783E-2</v>
      </c>
      <c r="D66">
        <f t="shared" si="27"/>
        <v>7.8067491301204009E-2</v>
      </c>
      <c r="E66">
        <f t="shared" si="27"/>
        <v>7.0841390407871088E-2</v>
      </c>
      <c r="F66">
        <f t="shared" si="27"/>
        <v>6.3889354608442611E-2</v>
      </c>
      <c r="G66">
        <f t="shared" si="27"/>
        <v>6.5862202825040447E-2</v>
      </c>
      <c r="H66">
        <f t="shared" si="27"/>
        <v>5.2642769517069705E-2</v>
      </c>
      <c r="I66">
        <f t="shared" si="27"/>
        <v>6.3984953056781341E-2</v>
      </c>
      <c r="J66">
        <f t="shared" si="27"/>
        <v>5.3291344031913476E-2</v>
      </c>
      <c r="K66">
        <f t="shared" si="27"/>
        <v>5.6220188206283654E-2</v>
      </c>
      <c r="L66">
        <f t="shared" si="27"/>
        <v>5.1881003442030858E-2</v>
      </c>
      <c r="M66">
        <f t="shared" si="27"/>
        <v>5.7363793940619467E-2</v>
      </c>
      <c r="N66">
        <f t="shared" si="27"/>
        <v>5.3631649334242748E-2</v>
      </c>
      <c r="O66">
        <f t="shared" si="27"/>
        <v>5.2314896568894861E-2</v>
      </c>
      <c r="P66">
        <f t="shared" si="27"/>
        <v>5.5216888540732853E-2</v>
      </c>
      <c r="Q66">
        <f t="shared" si="27"/>
        <v>5.307342824056941E-2</v>
      </c>
      <c r="R66">
        <f t="shared" si="27"/>
        <v>5.1105986778161874E-2</v>
      </c>
      <c r="S66">
        <f t="shared" si="27"/>
        <v>5.2680846925458526E-2</v>
      </c>
      <c r="T66">
        <f t="shared" si="27"/>
        <v>5.2107979891781224E-2</v>
      </c>
      <c r="U66">
        <f t="shared" si="27"/>
        <v>5.2718157956488015E-2</v>
      </c>
      <c r="V66" s="1">
        <f t="shared" si="17"/>
        <v>1.3164825893840123E-2</v>
      </c>
      <c r="W66">
        <f t="shared" si="18"/>
        <v>5.2337279958491814E-2</v>
      </c>
      <c r="Z66" s="1">
        <v>7.648010278640692E-2</v>
      </c>
      <c r="AA66">
        <v>1.3164825893840123E-2</v>
      </c>
      <c r="AD66">
        <f t="shared" si="19"/>
        <v>7.6521675904696856E-2</v>
      </c>
      <c r="AE66">
        <f t="shared" si="20"/>
        <v>4.3749458122007187E-2</v>
      </c>
      <c r="AF66">
        <f t="shared" si="21"/>
        <v>9.1819551716779968E-2</v>
      </c>
      <c r="AG66">
        <f t="shared" si="22"/>
        <v>4.2818780097117953E-2</v>
      </c>
      <c r="AH66">
        <f t="shared" si="23"/>
        <v>2.2084827075305184E-2</v>
      </c>
    </row>
    <row r="67" spans="1:34" x14ac:dyDescent="0.25">
      <c r="A67" t="s">
        <v>30</v>
      </c>
      <c r="B67">
        <f t="shared" ref="B67:U67" si="28">B7/B$59</f>
        <v>3.9558081784452997E-2</v>
      </c>
      <c r="C67">
        <f t="shared" si="28"/>
        <v>4.0050071820327778E-2</v>
      </c>
      <c r="D67">
        <f t="shared" si="28"/>
        <v>4.0570349814919235E-2</v>
      </c>
      <c r="E67">
        <f t="shared" si="28"/>
        <v>3.8135998597037757E-2</v>
      </c>
      <c r="F67">
        <f t="shared" si="28"/>
        <v>4.3439641607545258E-2</v>
      </c>
      <c r="G67">
        <f t="shared" si="28"/>
        <v>4.1119087495645641E-2</v>
      </c>
      <c r="H67">
        <f t="shared" si="28"/>
        <v>4.2220439528610862E-2</v>
      </c>
      <c r="I67">
        <f t="shared" si="28"/>
        <v>4.0815883392480191E-2</v>
      </c>
      <c r="J67">
        <f t="shared" si="28"/>
        <v>4.4278913888319192E-2</v>
      </c>
      <c r="K67">
        <f t="shared" si="28"/>
        <v>4.1872685038254275E-2</v>
      </c>
      <c r="L67">
        <f t="shared" si="28"/>
        <v>4.5511807950125292E-2</v>
      </c>
      <c r="M67">
        <f t="shared" si="28"/>
        <v>4.1988420358147913E-2</v>
      </c>
      <c r="N67">
        <f t="shared" si="28"/>
        <v>4.1808263237974735E-2</v>
      </c>
      <c r="O67">
        <f t="shared" si="28"/>
        <v>4.6020682344353706E-2</v>
      </c>
      <c r="P67">
        <f t="shared" si="28"/>
        <v>4.0551025634944678E-2</v>
      </c>
      <c r="Q67">
        <f t="shared" si="28"/>
        <v>4.24893251251168E-2</v>
      </c>
      <c r="R67">
        <f t="shared" si="28"/>
        <v>4.3227331383686632E-2</v>
      </c>
      <c r="S67">
        <f t="shared" si="28"/>
        <v>4.2933821988773331E-2</v>
      </c>
      <c r="T67">
        <f t="shared" si="28"/>
        <v>4.3393675157576396E-2</v>
      </c>
      <c r="U67">
        <f t="shared" si="28"/>
        <v>4.4100461789646737E-2</v>
      </c>
      <c r="V67" s="1">
        <f t="shared" si="17"/>
        <v>1.2331315020854943E-2</v>
      </c>
      <c r="W67">
        <f t="shared" si="18"/>
        <v>4.3228923088959981E-2</v>
      </c>
      <c r="Z67" s="1">
        <v>7.6345020958797152E-2</v>
      </c>
      <c r="AA67">
        <v>1.2331315020854943E-2</v>
      </c>
      <c r="AD67">
        <f t="shared" si="19"/>
        <v>1.0317414473517353E-2</v>
      </c>
      <c r="AE67">
        <f t="shared" si="20"/>
        <v>5.3078742499487096E-2</v>
      </c>
      <c r="AF67">
        <f t="shared" si="21"/>
        <v>3.3510987321875282E-2</v>
      </c>
      <c r="AG67">
        <f t="shared" si="22"/>
        <v>3.9163088909038635E-2</v>
      </c>
      <c r="AH67">
        <f t="shared" si="23"/>
        <v>5.4660265811652953E-2</v>
      </c>
    </row>
    <row r="68" spans="1:34" x14ac:dyDescent="0.25">
      <c r="A68" t="s">
        <v>29</v>
      </c>
      <c r="B68">
        <f t="shared" ref="B68:U68" si="29">B8/B$59</f>
        <v>5.893928038001834E-2</v>
      </c>
      <c r="C68">
        <f t="shared" si="29"/>
        <v>5.2818595034576872E-2</v>
      </c>
      <c r="D68">
        <f t="shared" si="29"/>
        <v>5.1829365731539907E-2</v>
      </c>
      <c r="E68">
        <f t="shared" si="29"/>
        <v>5.7102633484284397E-2</v>
      </c>
      <c r="F68">
        <f t="shared" si="29"/>
        <v>5.4362114014554458E-2</v>
      </c>
      <c r="G68">
        <f t="shared" si="29"/>
        <v>5.121836034220327E-2</v>
      </c>
      <c r="H68">
        <f t="shared" si="29"/>
        <v>4.5671796607792914E-2</v>
      </c>
      <c r="I68">
        <f t="shared" si="29"/>
        <v>5.6930711856675607E-2</v>
      </c>
      <c r="J68">
        <f t="shared" si="29"/>
        <v>3.8449931462738444E-2</v>
      </c>
      <c r="K68">
        <f t="shared" si="29"/>
        <v>5.0654271692633368E-2</v>
      </c>
      <c r="L68">
        <f t="shared" si="29"/>
        <v>2.5735678432310418E-2</v>
      </c>
      <c r="M68">
        <f t="shared" si="29"/>
        <v>5.2024166700803121E-2</v>
      </c>
      <c r="N68">
        <f t="shared" si="29"/>
        <v>5.0197794536113068E-2</v>
      </c>
      <c r="O68">
        <f t="shared" si="29"/>
        <v>2.5541405400225863E-2</v>
      </c>
      <c r="P68">
        <f t="shared" si="29"/>
        <v>5.2236280490407655E-2</v>
      </c>
      <c r="Q68">
        <f t="shared" si="29"/>
        <v>3.8721861695646537E-2</v>
      </c>
      <c r="R68">
        <f t="shared" si="29"/>
        <v>3.8660120744846323E-2</v>
      </c>
      <c r="S68">
        <f t="shared" si="29"/>
        <v>3.8953842954164833E-2</v>
      </c>
      <c r="T68">
        <f t="shared" si="29"/>
        <v>3.9575440219309921E-2</v>
      </c>
      <c r="U68">
        <f t="shared" si="29"/>
        <v>3.8221820096510803E-2</v>
      </c>
      <c r="V68" s="1">
        <f t="shared" si="17"/>
        <v>1.1410580136128903E-2</v>
      </c>
      <c r="W68">
        <f t="shared" si="18"/>
        <v>3.882661714209569E-2</v>
      </c>
      <c r="Z68" s="1">
        <v>7.5303079804336273E-2</v>
      </c>
      <c r="AA68">
        <v>1.1410580136128903E-2</v>
      </c>
      <c r="AD68">
        <f t="shared" si="19"/>
        <v>5.7666907938114763E-2</v>
      </c>
      <c r="AE68">
        <f t="shared" si="20"/>
        <v>4.4333869235478579E-2</v>
      </c>
      <c r="AF68">
        <f t="shared" si="21"/>
        <v>0.1617380259306844</v>
      </c>
      <c r="AG68">
        <f t="shared" si="22"/>
        <v>0.28227211469192881</v>
      </c>
      <c r="AH68">
        <f t="shared" si="23"/>
        <v>0.28440257556183873</v>
      </c>
    </row>
    <row r="69" spans="1:34" x14ac:dyDescent="0.25">
      <c r="A69" t="s">
        <v>16</v>
      </c>
      <c r="B69">
        <f t="shared" ref="B69:U69" si="30">B9/B$59</f>
        <v>3.0866653797261154E-2</v>
      </c>
      <c r="C69">
        <f t="shared" si="30"/>
        <v>3.5129412961069272E-2</v>
      </c>
      <c r="D69">
        <f t="shared" si="30"/>
        <v>3.5946400087426666E-2</v>
      </c>
      <c r="E69">
        <f t="shared" si="30"/>
        <v>3.1494005745304844E-2</v>
      </c>
      <c r="F69">
        <f t="shared" si="30"/>
        <v>3.4758651529591893E-2</v>
      </c>
      <c r="G69">
        <f t="shared" si="30"/>
        <v>3.6891857294943112E-2</v>
      </c>
      <c r="H69">
        <f t="shared" si="30"/>
        <v>3.4021778751570128E-2</v>
      </c>
      <c r="I69">
        <f t="shared" si="30"/>
        <v>3.2145722571007763E-2</v>
      </c>
      <c r="J69">
        <f t="shared" si="30"/>
        <v>3.5638256962525587E-2</v>
      </c>
      <c r="K69">
        <f t="shared" si="30"/>
        <v>3.1888375592785762E-2</v>
      </c>
      <c r="L69">
        <f t="shared" si="30"/>
        <v>3.7765370810665146E-2</v>
      </c>
      <c r="M69">
        <f t="shared" si="30"/>
        <v>3.2633556481986584E-2</v>
      </c>
      <c r="N69">
        <f t="shared" si="30"/>
        <v>3.2601300092145395E-2</v>
      </c>
      <c r="O69">
        <f t="shared" si="30"/>
        <v>3.8095331531871002E-2</v>
      </c>
      <c r="P69">
        <f t="shared" si="30"/>
        <v>3.3360735908333536E-2</v>
      </c>
      <c r="Q69">
        <f t="shared" si="30"/>
        <v>3.4724286731861259E-2</v>
      </c>
      <c r="R69">
        <f t="shared" si="30"/>
        <v>3.5048086731491818E-2</v>
      </c>
      <c r="S69">
        <f t="shared" si="30"/>
        <v>3.5153287881970641E-2</v>
      </c>
      <c r="T69">
        <f t="shared" si="30"/>
        <v>3.555745313903181E-2</v>
      </c>
      <c r="U69">
        <f t="shared" si="30"/>
        <v>3.5367238956369576E-2</v>
      </c>
      <c r="V69" s="1">
        <f t="shared" si="17"/>
        <v>8.070496871524422E-3</v>
      </c>
      <c r="W69">
        <f t="shared" si="18"/>
        <v>3.5170070688145018E-2</v>
      </c>
      <c r="Z69" s="1">
        <v>7.664795531638581E-2</v>
      </c>
      <c r="AA69">
        <v>8.070496871524422E-3</v>
      </c>
      <c r="AD69">
        <f t="shared" si="19"/>
        <v>6.5541844296537172E-2</v>
      </c>
      <c r="AE69">
        <f t="shared" si="20"/>
        <v>6.4562087760163228E-2</v>
      </c>
      <c r="AF69">
        <f t="shared" si="21"/>
        <v>4.2054594639553113E-2</v>
      </c>
      <c r="AG69">
        <f t="shared" si="22"/>
        <v>7.6624583376640978E-2</v>
      </c>
      <c r="AH69">
        <f t="shared" si="23"/>
        <v>7.0079533910018962E-2</v>
      </c>
    </row>
    <row r="70" spans="1:34" x14ac:dyDescent="0.25">
      <c r="A70" t="s">
        <v>3</v>
      </c>
      <c r="B70">
        <f t="shared" ref="B70:U70" si="31">B10/B$59</f>
        <v>3.4415092176623363E-2</v>
      </c>
      <c r="C70">
        <f t="shared" si="31"/>
        <v>3.3532792499707031E-2</v>
      </c>
      <c r="D70">
        <f t="shared" si="31"/>
        <v>3.8892910847628477E-2</v>
      </c>
      <c r="E70">
        <f t="shared" si="31"/>
        <v>3.6824567527101511E-2</v>
      </c>
      <c r="F70">
        <f t="shared" si="31"/>
        <v>3.643887404072501E-2</v>
      </c>
      <c r="G70">
        <f t="shared" si="31"/>
        <v>3.8670877806231116E-2</v>
      </c>
      <c r="H70">
        <f t="shared" si="31"/>
        <v>3.1701034836662013E-2</v>
      </c>
      <c r="I70">
        <f t="shared" si="31"/>
        <v>3.4877516550750873E-2</v>
      </c>
      <c r="J70">
        <f t="shared" si="31"/>
        <v>3.5279616382847857E-2</v>
      </c>
      <c r="K70">
        <f t="shared" si="31"/>
        <v>3.353764384829365E-2</v>
      </c>
      <c r="L70">
        <f t="shared" si="31"/>
        <v>3.4814421314750627E-2</v>
      </c>
      <c r="M70">
        <f t="shared" si="31"/>
        <v>3.2626085601786418E-2</v>
      </c>
      <c r="N70">
        <f t="shared" si="31"/>
        <v>3.1485659625004582E-2</v>
      </c>
      <c r="O70">
        <f t="shared" si="31"/>
        <v>3.4039539228779524E-2</v>
      </c>
      <c r="P70">
        <f t="shared" si="31"/>
        <v>3.0242838145673124E-2</v>
      </c>
      <c r="Q70">
        <f t="shared" si="31"/>
        <v>3.3732249446454615E-2</v>
      </c>
      <c r="R70">
        <f t="shared" si="31"/>
        <v>3.4170109892672065E-2</v>
      </c>
      <c r="S70">
        <f t="shared" si="31"/>
        <v>3.4466511260302805E-2</v>
      </c>
      <c r="T70">
        <f t="shared" si="31"/>
        <v>3.3577031364680862E-2</v>
      </c>
      <c r="U70">
        <f t="shared" si="31"/>
        <v>3.4900404276706078E-2</v>
      </c>
      <c r="V70" s="1">
        <f t="shared" si="17"/>
        <v>1.4124594849688294E-2</v>
      </c>
      <c r="W70">
        <f t="shared" si="18"/>
        <v>3.4169261248163281E-2</v>
      </c>
      <c r="Z70" s="1">
        <v>7.6817743346015099E-2</v>
      </c>
      <c r="AA70">
        <v>1.4124594849688294E-2</v>
      </c>
      <c r="AD70">
        <f t="shared" si="19"/>
        <v>6.5891490391571453E-2</v>
      </c>
      <c r="AE70">
        <f t="shared" si="20"/>
        <v>2.6106700704423474E-2</v>
      </c>
      <c r="AF70">
        <f t="shared" si="21"/>
        <v>4.7142720348349446E-2</v>
      </c>
      <c r="AG70">
        <f t="shared" si="22"/>
        <v>2.6664838907139301E-2</v>
      </c>
      <c r="AH70">
        <f t="shared" si="23"/>
        <v>4.951028116563165E-2</v>
      </c>
    </row>
    <row r="71" spans="1:34" x14ac:dyDescent="0.25">
      <c r="A71" t="s">
        <v>49</v>
      </c>
      <c r="B71">
        <f t="shared" ref="B71:U71" si="32">B11/B$59</f>
        <v>1.2890628736788829E-2</v>
      </c>
      <c r="C71">
        <f t="shared" si="32"/>
        <v>1.3186464961567425E-2</v>
      </c>
      <c r="D71">
        <f t="shared" si="32"/>
        <v>1.1053200344455597E-2</v>
      </c>
      <c r="E71">
        <f t="shared" si="32"/>
        <v>1.1862985935263325E-2</v>
      </c>
      <c r="F71">
        <f t="shared" si="32"/>
        <v>9.06331079970479E-3</v>
      </c>
      <c r="G71">
        <f t="shared" si="32"/>
        <v>1.561680773024327E-2</v>
      </c>
      <c r="H71">
        <f t="shared" si="32"/>
        <v>2.3083769763392156E-2</v>
      </c>
      <c r="I71">
        <f t="shared" si="32"/>
        <v>1.763859898857835E-2</v>
      </c>
      <c r="J71">
        <f t="shared" si="32"/>
        <v>2.6128101090287011E-2</v>
      </c>
      <c r="K71">
        <f t="shared" si="32"/>
        <v>2.3233554419756424E-2</v>
      </c>
      <c r="L71">
        <f t="shared" si="32"/>
        <v>2.8406746269999873E-2</v>
      </c>
      <c r="M71">
        <f t="shared" si="32"/>
        <v>2.0409575948128145E-2</v>
      </c>
      <c r="N71">
        <f t="shared" si="32"/>
        <v>2.1539748373548114E-2</v>
      </c>
      <c r="O71">
        <f t="shared" si="32"/>
        <v>2.6716230476643961E-2</v>
      </c>
      <c r="P71">
        <f t="shared" si="32"/>
        <v>1.9921205094021729E-2</v>
      </c>
      <c r="Q71">
        <f t="shared" si="32"/>
        <v>2.4178613799280754E-2</v>
      </c>
      <c r="R71">
        <f t="shared" si="32"/>
        <v>2.4643850647611067E-2</v>
      </c>
      <c r="S71">
        <f t="shared" si="32"/>
        <v>2.4780577205499515E-2</v>
      </c>
      <c r="T71">
        <f t="shared" si="32"/>
        <v>2.4288688298511343E-2</v>
      </c>
      <c r="U71">
        <f t="shared" si="32"/>
        <v>2.5956127248652722E-2</v>
      </c>
      <c r="V71" s="1">
        <f t="shared" si="17"/>
        <v>2.5561135952049407E-2</v>
      </c>
      <c r="W71">
        <f t="shared" si="18"/>
        <v>2.476957143991108E-2</v>
      </c>
      <c r="Z71" s="1">
        <v>8.325540204578602E-2</v>
      </c>
      <c r="AA71">
        <v>2.5561135952049407E-2</v>
      </c>
      <c r="AD71">
        <f t="shared" si="19"/>
        <v>7.6244634843489423E-2</v>
      </c>
      <c r="AE71">
        <f t="shared" si="20"/>
        <v>0.22041554456356069</v>
      </c>
      <c r="AF71">
        <f t="shared" si="21"/>
        <v>0.15759282911969258</v>
      </c>
      <c r="AG71">
        <f t="shared" si="22"/>
        <v>0.13788170230087707</v>
      </c>
      <c r="AH71">
        <f t="shared" si="23"/>
        <v>0.12752267781597101</v>
      </c>
    </row>
    <row r="72" spans="1:34" x14ac:dyDescent="0.25">
      <c r="A72" t="s">
        <v>38</v>
      </c>
      <c r="B72">
        <f t="shared" ref="B72:U72" si="33">B12/B$59</f>
        <v>1.6419168168836543E-2</v>
      </c>
      <c r="C72">
        <f t="shared" si="33"/>
        <v>1.3128740948851239E-2</v>
      </c>
      <c r="D72">
        <f t="shared" si="33"/>
        <v>1.7407452084869789E-2</v>
      </c>
      <c r="E72">
        <f t="shared" si="33"/>
        <v>1.6053212200639821E-2</v>
      </c>
      <c r="F72">
        <f t="shared" si="33"/>
        <v>1.4559769889191764E-2</v>
      </c>
      <c r="G72">
        <f t="shared" si="33"/>
        <v>2.2362513397097408E-2</v>
      </c>
      <c r="H72">
        <f t="shared" si="33"/>
        <v>2.4232584515971468E-2</v>
      </c>
      <c r="I72">
        <f t="shared" si="33"/>
        <v>2.0969246993794679E-2</v>
      </c>
      <c r="J72">
        <f t="shared" si="33"/>
        <v>2.5267683692587507E-2</v>
      </c>
      <c r="K72">
        <f t="shared" si="33"/>
        <v>2.1517831044077836E-2</v>
      </c>
      <c r="L72">
        <f t="shared" si="33"/>
        <v>2.6328538342956391E-2</v>
      </c>
      <c r="M72">
        <f t="shared" si="33"/>
        <v>2.198200535244996E-2</v>
      </c>
      <c r="N72">
        <f t="shared" si="33"/>
        <v>2.2757182408504495E-2</v>
      </c>
      <c r="O72">
        <f t="shared" si="33"/>
        <v>2.6140500468871886E-2</v>
      </c>
      <c r="P72">
        <f t="shared" si="33"/>
        <v>2.2092024359185589E-2</v>
      </c>
      <c r="Q72">
        <f t="shared" si="33"/>
        <v>2.4793272382529787E-2</v>
      </c>
      <c r="R72">
        <f t="shared" si="33"/>
        <v>2.419355655437758E-2</v>
      </c>
      <c r="S72">
        <f t="shared" si="33"/>
        <v>2.4881590748054482E-2</v>
      </c>
      <c r="T72">
        <f t="shared" si="33"/>
        <v>2.4511469467985509E-2</v>
      </c>
      <c r="U72">
        <f t="shared" si="33"/>
        <v>2.4548824649493633E-2</v>
      </c>
      <c r="V72" s="1">
        <f t="shared" si="17"/>
        <v>9.8172540064952029E-3</v>
      </c>
      <c r="W72">
        <f t="shared" si="18"/>
        <v>2.4585742760488201E-2</v>
      </c>
      <c r="Z72" s="1">
        <v>7.5996233633698063E-2</v>
      </c>
      <c r="AA72">
        <v>9.8172540064952029E-3</v>
      </c>
      <c r="AD72">
        <f t="shared" si="19"/>
        <v>0.11686307193778836</v>
      </c>
      <c r="AE72">
        <f t="shared" si="20"/>
        <v>0.19150310819830149</v>
      </c>
      <c r="AF72">
        <f t="shared" si="21"/>
        <v>7.7979995448624051E-2</v>
      </c>
      <c r="AG72">
        <f t="shared" si="22"/>
        <v>9.3086152412811624E-2</v>
      </c>
      <c r="AH72">
        <f t="shared" si="23"/>
        <v>7.4910031572118119E-2</v>
      </c>
    </row>
    <row r="73" spans="1:34" x14ac:dyDescent="0.25">
      <c r="A73" t="s">
        <v>33</v>
      </c>
      <c r="B73">
        <f t="shared" ref="B73:U73" si="34">B13/B$59</f>
        <v>8.8362581027852868E-3</v>
      </c>
      <c r="C73">
        <f t="shared" si="34"/>
        <v>1.2900108556878044E-2</v>
      </c>
      <c r="D73">
        <f t="shared" si="34"/>
        <v>1.3156069819327489E-2</v>
      </c>
      <c r="E73">
        <f t="shared" si="34"/>
        <v>1.4456926882356313E-2</v>
      </c>
      <c r="F73">
        <f t="shared" si="34"/>
        <v>1.334492108454742E-2</v>
      </c>
      <c r="G73">
        <f t="shared" si="34"/>
        <v>1.8892013994910237E-2</v>
      </c>
      <c r="H73">
        <f t="shared" si="34"/>
        <v>1.8772128211807116E-2</v>
      </c>
      <c r="I73">
        <f t="shared" si="34"/>
        <v>1.7572981670449968E-2</v>
      </c>
      <c r="J73">
        <f t="shared" si="34"/>
        <v>1.9181681878965282E-2</v>
      </c>
      <c r="K73">
        <f t="shared" si="34"/>
        <v>1.7082585165258114E-2</v>
      </c>
      <c r="L73">
        <f t="shared" si="34"/>
        <v>2.0041427178026327E-2</v>
      </c>
      <c r="M73">
        <f t="shared" si="34"/>
        <v>1.7943745364366125E-2</v>
      </c>
      <c r="N73">
        <f t="shared" si="34"/>
        <v>1.8512526831095975E-2</v>
      </c>
      <c r="O73">
        <f t="shared" si="34"/>
        <v>2.0140375109748705E-2</v>
      </c>
      <c r="P73">
        <f t="shared" si="34"/>
        <v>1.8540299010572362E-2</v>
      </c>
      <c r="Q73">
        <f t="shared" si="34"/>
        <v>1.868458815784621E-2</v>
      </c>
      <c r="R73">
        <f t="shared" si="34"/>
        <v>1.9140733572839054E-2</v>
      </c>
      <c r="S73">
        <f t="shared" si="34"/>
        <v>1.9502747644128189E-2</v>
      </c>
      <c r="T73">
        <f t="shared" si="34"/>
        <v>1.9385321472214272E-2</v>
      </c>
      <c r="U73">
        <f t="shared" si="34"/>
        <v>1.9903464534815382E-2</v>
      </c>
      <c r="V73" s="1">
        <f t="shared" si="17"/>
        <v>2.0879667461260031E-2</v>
      </c>
      <c r="W73">
        <f t="shared" si="18"/>
        <v>1.9323371076368619E-2</v>
      </c>
      <c r="Z73" s="1">
        <v>8.6995117121658194E-2</v>
      </c>
      <c r="AA73">
        <v>2.0879667461260031E-2</v>
      </c>
      <c r="AD73">
        <f t="shared" si="19"/>
        <v>0.17013507715201048</v>
      </c>
      <c r="AE73">
        <f t="shared" si="20"/>
        <v>0.15395294022800596</v>
      </c>
      <c r="AF73">
        <f t="shared" si="21"/>
        <v>3.6880013846452134E-2</v>
      </c>
      <c r="AG73">
        <f t="shared" si="22"/>
        <v>6.7695074744906575E-2</v>
      </c>
      <c r="AH73">
        <f t="shared" si="23"/>
        <v>3.9912797383631328E-2</v>
      </c>
    </row>
    <row r="74" spans="1:34" x14ac:dyDescent="0.25">
      <c r="A74" t="s">
        <v>12</v>
      </c>
      <c r="B74">
        <f t="shared" ref="B74:U74" si="35">B14/B$59</f>
        <v>1.4271799905483648E-2</v>
      </c>
      <c r="C74">
        <f t="shared" si="35"/>
        <v>1.3920949040951635E-2</v>
      </c>
      <c r="D74">
        <f t="shared" si="35"/>
        <v>1.7907918211296843E-2</v>
      </c>
      <c r="E74">
        <f t="shared" si="35"/>
        <v>1.8549032175076734E-2</v>
      </c>
      <c r="F74">
        <f t="shared" si="35"/>
        <v>1.9796499359274859E-2</v>
      </c>
      <c r="G74">
        <f t="shared" si="35"/>
        <v>1.7684086884315036E-2</v>
      </c>
      <c r="H74">
        <f t="shared" si="35"/>
        <v>1.6381154610804333E-2</v>
      </c>
      <c r="I74">
        <f t="shared" si="35"/>
        <v>1.8181172637628775E-2</v>
      </c>
      <c r="J74">
        <f t="shared" si="35"/>
        <v>1.6423992478309099E-2</v>
      </c>
      <c r="K74">
        <f t="shared" si="35"/>
        <v>1.8301356706557245E-2</v>
      </c>
      <c r="L74">
        <f t="shared" si="35"/>
        <v>1.5588846282438599E-2</v>
      </c>
      <c r="M74">
        <f t="shared" si="35"/>
        <v>1.7356646758952685E-2</v>
      </c>
      <c r="N74">
        <f t="shared" si="35"/>
        <v>1.8254343484300072E-2</v>
      </c>
      <c r="O74">
        <f t="shared" si="35"/>
        <v>1.5439952092708599E-2</v>
      </c>
      <c r="P74">
        <f t="shared" si="35"/>
        <v>1.7784081478243143E-2</v>
      </c>
      <c r="Q74">
        <f t="shared" si="35"/>
        <v>1.6273071223396371E-2</v>
      </c>
      <c r="R74">
        <f t="shared" si="35"/>
        <v>1.600517874349202E-2</v>
      </c>
      <c r="S74">
        <f t="shared" si="35"/>
        <v>1.5754338877530735E-2</v>
      </c>
      <c r="T74">
        <f t="shared" si="35"/>
        <v>1.605807500656465E-2</v>
      </c>
      <c r="U74">
        <f t="shared" si="35"/>
        <v>1.6137700180492341E-2</v>
      </c>
      <c r="V74" s="1">
        <f t="shared" si="17"/>
        <v>1.0680492032554056E-2</v>
      </c>
      <c r="W74">
        <f t="shared" si="18"/>
        <v>1.6045672806295225E-2</v>
      </c>
      <c r="Z74" s="1">
        <v>6.5660122891807046E-2</v>
      </c>
      <c r="AA74">
        <v>1.0680492032554056E-2</v>
      </c>
      <c r="AD74">
        <f t="shared" si="19"/>
        <v>0.1172962869822337</v>
      </c>
      <c r="AE74">
        <f t="shared" si="20"/>
        <v>4.6426645447402888E-2</v>
      </c>
      <c r="AF74">
        <f t="shared" si="21"/>
        <v>4.9343943345079036E-2</v>
      </c>
      <c r="AG74">
        <f t="shared" si="22"/>
        <v>6.5813412908278787E-2</v>
      </c>
      <c r="AH74">
        <f t="shared" si="23"/>
        <v>7.173527832156068E-2</v>
      </c>
    </row>
    <row r="75" spans="1:34" x14ac:dyDescent="0.25">
      <c r="A75" t="s">
        <v>44</v>
      </c>
      <c r="B75">
        <f t="shared" ref="B75:U75" si="36">B15/B$59</f>
        <v>2.3690287767463487E-3</v>
      </c>
      <c r="C75">
        <f t="shared" si="36"/>
        <v>3.6891812436160962E-3</v>
      </c>
      <c r="D75">
        <f t="shared" si="36"/>
        <v>2.3483048622276658E-3</v>
      </c>
      <c r="E75">
        <f t="shared" si="36"/>
        <v>3.9089437274932286E-3</v>
      </c>
      <c r="F75">
        <f t="shared" si="36"/>
        <v>2.894880957142409E-3</v>
      </c>
      <c r="G75">
        <f t="shared" si="36"/>
        <v>8.622434768018444E-3</v>
      </c>
      <c r="H75">
        <f t="shared" si="36"/>
        <v>1.6161081482901542E-2</v>
      </c>
      <c r="I75">
        <f t="shared" si="36"/>
        <v>1.0856498567714425E-2</v>
      </c>
      <c r="J75">
        <f t="shared" si="36"/>
        <v>1.5888700076255702E-2</v>
      </c>
      <c r="K75">
        <f t="shared" si="36"/>
        <v>1.2675092850169484E-2</v>
      </c>
      <c r="L75">
        <f t="shared" si="36"/>
        <v>1.6064878992440565E-2</v>
      </c>
      <c r="M75">
        <f t="shared" si="36"/>
        <v>1.3128777476825589E-2</v>
      </c>
      <c r="N75">
        <f t="shared" si="36"/>
        <v>1.3952468426545345E-2</v>
      </c>
      <c r="O75">
        <f t="shared" si="36"/>
        <v>1.6263882425375624E-2</v>
      </c>
      <c r="P75">
        <f t="shared" si="36"/>
        <v>1.3026424999644098E-2</v>
      </c>
      <c r="Q75">
        <f t="shared" si="36"/>
        <v>1.5503805881688667E-2</v>
      </c>
      <c r="R75">
        <f t="shared" si="36"/>
        <v>1.5060436597030378E-2</v>
      </c>
      <c r="S75">
        <f t="shared" si="36"/>
        <v>1.537918891466649E-2</v>
      </c>
      <c r="T75">
        <f t="shared" si="36"/>
        <v>1.5084015644207383E-2</v>
      </c>
      <c r="U75">
        <f t="shared" si="36"/>
        <v>1.5109010111177641E-2</v>
      </c>
      <c r="V75" s="1">
        <f t="shared" si="17"/>
        <v>1.181694167000503E-2</v>
      </c>
      <c r="W75">
        <f t="shared" si="18"/>
        <v>1.5227291429754111E-2</v>
      </c>
      <c r="Z75" s="1">
        <v>7.12297717981734E-2</v>
      </c>
      <c r="AA75">
        <v>1.181694167000503E-2</v>
      </c>
      <c r="AD75">
        <f t="shared" si="19"/>
        <v>0.2238505193683723</v>
      </c>
      <c r="AE75">
        <f t="shared" si="20"/>
        <v>0.48531970800886631</v>
      </c>
      <c r="AF75">
        <f t="shared" si="21"/>
        <v>0.17053026275894806</v>
      </c>
      <c r="AG75">
        <f t="shared" si="22"/>
        <v>0.1076568429459407</v>
      </c>
      <c r="AH75">
        <f t="shared" si="23"/>
        <v>9.4449935180890829E-2</v>
      </c>
    </row>
    <row r="76" spans="1:34" x14ac:dyDescent="0.25">
      <c r="A76" t="s">
        <v>23</v>
      </c>
      <c r="B76">
        <f t="shared" ref="B76:U76" si="37">B16/B$59</f>
        <v>6.0310938426749883E-3</v>
      </c>
      <c r="C76">
        <f t="shared" si="37"/>
        <v>4.3930679667075773E-3</v>
      </c>
      <c r="D76">
        <f t="shared" si="37"/>
        <v>5.5925390691591425E-3</v>
      </c>
      <c r="E76">
        <f t="shared" si="37"/>
        <v>8.9585277620748485E-3</v>
      </c>
      <c r="F76">
        <f t="shared" si="37"/>
        <v>7.0781259797051983E-3</v>
      </c>
      <c r="G76">
        <f t="shared" si="37"/>
        <v>1.2000378764758964E-2</v>
      </c>
      <c r="H76">
        <f t="shared" si="37"/>
        <v>1.1865733643078039E-2</v>
      </c>
      <c r="I76">
        <f t="shared" si="37"/>
        <v>1.0586289859542297E-2</v>
      </c>
      <c r="J76">
        <f t="shared" si="37"/>
        <v>1.2411568518779999E-2</v>
      </c>
      <c r="K76">
        <f t="shared" si="37"/>
        <v>1.180371691335767E-2</v>
      </c>
      <c r="L76">
        <f t="shared" si="37"/>
        <v>1.2376044133730706E-2</v>
      </c>
      <c r="M76">
        <f t="shared" si="37"/>
        <v>1.1814586725773473E-2</v>
      </c>
      <c r="N76">
        <f t="shared" si="37"/>
        <v>1.2379788150416137E-2</v>
      </c>
      <c r="O76">
        <f t="shared" si="37"/>
        <v>1.2538404471091669E-2</v>
      </c>
      <c r="P76">
        <f t="shared" si="37"/>
        <v>1.1539281941931084E-2</v>
      </c>
      <c r="Q76">
        <f t="shared" si="37"/>
        <v>1.2256595416912543E-2</v>
      </c>
      <c r="R76">
        <f t="shared" si="37"/>
        <v>1.2460445604321203E-2</v>
      </c>
      <c r="S76">
        <f t="shared" si="37"/>
        <v>1.2061564700869977E-2</v>
      </c>
      <c r="T76">
        <f t="shared" si="37"/>
        <v>1.1985567864017827E-2</v>
      </c>
      <c r="U76">
        <f t="shared" si="37"/>
        <v>1.19285048798357E-2</v>
      </c>
      <c r="V76" s="1">
        <f t="shared" si="17"/>
        <v>1.6101495050221813E-2</v>
      </c>
      <c r="W76">
        <f t="shared" si="18"/>
        <v>1.2138535693191449E-2</v>
      </c>
      <c r="Z76" s="1">
        <v>5.7933671018807836E-2</v>
      </c>
      <c r="AA76">
        <v>1.6101495050221813E-2</v>
      </c>
      <c r="AD76">
        <f t="shared" si="19"/>
        <v>0.12968106492560758</v>
      </c>
      <c r="AE76">
        <f t="shared" si="20"/>
        <v>0.21700541140653384</v>
      </c>
      <c r="AF76">
        <f t="shared" si="21"/>
        <v>6.5825043077571144E-2</v>
      </c>
      <c r="AG76">
        <f t="shared" si="22"/>
        <v>2.2276200946557561E-2</v>
      </c>
      <c r="AH76">
        <f t="shared" si="23"/>
        <v>3.6075997734650485E-2</v>
      </c>
    </row>
    <row r="77" spans="1:34" x14ac:dyDescent="0.25">
      <c r="A77" t="s">
        <v>24</v>
      </c>
      <c r="B77">
        <f t="shared" ref="B77:U77" si="38">B17/B$59</f>
        <v>6.9281010881107608E-3</v>
      </c>
      <c r="C77">
        <f t="shared" si="38"/>
        <v>1.1482432022014585E-2</v>
      </c>
      <c r="D77">
        <f t="shared" si="38"/>
        <v>4.9781356057608432E-3</v>
      </c>
      <c r="E77">
        <f t="shared" si="38"/>
        <v>1.0255430796929942E-2</v>
      </c>
      <c r="F77">
        <f t="shared" si="38"/>
        <v>2.1287232608117972E-2</v>
      </c>
      <c r="G77">
        <f t="shared" si="38"/>
        <v>1.0522492400968447E-2</v>
      </c>
      <c r="H77">
        <f t="shared" si="38"/>
        <v>1.1881861893748439E-2</v>
      </c>
      <c r="I77">
        <f t="shared" si="38"/>
        <v>1.1086805701313724E-2</v>
      </c>
      <c r="J77">
        <f t="shared" si="38"/>
        <v>1.2248672219302995E-2</v>
      </c>
      <c r="K77">
        <f t="shared" si="38"/>
        <v>1.1637924181292286E-2</v>
      </c>
      <c r="L77">
        <f t="shared" si="38"/>
        <v>1.191765628361403E-2</v>
      </c>
      <c r="M77">
        <f t="shared" si="38"/>
        <v>1.1977571734336834E-2</v>
      </c>
      <c r="N77">
        <f t="shared" si="38"/>
        <v>1.2139083821815692E-2</v>
      </c>
      <c r="O77">
        <f t="shared" si="38"/>
        <v>1.1846298344008247E-2</v>
      </c>
      <c r="P77">
        <f t="shared" si="38"/>
        <v>1.2096102294352564E-2</v>
      </c>
      <c r="Q77">
        <f t="shared" si="38"/>
        <v>1.1492885785315038E-2</v>
      </c>
      <c r="R77">
        <f t="shared" si="38"/>
        <v>1.1710016418222269E-2</v>
      </c>
      <c r="S77">
        <f t="shared" si="38"/>
        <v>1.1803108799148046E-2</v>
      </c>
      <c r="T77">
        <f t="shared" si="38"/>
        <v>1.1583990325773568E-2</v>
      </c>
      <c r="U77">
        <f t="shared" si="38"/>
        <v>1.1993609133285591E-2</v>
      </c>
      <c r="V77" s="1">
        <f t="shared" si="17"/>
        <v>1.4875783872490861E-2</v>
      </c>
      <c r="W77">
        <f t="shared" si="18"/>
        <v>1.1716722092348903E-2</v>
      </c>
      <c r="Z77" s="1">
        <v>7.8879520093638647E-2</v>
      </c>
      <c r="AA77">
        <v>1.4875783872490861E-2</v>
      </c>
      <c r="AD77">
        <f t="shared" si="19"/>
        <v>0.34957933144482189</v>
      </c>
      <c r="AE77">
        <f t="shared" si="20"/>
        <v>0.36647797060307002</v>
      </c>
      <c r="AF77">
        <f t="shared" si="21"/>
        <v>4.1310708147058464E-2</v>
      </c>
      <c r="AG77">
        <f t="shared" si="22"/>
        <v>1.2497413148175344E-2</v>
      </c>
      <c r="AH77">
        <f t="shared" si="23"/>
        <v>1.0733016499756255E-2</v>
      </c>
    </row>
    <row r="78" spans="1:34" x14ac:dyDescent="0.25">
      <c r="A78" t="s">
        <v>10</v>
      </c>
      <c r="B78">
        <f t="shared" ref="B78:U78" si="39">B18/B$59</f>
        <v>9.1226141539846074E-3</v>
      </c>
      <c r="C78">
        <f t="shared" si="39"/>
        <v>7.7094471543343937E-3</v>
      </c>
      <c r="D78">
        <f t="shared" si="39"/>
        <v>5.6745263042974909E-3</v>
      </c>
      <c r="E78">
        <f t="shared" si="39"/>
        <v>8.4079694994253287E-3</v>
      </c>
      <c r="F78">
        <f t="shared" si="39"/>
        <v>9.4838732670732874E-3</v>
      </c>
      <c r="G78">
        <f t="shared" si="39"/>
        <v>1.0007910680969441E-2</v>
      </c>
      <c r="H78">
        <f t="shared" si="39"/>
        <v>8.579899601218308E-3</v>
      </c>
      <c r="I78">
        <f t="shared" si="39"/>
        <v>7.7349185227947263E-3</v>
      </c>
      <c r="J78">
        <f t="shared" si="39"/>
        <v>8.2701825423979747E-3</v>
      </c>
      <c r="K78">
        <f t="shared" si="39"/>
        <v>7.6091396426105551E-3</v>
      </c>
      <c r="L78">
        <f t="shared" si="39"/>
        <v>9.5967043560594226E-3</v>
      </c>
      <c r="M78">
        <f t="shared" si="39"/>
        <v>7.8376056107501754E-3</v>
      </c>
      <c r="N78">
        <f t="shared" si="39"/>
        <v>8.1142564191493561E-3</v>
      </c>
      <c r="O78">
        <f t="shared" si="39"/>
        <v>9.8552486850002619E-3</v>
      </c>
      <c r="P78">
        <f t="shared" si="39"/>
        <v>8.5626871908418938E-3</v>
      </c>
      <c r="Q78">
        <f t="shared" si="39"/>
        <v>8.9540604300970463E-3</v>
      </c>
      <c r="R78">
        <f t="shared" si="39"/>
        <v>8.8982819291452062E-3</v>
      </c>
      <c r="S78">
        <f t="shared" si="39"/>
        <v>9.1055893688523123E-3</v>
      </c>
      <c r="T78">
        <f t="shared" si="39"/>
        <v>8.673202546304699E-3</v>
      </c>
      <c r="U78">
        <f t="shared" si="39"/>
        <v>8.6031943166874417E-3</v>
      </c>
      <c r="V78" s="1">
        <f t="shared" si="17"/>
        <v>2.0879681542826704E-2</v>
      </c>
      <c r="W78">
        <f t="shared" si="18"/>
        <v>8.8468657182173421E-3</v>
      </c>
      <c r="Z78" s="1">
        <v>7.2029913954171215E-2</v>
      </c>
      <c r="AA78">
        <v>2.0879681542826704E-2</v>
      </c>
      <c r="AD78">
        <f t="shared" si="19"/>
        <v>0.1886492710167067</v>
      </c>
      <c r="AE78">
        <f t="shared" si="20"/>
        <v>7.1613463536079225E-2</v>
      </c>
      <c r="AF78">
        <f t="shared" si="21"/>
        <v>4.2591142478061908E-2</v>
      </c>
      <c r="AG78">
        <f t="shared" si="22"/>
        <v>0.10637619029198805</v>
      </c>
      <c r="AH78">
        <f t="shared" si="23"/>
        <v>8.3454850832581501E-2</v>
      </c>
    </row>
    <row r="79" spans="1:34" x14ac:dyDescent="0.25">
      <c r="A79" t="s">
        <v>4</v>
      </c>
      <c r="B79">
        <f t="shared" ref="B79:U79" si="40">B19/B$59</f>
        <v>3.3231488911750037E-3</v>
      </c>
      <c r="C79">
        <f t="shared" si="40"/>
        <v>4.6413743191455756E-3</v>
      </c>
      <c r="D79">
        <f t="shared" si="40"/>
        <v>4.2539444488501653E-3</v>
      </c>
      <c r="E79">
        <f t="shared" si="40"/>
        <v>5.5697170698420454E-3</v>
      </c>
      <c r="F79">
        <f t="shared" si="40"/>
        <v>5.4729005295956947E-3</v>
      </c>
      <c r="G79">
        <f t="shared" si="40"/>
        <v>7.7253648493806944E-3</v>
      </c>
      <c r="H79">
        <f t="shared" si="40"/>
        <v>8.686317755229999E-3</v>
      </c>
      <c r="I79">
        <f t="shared" si="40"/>
        <v>8.238540390066303E-3</v>
      </c>
      <c r="J79">
        <f t="shared" si="40"/>
        <v>9.9295963826825893E-3</v>
      </c>
      <c r="K79">
        <f t="shared" si="40"/>
        <v>7.8561460614732914E-3</v>
      </c>
      <c r="L79">
        <f t="shared" si="40"/>
        <v>8.8232540563279865E-3</v>
      </c>
      <c r="M79">
        <f t="shared" si="40"/>
        <v>8.3036502500255793E-3</v>
      </c>
      <c r="N79">
        <f t="shared" si="40"/>
        <v>8.5524263231324185E-3</v>
      </c>
      <c r="O79">
        <f t="shared" si="40"/>
        <v>8.7828192575599914E-3</v>
      </c>
      <c r="P79">
        <f t="shared" si="40"/>
        <v>8.1233213922917661E-3</v>
      </c>
      <c r="Q79">
        <f t="shared" si="40"/>
        <v>8.2244967778898285E-3</v>
      </c>
      <c r="R79">
        <f t="shared" si="40"/>
        <v>8.7703762688508182E-3</v>
      </c>
      <c r="S79">
        <f t="shared" si="40"/>
        <v>8.8958315498726039E-3</v>
      </c>
      <c r="T79">
        <f t="shared" si="40"/>
        <v>8.5333027769682636E-3</v>
      </c>
      <c r="U79">
        <f t="shared" si="40"/>
        <v>8.5493083854647715E-3</v>
      </c>
      <c r="V79" s="1">
        <f t="shared" si="17"/>
        <v>2.6756887097679812E-2</v>
      </c>
      <c r="W79">
        <f t="shared" si="18"/>
        <v>8.5946631518092585E-3</v>
      </c>
      <c r="Z79" s="1">
        <v>8.522074605877715E-2</v>
      </c>
      <c r="AA79">
        <v>2.6756887097679812E-2</v>
      </c>
      <c r="AD79">
        <f t="shared" si="19"/>
        <v>0.13582541385235281</v>
      </c>
      <c r="AE79">
        <f t="shared" si="20"/>
        <v>0.16620116448246372</v>
      </c>
      <c r="AF79">
        <f t="shared" si="21"/>
        <v>7.9917465745830946E-2</v>
      </c>
      <c r="AG79">
        <f t="shared" si="22"/>
        <v>4.7454463343261422E-2</v>
      </c>
      <c r="AH79">
        <f t="shared" si="23"/>
        <v>3.2203193906240726E-2</v>
      </c>
    </row>
    <row r="80" spans="1:34" x14ac:dyDescent="0.25">
      <c r="A80" t="s">
        <v>36</v>
      </c>
      <c r="B80">
        <f t="shared" ref="B80:U80" si="41">B20/B$59</f>
        <v>2.6878216811205224E-3</v>
      </c>
      <c r="C80">
        <f t="shared" si="41"/>
        <v>9.3429999311424501E-4</v>
      </c>
      <c r="D80">
        <f t="shared" si="41"/>
        <v>1.39891227463271E-3</v>
      </c>
      <c r="E80">
        <f t="shared" si="41"/>
        <v>1.043664088406635E-3</v>
      </c>
      <c r="F80">
        <f t="shared" si="41"/>
        <v>3.0691900548824548E-3</v>
      </c>
      <c r="G80">
        <f t="shared" si="41"/>
        <v>1.6354452073428958E-3</v>
      </c>
      <c r="H80">
        <f t="shared" si="41"/>
        <v>7.4054589875273387E-3</v>
      </c>
      <c r="I80">
        <f t="shared" si="41"/>
        <v>5.8140041960799251E-3</v>
      </c>
      <c r="J80">
        <f t="shared" si="41"/>
        <v>9.0303207823337062E-3</v>
      </c>
      <c r="K80">
        <f t="shared" si="41"/>
        <v>7.0160149527598512E-3</v>
      </c>
      <c r="L80">
        <f t="shared" si="41"/>
        <v>9.1836857404314041E-3</v>
      </c>
      <c r="M80">
        <f t="shared" si="41"/>
        <v>7.4783589872713793E-3</v>
      </c>
      <c r="N80">
        <f t="shared" si="41"/>
        <v>7.5318486855379431E-3</v>
      </c>
      <c r="O80">
        <f t="shared" si="41"/>
        <v>8.7253863393999005E-3</v>
      </c>
      <c r="P80">
        <f t="shared" si="41"/>
        <v>7.5074711842021413E-3</v>
      </c>
      <c r="Q80">
        <f t="shared" si="41"/>
        <v>8.3910364050615305E-3</v>
      </c>
      <c r="R80">
        <f t="shared" si="41"/>
        <v>7.9908525733117745E-3</v>
      </c>
      <c r="S80">
        <f t="shared" si="41"/>
        <v>8.348901580033815E-3</v>
      </c>
      <c r="T80">
        <f t="shared" si="41"/>
        <v>8.5058411897811336E-3</v>
      </c>
      <c r="U80">
        <f t="shared" si="41"/>
        <v>7.9809785524240524E-3</v>
      </c>
      <c r="V80" s="1">
        <f t="shared" si="17"/>
        <v>2.6267884736995348E-2</v>
      </c>
      <c r="W80">
        <f t="shared" si="18"/>
        <v>8.2435220601224605E-3</v>
      </c>
      <c r="Z80" s="1">
        <v>8.286095934492746E-2</v>
      </c>
      <c r="AA80">
        <v>2.6267884736995348E-2</v>
      </c>
      <c r="AD80">
        <f t="shared" si="19"/>
        <v>0.44319692310744363</v>
      </c>
      <c r="AE80">
        <f t="shared" si="20"/>
        <v>0.443816967148768</v>
      </c>
      <c r="AF80">
        <f t="shared" si="21"/>
        <v>0.17704612674446626</v>
      </c>
      <c r="AG80">
        <f t="shared" si="22"/>
        <v>0.11810727421262825</v>
      </c>
      <c r="AH80">
        <f t="shared" si="23"/>
        <v>7.1762553295457901E-2</v>
      </c>
    </row>
    <row r="81" spans="1:34" x14ac:dyDescent="0.25">
      <c r="A81" t="s">
        <v>9</v>
      </c>
      <c r="B81">
        <f t="shared" ref="B81:U81" si="42">B21/B$59</f>
        <v>6.9387974235447097E-3</v>
      </c>
      <c r="C81">
        <f t="shared" si="42"/>
        <v>1.0416931935886744E-2</v>
      </c>
      <c r="D81">
        <f t="shared" si="42"/>
        <v>5.2639678333529227E-3</v>
      </c>
      <c r="E81">
        <f t="shared" si="42"/>
        <v>5.2932872368035271E-3</v>
      </c>
      <c r="F81">
        <f t="shared" si="42"/>
        <v>1.0643152565542336E-2</v>
      </c>
      <c r="G81">
        <f t="shared" si="42"/>
        <v>6.9177203437764097E-3</v>
      </c>
      <c r="H81">
        <f t="shared" si="42"/>
        <v>7.7292048444835256E-3</v>
      </c>
      <c r="I81">
        <f t="shared" si="42"/>
        <v>6.4968049352321167E-3</v>
      </c>
      <c r="J81">
        <f t="shared" si="42"/>
        <v>8.0504921197514026E-3</v>
      </c>
      <c r="K81">
        <f t="shared" si="42"/>
        <v>7.292942215946392E-3</v>
      </c>
      <c r="L81">
        <f t="shared" si="42"/>
        <v>9.3748580475576659E-3</v>
      </c>
      <c r="M81">
        <f t="shared" si="42"/>
        <v>7.3921337385670404E-3</v>
      </c>
      <c r="N81">
        <f t="shared" si="42"/>
        <v>7.1336016205427871E-3</v>
      </c>
      <c r="O81">
        <f t="shared" si="42"/>
        <v>9.2042796271340384E-3</v>
      </c>
      <c r="P81">
        <f t="shared" si="42"/>
        <v>7.2029907788824796E-3</v>
      </c>
      <c r="Q81">
        <f t="shared" si="42"/>
        <v>7.8930500119473081E-3</v>
      </c>
      <c r="R81">
        <f t="shared" si="42"/>
        <v>7.9526358489123428E-3</v>
      </c>
      <c r="S81">
        <f t="shared" si="42"/>
        <v>8.0719468367897451E-3</v>
      </c>
      <c r="T81">
        <f t="shared" si="42"/>
        <v>8.352921664436545E-3</v>
      </c>
      <c r="U81">
        <f t="shared" si="42"/>
        <v>7.8397790533404569E-3</v>
      </c>
      <c r="V81" s="1">
        <f t="shared" si="17"/>
        <v>2.2757706077522942E-2</v>
      </c>
      <c r="W81">
        <f t="shared" si="18"/>
        <v>8.0220666830852806E-3</v>
      </c>
      <c r="Z81" s="1">
        <v>8.3920610814170349E-2</v>
      </c>
      <c r="AA81">
        <v>2.2757706077522942E-2</v>
      </c>
      <c r="AD81">
        <f t="shared" si="19"/>
        <v>0.28464552433232271</v>
      </c>
      <c r="AE81">
        <f t="shared" si="20"/>
        <v>0.29397418545592596</v>
      </c>
      <c r="AF81">
        <f t="shared" si="21"/>
        <v>9.0183575610866346E-2</v>
      </c>
      <c r="AG81">
        <f t="shared" si="22"/>
        <v>0.11956395716152025</v>
      </c>
      <c r="AH81">
        <f t="shared" si="23"/>
        <v>0.12236459491620633</v>
      </c>
    </row>
    <row r="82" spans="1:34" x14ac:dyDescent="0.25">
      <c r="A82" t="s">
        <v>34</v>
      </c>
      <c r="B82">
        <f t="shared" ref="B82:U82" si="43">B22/B$59</f>
        <v>1.6811799892167342E-3</v>
      </c>
      <c r="C82">
        <f t="shared" si="43"/>
        <v>1.6517565067182259E-3</v>
      </c>
      <c r="D82">
        <f t="shared" si="43"/>
        <v>2.0538594159197508E-3</v>
      </c>
      <c r="E82">
        <f t="shared" si="43"/>
        <v>3.2456432138997056E-3</v>
      </c>
      <c r="F82">
        <f t="shared" si="43"/>
        <v>3.2614569415929545E-3</v>
      </c>
      <c r="G82">
        <f t="shared" si="43"/>
        <v>1.8237093179478746E-3</v>
      </c>
      <c r="H82">
        <f t="shared" si="43"/>
        <v>7.3019592084567096E-3</v>
      </c>
      <c r="I82">
        <f t="shared" si="43"/>
        <v>5.028002113928255E-3</v>
      </c>
      <c r="J82">
        <f t="shared" si="43"/>
        <v>7.4218157906269355E-3</v>
      </c>
      <c r="K82">
        <f t="shared" si="43"/>
        <v>6.2255009711063361E-3</v>
      </c>
      <c r="L82">
        <f t="shared" si="43"/>
        <v>8.7332066161836894E-3</v>
      </c>
      <c r="M82">
        <f t="shared" si="43"/>
        <v>6.9965187085325843E-3</v>
      </c>
      <c r="N82">
        <f t="shared" si="43"/>
        <v>6.886412714036767E-3</v>
      </c>
      <c r="O82">
        <f t="shared" si="43"/>
        <v>8.7107446553929234E-3</v>
      </c>
      <c r="P82">
        <f t="shared" si="43"/>
        <v>6.9254636119540618E-3</v>
      </c>
      <c r="Q82">
        <f t="shared" si="43"/>
        <v>7.902904799255539E-3</v>
      </c>
      <c r="R82">
        <f t="shared" si="43"/>
        <v>7.7671717561498725E-3</v>
      </c>
      <c r="S82">
        <f t="shared" si="43"/>
        <v>8.0845355535864964E-3</v>
      </c>
      <c r="T82">
        <f t="shared" si="43"/>
        <v>7.8008001360228667E-3</v>
      </c>
      <c r="U82">
        <f t="shared" si="43"/>
        <v>7.7220589882094548E-3</v>
      </c>
      <c r="V82" s="1">
        <f t="shared" si="17"/>
        <v>1.6431488429458064E-2</v>
      </c>
      <c r="W82">
        <f t="shared" si="18"/>
        <v>7.8554942466448462E-3</v>
      </c>
      <c r="Z82" s="1">
        <v>7.8584298755409607E-2</v>
      </c>
      <c r="AA82">
        <v>1.6431488429458064E-2</v>
      </c>
      <c r="AD82">
        <f t="shared" si="19"/>
        <v>0.10192287855291912</v>
      </c>
      <c r="AE82">
        <f t="shared" si="20"/>
        <v>0.24273666942892022</v>
      </c>
      <c r="AF82">
        <f t="shared" si="21"/>
        <v>0.16726976196969601</v>
      </c>
      <c r="AG82">
        <f t="shared" si="22"/>
        <v>0.14330483184477841</v>
      </c>
      <c r="AH82">
        <f t="shared" si="23"/>
        <v>0.113345151285979</v>
      </c>
    </row>
    <row r="83" spans="1:34" x14ac:dyDescent="0.25">
      <c r="A83" t="s">
        <v>41</v>
      </c>
      <c r="B83">
        <f t="shared" ref="B83:U83" si="44">B23/B$59</f>
        <v>7.0844821535820759E-4</v>
      </c>
      <c r="C83">
        <f t="shared" si="44"/>
        <v>4.6951055187187878E-4</v>
      </c>
      <c r="D83">
        <f t="shared" si="44"/>
        <v>8.0603628968064817E-4</v>
      </c>
      <c r="E83">
        <f t="shared" si="44"/>
        <v>1.1851990361761459E-3</v>
      </c>
      <c r="F83">
        <f t="shared" si="44"/>
        <v>1.5542193027059117E-3</v>
      </c>
      <c r="G83">
        <f t="shared" si="44"/>
        <v>8.4688920633288044E-4</v>
      </c>
      <c r="H83">
        <f t="shared" si="44"/>
        <v>7.5338447062229799E-3</v>
      </c>
      <c r="I83">
        <f t="shared" si="44"/>
        <v>3.6066174878901236E-3</v>
      </c>
      <c r="J83">
        <f t="shared" si="44"/>
        <v>7.8209369339913692E-3</v>
      </c>
      <c r="K83">
        <f t="shared" si="44"/>
        <v>7.1987249775393629E-3</v>
      </c>
      <c r="L83">
        <f t="shared" si="44"/>
        <v>8.431854687119102E-3</v>
      </c>
      <c r="M83">
        <f t="shared" si="44"/>
        <v>6.6755814867649355E-3</v>
      </c>
      <c r="N83">
        <f t="shared" si="44"/>
        <v>7.1783695546562285E-3</v>
      </c>
      <c r="O83">
        <f t="shared" si="44"/>
        <v>8.2312000292218569E-3</v>
      </c>
      <c r="P83">
        <f t="shared" si="44"/>
        <v>7.2203823586333695E-3</v>
      </c>
      <c r="Q83">
        <f t="shared" si="44"/>
        <v>8.0058709504538909E-3</v>
      </c>
      <c r="R83">
        <f t="shared" si="44"/>
        <v>7.485226647370829E-3</v>
      </c>
      <c r="S83">
        <f t="shared" si="44"/>
        <v>7.520615536041159E-3</v>
      </c>
      <c r="T83">
        <f t="shared" si="44"/>
        <v>7.8681189412347606E-3</v>
      </c>
      <c r="U83">
        <f t="shared" si="44"/>
        <v>7.9642353598474297E-3</v>
      </c>
      <c r="V83" s="1">
        <f t="shared" si="17"/>
        <v>2.8567165595151128E-2</v>
      </c>
      <c r="W83">
        <f t="shared" si="18"/>
        <v>7.7688134869896147E-3</v>
      </c>
      <c r="Z83" s="1">
        <v>7.5706474510820729E-2</v>
      </c>
      <c r="AA83">
        <v>2.8567165595151128E-2</v>
      </c>
      <c r="AD83">
        <f t="shared" si="19"/>
        <v>0.21376263451313249</v>
      </c>
      <c r="AE83">
        <f t="shared" si="20"/>
        <v>0.24163321933098497</v>
      </c>
      <c r="AF83">
        <f t="shared" si="21"/>
        <v>0.30417958849055532</v>
      </c>
      <c r="AG83">
        <f t="shared" si="22"/>
        <v>9.9021828097350426E-2</v>
      </c>
      <c r="AH83">
        <f t="shared" si="23"/>
        <v>6.4521856749342826E-2</v>
      </c>
    </row>
    <row r="84" spans="1:34" x14ac:dyDescent="0.25">
      <c r="A84" t="s">
        <v>1</v>
      </c>
      <c r="B84">
        <f t="shared" ref="B84:U84" si="45">B24/B$59</f>
        <v>4.2269798507594339E-3</v>
      </c>
      <c r="C84">
        <f t="shared" si="45"/>
        <v>4.0634096271422717E-3</v>
      </c>
      <c r="D84">
        <f t="shared" si="45"/>
        <v>6.8464173303345787E-3</v>
      </c>
      <c r="E84">
        <f t="shared" si="45"/>
        <v>1.1013781762696385E-2</v>
      </c>
      <c r="F84">
        <f t="shared" si="45"/>
        <v>1.0330579993416779E-2</v>
      </c>
      <c r="G84">
        <f t="shared" si="45"/>
        <v>7.0520561803244248E-3</v>
      </c>
      <c r="H84">
        <f t="shared" si="45"/>
        <v>7.3395119570663758E-3</v>
      </c>
      <c r="I84">
        <f t="shared" si="45"/>
        <v>7.3719647330854924E-3</v>
      </c>
      <c r="J84">
        <f t="shared" si="45"/>
        <v>7.9650936680141036E-3</v>
      </c>
      <c r="K84">
        <f t="shared" si="45"/>
        <v>7.371525359409617E-3</v>
      </c>
      <c r="L84">
        <f t="shared" si="45"/>
        <v>7.4350947606477685E-3</v>
      </c>
      <c r="M84">
        <f t="shared" si="45"/>
        <v>7.7429535025028912E-3</v>
      </c>
      <c r="N84">
        <f t="shared" si="45"/>
        <v>7.4509304769855662E-3</v>
      </c>
      <c r="O84">
        <f t="shared" si="45"/>
        <v>7.488339483307402E-3</v>
      </c>
      <c r="P84">
        <f t="shared" si="45"/>
        <v>7.2625775709749315E-3</v>
      </c>
      <c r="Q84">
        <f t="shared" si="45"/>
        <v>7.3026866031952031E-3</v>
      </c>
      <c r="R84">
        <f t="shared" si="45"/>
        <v>7.4164401347479331E-3</v>
      </c>
      <c r="S84">
        <f t="shared" si="45"/>
        <v>7.3549358171161247E-3</v>
      </c>
      <c r="T84">
        <f t="shared" si="45"/>
        <v>7.5006137126142581E-3</v>
      </c>
      <c r="U84">
        <f t="shared" si="45"/>
        <v>7.38734951762766E-3</v>
      </c>
      <c r="V84" s="1">
        <f t="shared" si="17"/>
        <v>8.9251509649149463E-3</v>
      </c>
      <c r="W84">
        <f t="shared" si="18"/>
        <v>7.3924051570602358E-3</v>
      </c>
      <c r="Z84" s="1">
        <v>7.3914984005765072E-2</v>
      </c>
      <c r="AA84">
        <v>8.9251509649149463E-3</v>
      </c>
      <c r="AD84">
        <f t="shared" si="19"/>
        <v>0.25271874763772639</v>
      </c>
      <c r="AE84">
        <f t="shared" si="20"/>
        <v>0.18268351644643344</v>
      </c>
      <c r="AF84">
        <f t="shared" si="21"/>
        <v>3.8042554953994376E-2</v>
      </c>
      <c r="AG84">
        <f t="shared" si="22"/>
        <v>2.1579002563754762E-2</v>
      </c>
      <c r="AH84">
        <f t="shared" si="23"/>
        <v>1.3349612094853292E-2</v>
      </c>
    </row>
    <row r="85" spans="1:34" x14ac:dyDescent="0.25">
      <c r="A85" t="s">
        <v>47</v>
      </c>
      <c r="B85">
        <f t="shared" ref="B85:U85" si="46">B25/B$59</f>
        <v>0</v>
      </c>
      <c r="C85">
        <f t="shared" si="46"/>
        <v>9.2359842306008043E-4</v>
      </c>
      <c r="D85">
        <f t="shared" si="46"/>
        <v>9.0761080829362235E-4</v>
      </c>
      <c r="E85">
        <f t="shared" si="46"/>
        <v>2.9779996789411648E-4</v>
      </c>
      <c r="F85">
        <f t="shared" si="46"/>
        <v>2.7133633603066218E-4</v>
      </c>
      <c r="G85">
        <f t="shared" si="46"/>
        <v>9.4076722689631382E-4</v>
      </c>
      <c r="H85">
        <f t="shared" si="46"/>
        <v>6.3305178908951067E-3</v>
      </c>
      <c r="I85">
        <f t="shared" si="46"/>
        <v>1.8293879586954755E-3</v>
      </c>
      <c r="J85">
        <f t="shared" si="46"/>
        <v>6.4039638946369612E-3</v>
      </c>
      <c r="K85">
        <f t="shared" si="46"/>
        <v>4.3585653247511444E-3</v>
      </c>
      <c r="L85">
        <f t="shared" si="46"/>
        <v>8.3824946627639521E-3</v>
      </c>
      <c r="M85">
        <f t="shared" si="46"/>
        <v>5.1233860091668528E-3</v>
      </c>
      <c r="N85">
        <f t="shared" si="46"/>
        <v>5.8663226209624371E-3</v>
      </c>
      <c r="O85">
        <f t="shared" si="46"/>
        <v>8.7378759756813473E-3</v>
      </c>
      <c r="P85">
        <f t="shared" si="46"/>
        <v>5.9459111121837613E-3</v>
      </c>
      <c r="Q85">
        <f t="shared" si="46"/>
        <v>7.0726499805175433E-3</v>
      </c>
      <c r="R85">
        <f t="shared" si="46"/>
        <v>7.2625225928220766E-3</v>
      </c>
      <c r="S85">
        <f t="shared" si="46"/>
        <v>7.0166486516130677E-3</v>
      </c>
      <c r="T85">
        <f t="shared" si="46"/>
        <v>6.9940879723905348E-3</v>
      </c>
      <c r="U85">
        <f t="shared" si="46"/>
        <v>7.6203232303357453E-3</v>
      </c>
      <c r="V85" s="1">
        <f t="shared" si="17"/>
        <v>3.2459628272428105E-2</v>
      </c>
      <c r="W85">
        <f t="shared" si="18"/>
        <v>7.1932464855357942E-3</v>
      </c>
      <c r="Z85" s="1">
        <v>7.6271529217337194E-2</v>
      </c>
      <c r="AA85">
        <v>3.2459628272428105E-2</v>
      </c>
      <c r="AD85">
        <f t="shared" si="19"/>
        <v>0.70718762426591752</v>
      </c>
      <c r="AE85">
        <f t="shared" si="20"/>
        <v>0.61498726969293238</v>
      </c>
      <c r="AF85">
        <f t="shared" si="21"/>
        <v>0.44068806356928469</v>
      </c>
      <c r="AG85">
        <f t="shared" si="22"/>
        <v>0.29300551859029739</v>
      </c>
      <c r="AH85">
        <f t="shared" si="23"/>
        <v>0.19493318077523691</v>
      </c>
    </row>
    <row r="86" spans="1:34" x14ac:dyDescent="0.25">
      <c r="A86" t="s">
        <v>25</v>
      </c>
      <c r="B86">
        <f t="shared" ref="B86:U86" si="47">B26/B$59</f>
        <v>4.3156352786959066E-3</v>
      </c>
      <c r="C86">
        <f t="shared" si="47"/>
        <v>8.3766010934510447E-3</v>
      </c>
      <c r="D86">
        <f t="shared" si="47"/>
        <v>4.0594822903150217E-3</v>
      </c>
      <c r="E86">
        <f t="shared" si="47"/>
        <v>5.8227990827072647E-3</v>
      </c>
      <c r="F86">
        <f t="shared" si="47"/>
        <v>1.3204454878715327E-2</v>
      </c>
      <c r="G86">
        <f t="shared" si="47"/>
        <v>6.0077411445940733E-3</v>
      </c>
      <c r="H86">
        <f t="shared" si="47"/>
        <v>6.8411023550134387E-3</v>
      </c>
      <c r="I86">
        <f t="shared" si="47"/>
        <v>6.0759081975864651E-3</v>
      </c>
      <c r="J86">
        <f t="shared" si="47"/>
        <v>6.6147667778416706E-3</v>
      </c>
      <c r="K86">
        <f t="shared" si="47"/>
        <v>6.4805889600412191E-3</v>
      </c>
      <c r="L86">
        <f t="shared" si="47"/>
        <v>7.6528250372752179E-3</v>
      </c>
      <c r="M86">
        <f t="shared" si="47"/>
        <v>6.7198776169464496E-3</v>
      </c>
      <c r="N86">
        <f t="shared" si="47"/>
        <v>6.7095030534342574E-3</v>
      </c>
      <c r="O86">
        <f t="shared" si="47"/>
        <v>7.462618311614445E-3</v>
      </c>
      <c r="P86">
        <f t="shared" si="47"/>
        <v>6.9194221366964247E-3</v>
      </c>
      <c r="Q86">
        <f t="shared" si="47"/>
        <v>7.0367651339774632E-3</v>
      </c>
      <c r="R86">
        <f t="shared" si="47"/>
        <v>7.0277737129939887E-3</v>
      </c>
      <c r="S86">
        <f t="shared" si="47"/>
        <v>6.9597233145967264E-3</v>
      </c>
      <c r="T86">
        <f t="shared" si="47"/>
        <v>7.0084391060019737E-3</v>
      </c>
      <c r="U86">
        <f t="shared" si="47"/>
        <v>7.0386620747289515E-3</v>
      </c>
      <c r="V86" s="1">
        <f t="shared" si="17"/>
        <v>4.1773162925800907E-3</v>
      </c>
      <c r="W86">
        <f t="shared" si="18"/>
        <v>7.0142726684598198E-3</v>
      </c>
      <c r="Z86" s="1">
        <v>6.8329632364280732E-2</v>
      </c>
      <c r="AA86">
        <v>4.1773162925800907E-3</v>
      </c>
      <c r="AD86">
        <f t="shared" si="19"/>
        <v>0.35414284862029466</v>
      </c>
      <c r="AE86">
        <f t="shared" si="20"/>
        <v>0.41186156080584796</v>
      </c>
      <c r="AF86">
        <f t="shared" si="21"/>
        <v>4.9297608336600719E-2</v>
      </c>
      <c r="AG86">
        <f t="shared" si="22"/>
        <v>7.2754185826624573E-2</v>
      </c>
      <c r="AH86">
        <f t="shared" si="23"/>
        <v>4.5136740125589526E-2</v>
      </c>
    </row>
    <row r="87" spans="1:34" x14ac:dyDescent="0.25">
      <c r="A87" t="s">
        <v>52</v>
      </c>
      <c r="B87">
        <f t="shared" ref="B87:U87" si="48">B27/B$59</f>
        <v>0</v>
      </c>
      <c r="C87">
        <f t="shared" si="48"/>
        <v>3.8616487513253511E-4</v>
      </c>
      <c r="D87">
        <f t="shared" si="48"/>
        <v>3.351615674594889E-4</v>
      </c>
      <c r="E87">
        <f t="shared" si="48"/>
        <v>6.9181140528548353E-4</v>
      </c>
      <c r="F87">
        <f t="shared" si="48"/>
        <v>8.4296174005503931E-4</v>
      </c>
      <c r="G87">
        <f t="shared" si="48"/>
        <v>5.7594344210310715E-4</v>
      </c>
      <c r="H87">
        <f t="shared" si="48"/>
        <v>6.9535393800689883E-3</v>
      </c>
      <c r="I87">
        <f t="shared" si="48"/>
        <v>2.3552258554232369E-3</v>
      </c>
      <c r="J87">
        <f t="shared" si="48"/>
        <v>5.1228725102713457E-3</v>
      </c>
      <c r="K87">
        <f t="shared" si="48"/>
        <v>5.7144414968413743E-3</v>
      </c>
      <c r="L87">
        <f t="shared" si="48"/>
        <v>8.6642519139259692E-3</v>
      </c>
      <c r="M87">
        <f t="shared" si="48"/>
        <v>5.0848647224072726E-3</v>
      </c>
      <c r="N87">
        <f t="shared" si="48"/>
        <v>5.7012803755896553E-3</v>
      </c>
      <c r="O87">
        <f t="shared" si="48"/>
        <v>7.217197162219394E-3</v>
      </c>
      <c r="P87">
        <f t="shared" si="48"/>
        <v>5.6813480677221327E-3</v>
      </c>
      <c r="Q87">
        <f t="shared" si="48"/>
        <v>7.1631086940626715E-3</v>
      </c>
      <c r="R87">
        <f t="shared" si="48"/>
        <v>7.3673057625077594E-3</v>
      </c>
      <c r="S87">
        <f t="shared" si="48"/>
        <v>7.6428662809972419E-3</v>
      </c>
      <c r="T87">
        <f t="shared" si="48"/>
        <v>7.1524580509946716E-3</v>
      </c>
      <c r="U87">
        <f t="shared" si="48"/>
        <v>4.8352831450541025E-3</v>
      </c>
      <c r="V87" s="1">
        <f t="shared" si="17"/>
        <v>0.14844768089794266</v>
      </c>
      <c r="W87">
        <f t="shared" si="18"/>
        <v>6.8322043867232894E-3</v>
      </c>
      <c r="Z87" s="1">
        <v>0.1590524137114612</v>
      </c>
      <c r="AA87">
        <v>0.14844768089794266</v>
      </c>
      <c r="AD87">
        <f t="shared" si="19"/>
        <v>0.71238989367035888</v>
      </c>
      <c r="AE87">
        <f t="shared" si="20"/>
        <v>0.15538776927611272</v>
      </c>
      <c r="AF87">
        <f t="shared" si="21"/>
        <v>0.39292832897973373</v>
      </c>
      <c r="AG87">
        <f t="shared" si="22"/>
        <v>0.24048975741805076</v>
      </c>
      <c r="AH87">
        <f t="shared" si="23"/>
        <v>0.11602594957027451</v>
      </c>
    </row>
    <row r="88" spans="1:34" x14ac:dyDescent="0.25">
      <c r="A88" t="s">
        <v>54</v>
      </c>
      <c r="B88">
        <f t="shared" ref="B88:U88" si="49">B28/B$59</f>
        <v>1.0903523381019338E-3</v>
      </c>
      <c r="C88">
        <f t="shared" si="49"/>
        <v>0</v>
      </c>
      <c r="D88">
        <f t="shared" si="49"/>
        <v>2.3855600606863185E-4</v>
      </c>
      <c r="E88">
        <f t="shared" si="49"/>
        <v>2.6637341378893956E-4</v>
      </c>
      <c r="F88">
        <f t="shared" si="49"/>
        <v>6.4066373789691434E-4</v>
      </c>
      <c r="G88">
        <f t="shared" si="49"/>
        <v>0</v>
      </c>
      <c r="H88">
        <f t="shared" si="49"/>
        <v>6.748613281664215E-3</v>
      </c>
      <c r="I88">
        <f t="shared" si="49"/>
        <v>2.8283626438190615E-3</v>
      </c>
      <c r="J88">
        <f t="shared" si="49"/>
        <v>5.2656815950028225E-3</v>
      </c>
      <c r="K88">
        <f t="shared" si="49"/>
        <v>4.3950348150650579E-3</v>
      </c>
      <c r="L88">
        <f t="shared" si="49"/>
        <v>8.9084269770594027E-3</v>
      </c>
      <c r="M88">
        <f t="shared" si="49"/>
        <v>4.0322031873051998E-3</v>
      </c>
      <c r="N88">
        <f t="shared" si="49"/>
        <v>5.23648060318557E-3</v>
      </c>
      <c r="O88">
        <f t="shared" si="49"/>
        <v>7.9608255266187915E-3</v>
      </c>
      <c r="P88">
        <f t="shared" si="49"/>
        <v>6.103730802186162E-3</v>
      </c>
      <c r="Q88">
        <f t="shared" si="49"/>
        <v>6.6755746465918652E-3</v>
      </c>
      <c r="R88">
        <f t="shared" si="49"/>
        <v>6.5253818172359181E-3</v>
      </c>
      <c r="S88">
        <f t="shared" si="49"/>
        <v>7.1922188844906155E-3</v>
      </c>
      <c r="T88">
        <f t="shared" si="49"/>
        <v>6.6628852918360765E-3</v>
      </c>
      <c r="U88">
        <f t="shared" si="49"/>
        <v>6.8077121859526314E-3</v>
      </c>
      <c r="V88" s="1">
        <f t="shared" si="17"/>
        <v>3.3661756561885935E-2</v>
      </c>
      <c r="W88">
        <f t="shared" si="18"/>
        <v>6.7727545652214215E-3</v>
      </c>
      <c r="Z88" s="1">
        <v>9.9097773244389592E-2</v>
      </c>
      <c r="AA88">
        <v>3.3661756561885935E-2</v>
      </c>
      <c r="AD88">
        <f t="shared" si="19"/>
        <v>1.0565379415377192</v>
      </c>
      <c r="AE88">
        <f t="shared" si="20"/>
        <v>0.86915016184515526</v>
      </c>
      <c r="AF88">
        <f t="shared" si="21"/>
        <v>0.32665999008827817</v>
      </c>
      <c r="AG88">
        <f t="shared" si="22"/>
        <v>0.38385117924323087</v>
      </c>
      <c r="AH88">
        <f t="shared" si="23"/>
        <v>0.17663553763253628</v>
      </c>
    </row>
    <row r="89" spans="1:34" x14ac:dyDescent="0.25">
      <c r="A89" t="s">
        <v>35</v>
      </c>
      <c r="B89">
        <f t="shared" ref="B89:U89" si="50">B29/B$59</f>
        <v>9.745641990386582E-4</v>
      </c>
      <c r="C89">
        <f t="shared" si="50"/>
        <v>2.7198390247188762E-3</v>
      </c>
      <c r="D89">
        <f t="shared" si="50"/>
        <v>1.6088595137150963E-3</v>
      </c>
      <c r="E89">
        <f t="shared" si="50"/>
        <v>1.7192904245999909E-3</v>
      </c>
      <c r="F89">
        <f t="shared" si="50"/>
        <v>2.2514126456123535E-3</v>
      </c>
      <c r="G89">
        <f t="shared" si="50"/>
        <v>2.4684126729752768E-3</v>
      </c>
      <c r="H89">
        <f t="shared" si="50"/>
        <v>6.0972283480497033E-3</v>
      </c>
      <c r="I89">
        <f t="shared" si="50"/>
        <v>3.8383808806621653E-3</v>
      </c>
      <c r="J89">
        <f t="shared" si="50"/>
        <v>6.1774356969308284E-3</v>
      </c>
      <c r="K89">
        <f t="shared" si="50"/>
        <v>4.9279314487789888E-3</v>
      </c>
      <c r="L89">
        <f t="shared" si="50"/>
        <v>6.5551124275542065E-3</v>
      </c>
      <c r="M89">
        <f t="shared" si="50"/>
        <v>5.603276362728957E-3</v>
      </c>
      <c r="N89">
        <f t="shared" si="50"/>
        <v>6.115355843032742E-3</v>
      </c>
      <c r="O89">
        <f t="shared" si="50"/>
        <v>7.091554113423576E-3</v>
      </c>
      <c r="P89">
        <f t="shared" si="50"/>
        <v>5.9942555503383916E-3</v>
      </c>
      <c r="Q89">
        <f t="shared" si="50"/>
        <v>6.1783446256908434E-3</v>
      </c>
      <c r="R89">
        <f t="shared" si="50"/>
        <v>6.2822379887351801E-3</v>
      </c>
      <c r="S89">
        <f t="shared" si="50"/>
        <v>6.4545871033756825E-3</v>
      </c>
      <c r="T89">
        <f t="shared" si="50"/>
        <v>6.5387387164577314E-3</v>
      </c>
      <c r="U89">
        <f t="shared" si="50"/>
        <v>6.3284671207208387E-3</v>
      </c>
      <c r="V89" s="1">
        <f t="shared" si="17"/>
        <v>2.0007732849070585E-2</v>
      </c>
      <c r="W89">
        <f t="shared" si="18"/>
        <v>6.3564751109960555E-3</v>
      </c>
      <c r="Z89" s="1">
        <v>8.7633596614194745E-2</v>
      </c>
      <c r="AA89">
        <v>2.0007732849070585E-2</v>
      </c>
      <c r="AD89">
        <f t="shared" si="19"/>
        <v>0.40803736461510715</v>
      </c>
      <c r="AE89">
        <f t="shared" si="20"/>
        <v>0.14662793296790175</v>
      </c>
      <c r="AF89">
        <f t="shared" si="21"/>
        <v>0.20186697162927761</v>
      </c>
      <c r="AG89">
        <f t="shared" si="22"/>
        <v>0.11719601524562054</v>
      </c>
      <c r="AH89">
        <f t="shared" si="23"/>
        <v>7.6748796270040567E-2</v>
      </c>
    </row>
    <row r="90" spans="1:34" x14ac:dyDescent="0.25">
      <c r="A90" t="s">
        <v>27</v>
      </c>
      <c r="B90">
        <f t="shared" ref="B90:U90" si="51">B30/B$59</f>
        <v>6.2823619270289705E-4</v>
      </c>
      <c r="C90">
        <f t="shared" si="51"/>
        <v>4.1895781397764356E-4</v>
      </c>
      <c r="D90">
        <f t="shared" si="51"/>
        <v>1.7081642966589189E-3</v>
      </c>
      <c r="E90">
        <f t="shared" si="51"/>
        <v>7.4624722308329263E-4</v>
      </c>
      <c r="F90">
        <f t="shared" si="51"/>
        <v>1.9342051446749828E-3</v>
      </c>
      <c r="G90">
        <f t="shared" si="51"/>
        <v>2.9791279244962567E-3</v>
      </c>
      <c r="H90">
        <f t="shared" si="51"/>
        <v>5.5952118000307128E-3</v>
      </c>
      <c r="I90">
        <f t="shared" si="51"/>
        <v>2.8872287700802924E-3</v>
      </c>
      <c r="J90">
        <f t="shared" si="51"/>
        <v>5.4790833375204665E-3</v>
      </c>
      <c r="K90">
        <f t="shared" si="51"/>
        <v>4.1163020601495785E-3</v>
      </c>
      <c r="L90">
        <f t="shared" si="51"/>
        <v>6.3447270250511483E-3</v>
      </c>
      <c r="M90">
        <f t="shared" si="51"/>
        <v>4.6937937970481748E-3</v>
      </c>
      <c r="N90">
        <f t="shared" si="51"/>
        <v>5.3224759286174339E-3</v>
      </c>
      <c r="O90">
        <f t="shared" si="51"/>
        <v>6.6853887765196971E-3</v>
      </c>
      <c r="P90">
        <f t="shared" si="51"/>
        <v>5.2212988684642268E-3</v>
      </c>
      <c r="Q90">
        <f t="shared" si="51"/>
        <v>6.3919603036847079E-3</v>
      </c>
      <c r="R90">
        <f t="shared" si="51"/>
        <v>6.0029579590681389E-3</v>
      </c>
      <c r="S90">
        <f t="shared" si="51"/>
        <v>6.0693598875133873E-3</v>
      </c>
      <c r="T90">
        <f t="shared" si="51"/>
        <v>6.2446425902137441E-3</v>
      </c>
      <c r="U90">
        <f t="shared" si="51"/>
        <v>6.1222172243483759E-3</v>
      </c>
      <c r="V90" s="1">
        <f t="shared" si="17"/>
        <v>2.2363678837995567E-2</v>
      </c>
      <c r="W90">
        <f t="shared" si="18"/>
        <v>6.1662275929656712E-3</v>
      </c>
      <c r="Z90" s="1">
        <v>7.0341408945277448E-2</v>
      </c>
      <c r="AA90">
        <v>2.2363678837995567E-2</v>
      </c>
      <c r="AD90">
        <f t="shared" si="19"/>
        <v>0.61506548469709321</v>
      </c>
      <c r="AE90">
        <f t="shared" si="20"/>
        <v>0.48353035390107413</v>
      </c>
      <c r="AF90">
        <f t="shared" si="21"/>
        <v>0.26861316031229621</v>
      </c>
      <c r="AG90">
        <f t="shared" si="22"/>
        <v>0.18692631275016208</v>
      </c>
      <c r="AH90">
        <f t="shared" si="23"/>
        <v>0.11624649456953488</v>
      </c>
    </row>
    <row r="91" spans="1:34" x14ac:dyDescent="0.25">
      <c r="A91" t="s">
        <v>48</v>
      </c>
      <c r="B91">
        <f t="shared" ref="B91:U91" si="52">B31/B$59</f>
        <v>7.48960673676693E-4</v>
      </c>
      <c r="C91">
        <f t="shared" si="52"/>
        <v>8.8394706600452872E-4</v>
      </c>
      <c r="D91">
        <f t="shared" si="52"/>
        <v>2.685185162436414E-4</v>
      </c>
      <c r="E91">
        <f t="shared" si="52"/>
        <v>8.8627116623609607E-4</v>
      </c>
      <c r="F91">
        <f t="shared" si="52"/>
        <v>5.2731142647411962E-4</v>
      </c>
      <c r="G91">
        <f t="shared" si="52"/>
        <v>2.2736010385633336E-4</v>
      </c>
      <c r="H91">
        <f t="shared" si="52"/>
        <v>5.4842243639115686E-3</v>
      </c>
      <c r="I91">
        <f t="shared" si="52"/>
        <v>1.3068968344193577E-3</v>
      </c>
      <c r="J91">
        <f t="shared" si="52"/>
        <v>4.9034539404571517E-3</v>
      </c>
      <c r="K91">
        <f t="shared" si="52"/>
        <v>2.9568570789454238E-3</v>
      </c>
      <c r="L91">
        <f t="shared" si="52"/>
        <v>6.8051792602114762E-3</v>
      </c>
      <c r="M91">
        <f t="shared" si="52"/>
        <v>3.4917845773397736E-3</v>
      </c>
      <c r="N91">
        <f t="shared" si="52"/>
        <v>4.9534530157791714E-3</v>
      </c>
      <c r="O91">
        <f t="shared" si="52"/>
        <v>6.8386771730232446E-3</v>
      </c>
      <c r="P91">
        <f t="shared" si="52"/>
        <v>5.1680583114512074E-3</v>
      </c>
      <c r="Q91">
        <f t="shared" si="52"/>
        <v>5.7444550340684832E-3</v>
      </c>
      <c r="R91">
        <f t="shared" si="52"/>
        <v>5.7157527926592483E-3</v>
      </c>
      <c r="S91">
        <f t="shared" si="52"/>
        <v>6.2604144767299166E-3</v>
      </c>
      <c r="T91">
        <f t="shared" si="52"/>
        <v>6.0608973403494344E-3</v>
      </c>
      <c r="U91">
        <f t="shared" si="52"/>
        <v>5.9700091769792152E-3</v>
      </c>
      <c r="V91" s="1">
        <f t="shared" si="17"/>
        <v>3.4126716984623322E-2</v>
      </c>
      <c r="W91">
        <f t="shared" si="18"/>
        <v>5.9503057641572595E-3</v>
      </c>
      <c r="Z91" s="1">
        <v>0.10376972849753027</v>
      </c>
      <c r="AA91">
        <v>3.4126716984623322E-2</v>
      </c>
      <c r="AD91">
        <f t="shared" si="19"/>
        <v>0.41670679137652888</v>
      </c>
      <c r="AE91">
        <f t="shared" si="20"/>
        <v>0.49244614894017213</v>
      </c>
      <c r="AF91">
        <f t="shared" si="21"/>
        <v>0.47396296928736636</v>
      </c>
      <c r="AG91">
        <f t="shared" si="22"/>
        <v>0.38527014714675301</v>
      </c>
      <c r="AH91">
        <f t="shared" si="23"/>
        <v>0.1490585498030256</v>
      </c>
    </row>
    <row r="92" spans="1:34" x14ac:dyDescent="0.25">
      <c r="A92" t="s">
        <v>11</v>
      </c>
      <c r="B92">
        <f t="shared" ref="B92:U92" si="53">B32/B$59</f>
        <v>9.6748871852828013E-3</v>
      </c>
      <c r="C92">
        <f t="shared" si="53"/>
        <v>8.2213730997515739E-3</v>
      </c>
      <c r="D92">
        <f t="shared" si="53"/>
        <v>6.8009541745580916E-3</v>
      </c>
      <c r="E92">
        <f t="shared" si="53"/>
        <v>7.691558584593681E-3</v>
      </c>
      <c r="F92">
        <f t="shared" si="53"/>
        <v>8.8713024133761295E-3</v>
      </c>
      <c r="G92">
        <f t="shared" si="53"/>
        <v>8.6973147479086858E-3</v>
      </c>
      <c r="H92">
        <f t="shared" si="53"/>
        <v>5.8212090753516901E-3</v>
      </c>
      <c r="I92">
        <f t="shared" si="53"/>
        <v>5.6418848210069775E-3</v>
      </c>
      <c r="J92">
        <f t="shared" si="53"/>
        <v>5.2313024483246102E-3</v>
      </c>
      <c r="K92">
        <f t="shared" si="53"/>
        <v>6.2356401342488401E-3</v>
      </c>
      <c r="L92">
        <f t="shared" si="53"/>
        <v>5.5952483249761872E-3</v>
      </c>
      <c r="M92">
        <f t="shared" si="53"/>
        <v>5.9898518425755215E-3</v>
      </c>
      <c r="N92">
        <f t="shared" si="53"/>
        <v>5.3394419147929509E-3</v>
      </c>
      <c r="O92">
        <f t="shared" si="53"/>
        <v>5.4923591664501163E-3</v>
      </c>
      <c r="P92">
        <f t="shared" si="53"/>
        <v>5.8229399432411823E-3</v>
      </c>
      <c r="Q92">
        <f t="shared" si="53"/>
        <v>5.8317921830018859E-3</v>
      </c>
      <c r="R92">
        <f t="shared" si="53"/>
        <v>5.4765194114714958E-3</v>
      </c>
      <c r="S92">
        <f t="shared" si="53"/>
        <v>5.7034944828860661E-3</v>
      </c>
      <c r="T92">
        <f t="shared" si="53"/>
        <v>5.6373034822452513E-3</v>
      </c>
      <c r="U92">
        <f t="shared" si="53"/>
        <v>5.7658768109031342E-3</v>
      </c>
      <c r="V92" s="1">
        <f t="shared" si="17"/>
        <v>2.1428582599603153E-2</v>
      </c>
      <c r="W92">
        <f t="shared" si="18"/>
        <v>5.6829972741015674E-3</v>
      </c>
      <c r="Z92" s="1">
        <v>7.8245925261065455E-2</v>
      </c>
      <c r="AA92">
        <v>2.1428582599603153E-2</v>
      </c>
      <c r="AD92">
        <f t="shared" si="19"/>
        <v>0.14252265228605066</v>
      </c>
      <c r="AE92">
        <f t="shared" si="20"/>
        <v>6.1757450794154754E-2</v>
      </c>
      <c r="AF92">
        <f t="shared" si="21"/>
        <v>4.4371755850882016E-2</v>
      </c>
      <c r="AG92">
        <f t="shared" si="22"/>
        <v>4.4405792906830902E-2</v>
      </c>
      <c r="AH92">
        <f t="shared" si="23"/>
        <v>3.6346464970377731E-2</v>
      </c>
    </row>
    <row r="93" spans="1:34" x14ac:dyDescent="0.25">
      <c r="A93" t="s">
        <v>42</v>
      </c>
      <c r="B93">
        <f t="shared" ref="B93:U93" si="54">B33/B$59</f>
        <v>0</v>
      </c>
      <c r="C93">
        <f t="shared" si="54"/>
        <v>2.0617755494844519E-3</v>
      </c>
      <c r="D93">
        <f t="shared" si="54"/>
        <v>4.8217525851186258E-4</v>
      </c>
      <c r="E93">
        <f t="shared" si="54"/>
        <v>2.1639054769246197E-4</v>
      </c>
      <c r="F93">
        <f t="shared" si="54"/>
        <v>8.694106515979113E-4</v>
      </c>
      <c r="G93">
        <f t="shared" si="54"/>
        <v>9.6721059147524273E-4</v>
      </c>
      <c r="H93">
        <f t="shared" si="54"/>
        <v>4.66856885922426E-3</v>
      </c>
      <c r="I93">
        <f t="shared" si="54"/>
        <v>1.1092639349610531E-3</v>
      </c>
      <c r="J93">
        <f t="shared" si="54"/>
        <v>4.4969681668916035E-3</v>
      </c>
      <c r="K93">
        <f t="shared" si="54"/>
        <v>2.6001947059128561E-3</v>
      </c>
      <c r="L93">
        <f t="shared" si="54"/>
        <v>5.6213256960535151E-3</v>
      </c>
      <c r="M93">
        <f t="shared" si="54"/>
        <v>3.3452734394575131E-3</v>
      </c>
      <c r="N93">
        <f t="shared" si="54"/>
        <v>4.2227879632608864E-3</v>
      </c>
      <c r="O93">
        <f t="shared" si="54"/>
        <v>6.1829582394683016E-3</v>
      </c>
      <c r="P93">
        <f t="shared" si="54"/>
        <v>3.9043928691643126E-3</v>
      </c>
      <c r="Q93">
        <f t="shared" si="54"/>
        <v>5.2633775860805769E-3</v>
      </c>
      <c r="R93">
        <f t="shared" si="54"/>
        <v>4.9366308642490716E-3</v>
      </c>
      <c r="S93">
        <f t="shared" si="54"/>
        <v>5.4377592663443627E-3</v>
      </c>
      <c r="T93">
        <f t="shared" si="54"/>
        <v>5.0462962715747475E-3</v>
      </c>
      <c r="U93">
        <f t="shared" si="54"/>
        <v>5.5463435558253549E-3</v>
      </c>
      <c r="V93" s="1">
        <f t="shared" si="17"/>
        <v>4.3707002071041244E-2</v>
      </c>
      <c r="W93">
        <f t="shared" si="18"/>
        <v>5.2460815088148233E-3</v>
      </c>
      <c r="Z93" s="1">
        <v>0.10122986365459119</v>
      </c>
      <c r="AA93">
        <v>4.3707002071041244E-2</v>
      </c>
      <c r="AD93">
        <f t="shared" si="19"/>
        <v>1.0384219046597205</v>
      </c>
      <c r="AE93">
        <f t="shared" si="20"/>
        <v>0.48702370180454568</v>
      </c>
      <c r="AF93">
        <f t="shared" si="21"/>
        <v>0.47852714077195191</v>
      </c>
      <c r="AG93">
        <f t="shared" si="22"/>
        <v>0.33330141393571461</v>
      </c>
      <c r="AH93">
        <f t="shared" si="23"/>
        <v>0.21121384375093949</v>
      </c>
    </row>
    <row r="94" spans="1:34" x14ac:dyDescent="0.25">
      <c r="A94" t="s">
        <v>28</v>
      </c>
      <c r="B94">
        <f t="shared" ref="B94:U94" si="55">B34/B$59</f>
        <v>3.5547716261447454E-3</v>
      </c>
      <c r="C94">
        <f t="shared" si="55"/>
        <v>1.5156602496313992E-3</v>
      </c>
      <c r="D94">
        <f t="shared" si="55"/>
        <v>2.2622787805094509E-3</v>
      </c>
      <c r="E94">
        <f t="shared" si="55"/>
        <v>5.1883481721754247E-4</v>
      </c>
      <c r="F94">
        <f t="shared" si="55"/>
        <v>2.3391892529963537E-3</v>
      </c>
      <c r="G94">
        <f t="shared" si="55"/>
        <v>2.3639489663202979E-3</v>
      </c>
      <c r="H94">
        <f t="shared" si="55"/>
        <v>5.6217508039484582E-3</v>
      </c>
      <c r="I94">
        <f t="shared" si="55"/>
        <v>3.0794080777516437E-3</v>
      </c>
      <c r="J94">
        <f t="shared" si="55"/>
        <v>4.5529953672347806E-3</v>
      </c>
      <c r="K94">
        <f t="shared" si="55"/>
        <v>3.4157524230206465E-3</v>
      </c>
      <c r="L94">
        <f t="shared" si="55"/>
        <v>5.1645195949551886E-3</v>
      </c>
      <c r="M94">
        <f t="shared" si="55"/>
        <v>3.9868940501984612E-3</v>
      </c>
      <c r="N94">
        <f t="shared" si="55"/>
        <v>4.2207465578955449E-3</v>
      </c>
      <c r="O94">
        <f t="shared" si="55"/>
        <v>5.3619832535052869E-3</v>
      </c>
      <c r="P94">
        <f t="shared" si="55"/>
        <v>4.674263783756542E-3</v>
      </c>
      <c r="Q94">
        <f t="shared" si="55"/>
        <v>5.0236636462288589E-3</v>
      </c>
      <c r="R94">
        <f t="shared" si="55"/>
        <v>4.986163514535148E-3</v>
      </c>
      <c r="S94">
        <f t="shared" si="55"/>
        <v>5.1032717563837728E-3</v>
      </c>
      <c r="T94">
        <f t="shared" si="55"/>
        <v>4.9506374315979734E-3</v>
      </c>
      <c r="U94">
        <f t="shared" si="55"/>
        <v>4.6178291941427344E-3</v>
      </c>
      <c r="V94" s="1">
        <f t="shared" ref="V94:V125" si="56">_xlfn.STDEV.P(Q94:U94)/AVERAGE(Q94:U94)</f>
        <v>3.3853055430723804E-2</v>
      </c>
      <c r="W94">
        <f t="shared" ref="W94:W118" si="57">AVERAGE(Q94:U94)</f>
        <v>4.9363131085776975E-3</v>
      </c>
      <c r="Z94" s="1">
        <v>7.5419336758321479E-2</v>
      </c>
      <c r="AA94">
        <v>3.3853055430723804E-2</v>
      </c>
      <c r="AD94">
        <f t="shared" si="19"/>
        <v>0.34462619345305467</v>
      </c>
      <c r="AE94">
        <f t="shared" ref="AE94:AE118" si="58">_xlfn.STDEV.P(E94:G94)/AVERAGE(E94:G94)</f>
        <v>0.49637465800875386</v>
      </c>
      <c r="AF94">
        <f t="shared" ref="AF94:AF118" si="59">_xlfn.STDEV.P(H94:J94)/AVERAGE(H94:J94)</f>
        <v>0.23591487376118625</v>
      </c>
      <c r="AG94">
        <f t="shared" ref="AG94:AG118" si="60">_xlfn.STDEV.P(K94:M94)/AVERAGE(K94:M94)</f>
        <v>0.17381052085498319</v>
      </c>
      <c r="AH94">
        <f t="shared" ref="AH94:AH118" si="61">_xlfn.STDEV.P(N94:P94)/AVERAGE(N94:P94)</f>
        <v>9.8723500595168739E-2</v>
      </c>
    </row>
    <row r="95" spans="1:34" x14ac:dyDescent="0.25">
      <c r="A95" t="s">
        <v>53</v>
      </c>
      <c r="B95">
        <f t="shared" ref="B95:U95" si="62">B35/B$59</f>
        <v>1.2564511976589864E-3</v>
      </c>
      <c r="C95">
        <f t="shared" si="62"/>
        <v>0</v>
      </c>
      <c r="D95">
        <f t="shared" si="62"/>
        <v>0</v>
      </c>
      <c r="E95">
        <f t="shared" si="62"/>
        <v>2.789465632202702E-4</v>
      </c>
      <c r="F95">
        <f t="shared" si="62"/>
        <v>0</v>
      </c>
      <c r="G95">
        <f t="shared" si="62"/>
        <v>4.2715374738001058E-4</v>
      </c>
      <c r="H95">
        <f t="shared" si="62"/>
        <v>4.2155425814836139E-3</v>
      </c>
      <c r="I95">
        <f t="shared" si="62"/>
        <v>6.7573580250298053E-4</v>
      </c>
      <c r="J95">
        <f t="shared" si="62"/>
        <v>4.027715248246481E-3</v>
      </c>
      <c r="K95">
        <f t="shared" si="62"/>
        <v>2.6018685814114696E-3</v>
      </c>
      <c r="L95">
        <f t="shared" si="62"/>
        <v>5.9171343559299384E-3</v>
      </c>
      <c r="M95">
        <f t="shared" si="62"/>
        <v>3.1120242661430669E-3</v>
      </c>
      <c r="N95">
        <f t="shared" si="62"/>
        <v>3.9136982153660203E-3</v>
      </c>
      <c r="O95">
        <f t="shared" si="62"/>
        <v>5.8678092386091878E-3</v>
      </c>
      <c r="P95">
        <f t="shared" si="62"/>
        <v>3.4610678955845453E-3</v>
      </c>
      <c r="Q95">
        <f t="shared" si="62"/>
        <v>4.8867846377595682E-3</v>
      </c>
      <c r="R95">
        <f t="shared" si="62"/>
        <v>4.8819628257230551E-3</v>
      </c>
      <c r="S95">
        <f t="shared" si="62"/>
        <v>4.9955569487845986E-3</v>
      </c>
      <c r="T95">
        <f t="shared" si="62"/>
        <v>4.5445084001518006E-3</v>
      </c>
      <c r="U95">
        <f t="shared" si="62"/>
        <v>5.1722551146378137E-3</v>
      </c>
      <c r="V95" s="1">
        <f t="shared" si="56"/>
        <v>4.1862268977677294E-2</v>
      </c>
      <c r="W95">
        <f t="shared" si="57"/>
        <v>4.8962135854113669E-3</v>
      </c>
      <c r="Z95" s="1">
        <v>8.5138731558896633E-2</v>
      </c>
      <c r="AA95">
        <v>4.1862268977677294E-2</v>
      </c>
      <c r="AD95">
        <f t="shared" si="19"/>
        <v>1.4142135623730949</v>
      </c>
      <c r="AE95">
        <f t="shared" si="58"/>
        <v>0.75238560454339998</v>
      </c>
      <c r="AF95">
        <f t="shared" si="59"/>
        <v>0.54699616139437779</v>
      </c>
      <c r="AG95">
        <f t="shared" si="60"/>
        <v>0.37594525456253275</v>
      </c>
      <c r="AH95">
        <f t="shared" si="61"/>
        <v>0.23658707606326695</v>
      </c>
    </row>
    <row r="96" spans="1:34" x14ac:dyDescent="0.25">
      <c r="A96" t="s">
        <v>50</v>
      </c>
      <c r="B96">
        <f t="shared" ref="B96:U96" si="63">B36/B$59</f>
        <v>5.226604468280587E-4</v>
      </c>
      <c r="C96">
        <f t="shared" si="63"/>
        <v>4.1635029466616355E-4</v>
      </c>
      <c r="D96">
        <f t="shared" si="63"/>
        <v>0</v>
      </c>
      <c r="E96">
        <f t="shared" si="63"/>
        <v>2.5602107901357947E-4</v>
      </c>
      <c r="F96">
        <f t="shared" si="63"/>
        <v>7.4903309572526883E-4</v>
      </c>
      <c r="G96">
        <f t="shared" si="63"/>
        <v>1.9897740662448471E-4</v>
      </c>
      <c r="H96">
        <f t="shared" si="63"/>
        <v>4.3459970183077094E-3</v>
      </c>
      <c r="I96">
        <f t="shared" si="63"/>
        <v>7.8205262132455505E-4</v>
      </c>
      <c r="J96">
        <f t="shared" si="63"/>
        <v>3.6000213950474749E-3</v>
      </c>
      <c r="K96">
        <f t="shared" si="63"/>
        <v>1.729711450410572E-3</v>
      </c>
      <c r="L96">
        <f t="shared" si="63"/>
        <v>4.6724898039077114E-3</v>
      </c>
      <c r="M96">
        <f t="shared" si="63"/>
        <v>2.8820916671149725E-3</v>
      </c>
      <c r="N96">
        <f t="shared" si="63"/>
        <v>3.7415224281746079E-3</v>
      </c>
      <c r="O96">
        <f t="shared" si="63"/>
        <v>5.3013090355258008E-3</v>
      </c>
      <c r="P96">
        <f t="shared" si="63"/>
        <v>4.34141252679746E-3</v>
      </c>
      <c r="Q96">
        <f t="shared" si="63"/>
        <v>4.5399791985892123E-3</v>
      </c>
      <c r="R96">
        <f t="shared" si="63"/>
        <v>4.6835388265207408E-3</v>
      </c>
      <c r="S96">
        <f t="shared" si="63"/>
        <v>4.6073947045207429E-3</v>
      </c>
      <c r="T96">
        <f t="shared" si="63"/>
        <v>4.1418232532258823E-3</v>
      </c>
      <c r="U96">
        <f t="shared" si="63"/>
        <v>4.1994441142101093E-3</v>
      </c>
      <c r="V96" s="1">
        <f t="shared" si="56"/>
        <v>4.9811171126633164E-2</v>
      </c>
      <c r="W96">
        <f t="shared" si="57"/>
        <v>4.4344360194133372E-3</v>
      </c>
      <c r="Z96" s="1">
        <v>6.4863490066862511E-2</v>
      </c>
      <c r="AA96">
        <v>4.9811171126633164E-2</v>
      </c>
      <c r="AD96">
        <f t="shared" si="19"/>
        <v>0.72057371087729816</v>
      </c>
      <c r="AE96">
        <f t="shared" si="58"/>
        <v>0.61531751567541748</v>
      </c>
      <c r="AF96">
        <f t="shared" si="59"/>
        <v>0.52752217361589337</v>
      </c>
      <c r="AG96">
        <f t="shared" si="60"/>
        <v>0.39122838347467565</v>
      </c>
      <c r="AH96">
        <f t="shared" si="61"/>
        <v>0.14399221551731048</v>
      </c>
    </row>
    <row r="97" spans="1:34" x14ac:dyDescent="0.25">
      <c r="A97" t="s">
        <v>13</v>
      </c>
      <c r="B97">
        <f t="shared" ref="B97:U97" si="64">B37/B$59</f>
        <v>2.7957881656797247E-3</v>
      </c>
      <c r="C97">
        <f t="shared" si="64"/>
        <v>2.3738767954896087E-3</v>
      </c>
      <c r="D97">
        <f t="shared" si="64"/>
        <v>3.1658302007361487E-3</v>
      </c>
      <c r="E97">
        <f t="shared" si="64"/>
        <v>1.1876916501331618E-3</v>
      </c>
      <c r="F97">
        <f t="shared" si="64"/>
        <v>1.4550648614505793E-3</v>
      </c>
      <c r="G97">
        <f t="shared" si="64"/>
        <v>8.5852389368384766E-4</v>
      </c>
      <c r="H97">
        <f t="shared" si="64"/>
        <v>4.2320401416893671E-3</v>
      </c>
      <c r="I97">
        <f t="shared" si="64"/>
        <v>2.5263626450850725E-3</v>
      </c>
      <c r="J97">
        <f t="shared" si="64"/>
        <v>4.7486828787950746E-3</v>
      </c>
      <c r="K97">
        <f t="shared" si="64"/>
        <v>2.9177228236114141E-3</v>
      </c>
      <c r="L97">
        <f t="shared" si="64"/>
        <v>4.8323805327802494E-3</v>
      </c>
      <c r="M97">
        <f t="shared" si="64"/>
        <v>4.1299796908894904E-3</v>
      </c>
      <c r="N97">
        <f t="shared" si="64"/>
        <v>4.2181457619349817E-3</v>
      </c>
      <c r="O97">
        <f t="shared" si="64"/>
        <v>5.1462172760354096E-3</v>
      </c>
      <c r="P97">
        <f t="shared" si="64"/>
        <v>4.4746229856512804E-3</v>
      </c>
      <c r="Q97">
        <f t="shared" si="64"/>
        <v>4.3818874726189649E-3</v>
      </c>
      <c r="R97">
        <f t="shared" si="64"/>
        <v>4.2572121391380282E-3</v>
      </c>
      <c r="S97">
        <f t="shared" si="64"/>
        <v>4.2188338246600494E-3</v>
      </c>
      <c r="T97">
        <f t="shared" si="64"/>
        <v>4.3909428355957134E-3</v>
      </c>
      <c r="U97">
        <f t="shared" si="64"/>
        <v>4.4822086027679108E-3</v>
      </c>
      <c r="V97" s="1">
        <f t="shared" si="56"/>
        <v>2.2048554403525669E-2</v>
      </c>
      <c r="W97">
        <f t="shared" si="57"/>
        <v>4.3462169749561332E-3</v>
      </c>
      <c r="Z97" s="1">
        <v>7.5382843389794604E-2</v>
      </c>
      <c r="AA97">
        <v>2.2048554403525669E-2</v>
      </c>
      <c r="AD97">
        <f t="shared" si="19"/>
        <v>0.11644588070922096</v>
      </c>
      <c r="AE97">
        <f t="shared" si="58"/>
        <v>0.20904237167622042</v>
      </c>
      <c r="AF97">
        <f t="shared" si="59"/>
        <v>0.24755854225574522</v>
      </c>
      <c r="AG97">
        <f t="shared" si="60"/>
        <v>0.19970561519647445</v>
      </c>
      <c r="AH97">
        <f t="shared" si="61"/>
        <v>8.4828502119669608E-2</v>
      </c>
    </row>
    <row r="98" spans="1:34" x14ac:dyDescent="0.25">
      <c r="A98" t="s">
        <v>45</v>
      </c>
      <c r="B98">
        <f t="shared" ref="B98:U98" si="65">B38/B$59</f>
        <v>1.0885236617169638E-2</v>
      </c>
      <c r="C98">
        <f t="shared" si="65"/>
        <v>1.3369632236488595E-3</v>
      </c>
      <c r="D98">
        <f t="shared" si="65"/>
        <v>1.8376072249728283E-2</v>
      </c>
      <c r="E98">
        <f t="shared" si="65"/>
        <v>1.2206640434018917E-3</v>
      </c>
      <c r="F98">
        <f t="shared" si="65"/>
        <v>6.352462392935708E-3</v>
      </c>
      <c r="G98">
        <f t="shared" si="65"/>
        <v>2.3263347888852345E-4</v>
      </c>
      <c r="H98">
        <f t="shared" si="65"/>
        <v>4.6575742403746961E-3</v>
      </c>
      <c r="I98">
        <f t="shared" si="65"/>
        <v>1.0274820006230994E-3</v>
      </c>
      <c r="J98">
        <f t="shared" si="65"/>
        <v>3.4253287564243212E-3</v>
      </c>
      <c r="K98">
        <f t="shared" si="65"/>
        <v>1.7764689537234579E-3</v>
      </c>
      <c r="L98">
        <f t="shared" si="65"/>
        <v>4.4702847049497094E-3</v>
      </c>
      <c r="M98">
        <f t="shared" si="65"/>
        <v>3.2376913944896818E-3</v>
      </c>
      <c r="N98">
        <f t="shared" si="65"/>
        <v>3.7809864964836941E-3</v>
      </c>
      <c r="O98">
        <f t="shared" si="65"/>
        <v>4.6084051108877941E-3</v>
      </c>
      <c r="P98">
        <f t="shared" si="65"/>
        <v>4.1665657123332875E-3</v>
      </c>
      <c r="Q98">
        <f t="shared" si="65"/>
        <v>4.2063806388544485E-3</v>
      </c>
      <c r="R98">
        <f t="shared" si="65"/>
        <v>4.1412902029033371E-3</v>
      </c>
      <c r="S98">
        <f t="shared" si="65"/>
        <v>3.7133435353025827E-3</v>
      </c>
      <c r="T98">
        <f t="shared" si="65"/>
        <v>4.0259558224794625E-3</v>
      </c>
      <c r="U98">
        <f t="shared" si="65"/>
        <v>4.3597403234621078E-3</v>
      </c>
      <c r="V98" s="1">
        <f t="shared" si="56"/>
        <v>5.300383362786449E-2</v>
      </c>
      <c r="W98">
        <f t="shared" si="57"/>
        <v>4.0893421046003884E-3</v>
      </c>
      <c r="Z98" s="1">
        <v>6.6394602432178512E-2</v>
      </c>
      <c r="AA98">
        <v>5.300383362786449E-2</v>
      </c>
      <c r="AD98">
        <f t="shared" si="19"/>
        <v>0.68367294461849237</v>
      </c>
      <c r="AE98">
        <f t="shared" si="58"/>
        <v>1.0309822512395095</v>
      </c>
      <c r="AF98">
        <f t="shared" si="59"/>
        <v>0.49632244817184418</v>
      </c>
      <c r="AG98">
        <f t="shared" si="60"/>
        <v>0.34827504336877757</v>
      </c>
      <c r="AH98">
        <f t="shared" si="61"/>
        <v>8.0771002544789E-2</v>
      </c>
    </row>
    <row r="99" spans="1:34" x14ac:dyDescent="0.25">
      <c r="A99" t="s">
        <v>2</v>
      </c>
      <c r="B99">
        <f t="shared" ref="B99:U99" si="66">B39/B$59</f>
        <v>1.2019777021581562E-3</v>
      </c>
      <c r="C99">
        <f t="shared" si="66"/>
        <v>9.2371781692318557E-4</v>
      </c>
      <c r="D99">
        <f t="shared" si="66"/>
        <v>1.2032911114676151E-3</v>
      </c>
      <c r="E99">
        <f t="shared" si="66"/>
        <v>8.8683521019249079E-4</v>
      </c>
      <c r="F99">
        <f t="shared" si="66"/>
        <v>4.5412339982588172E-3</v>
      </c>
      <c r="G99">
        <f t="shared" si="66"/>
        <v>2.4205917258778909E-3</v>
      </c>
      <c r="H99">
        <f t="shared" si="66"/>
        <v>3.9633364579011749E-3</v>
      </c>
      <c r="I99">
        <f t="shared" si="66"/>
        <v>3.5381530948957272E-3</v>
      </c>
      <c r="J99">
        <f t="shared" si="66"/>
        <v>4.8776997355884462E-3</v>
      </c>
      <c r="K99">
        <f t="shared" si="66"/>
        <v>3.0486675362705364E-3</v>
      </c>
      <c r="L99">
        <f t="shared" si="66"/>
        <v>4.4149483698320341E-3</v>
      </c>
      <c r="M99">
        <f t="shared" si="66"/>
        <v>3.781364619073831E-3</v>
      </c>
      <c r="N99">
        <f t="shared" si="66"/>
        <v>3.6679825399001231E-3</v>
      </c>
      <c r="O99">
        <f t="shared" si="66"/>
        <v>4.3576218965235601E-3</v>
      </c>
      <c r="P99">
        <f t="shared" si="66"/>
        <v>3.6759081601053459E-3</v>
      </c>
      <c r="Q99">
        <f t="shared" si="66"/>
        <v>3.8939729235086319E-3</v>
      </c>
      <c r="R99">
        <f t="shared" si="66"/>
        <v>4.0047173993578962E-3</v>
      </c>
      <c r="S99">
        <f t="shared" si="66"/>
        <v>4.0393862527455656E-3</v>
      </c>
      <c r="T99">
        <f t="shared" si="66"/>
        <v>3.9892738161909826E-3</v>
      </c>
      <c r="U99">
        <f t="shared" si="66"/>
        <v>4.0959323646999907E-3</v>
      </c>
      <c r="V99" s="1">
        <f t="shared" si="56"/>
        <v>1.6573221356290007E-2</v>
      </c>
      <c r="W99">
        <f t="shared" si="57"/>
        <v>4.0046565513006133E-3</v>
      </c>
      <c r="Z99" s="1">
        <v>8.1646910110538526E-2</v>
      </c>
      <c r="AA99">
        <v>1.6573221356290007E-2</v>
      </c>
      <c r="AD99">
        <f t="shared" si="19"/>
        <v>0.11848978321099798</v>
      </c>
      <c r="AE99">
        <f t="shared" si="58"/>
        <v>0.57269694466497689</v>
      </c>
      <c r="AF99">
        <f t="shared" si="59"/>
        <v>0.13544273026276313</v>
      </c>
      <c r="AG99">
        <f t="shared" si="60"/>
        <v>0.14893866945064871</v>
      </c>
      <c r="AH99">
        <f t="shared" si="61"/>
        <v>8.2873188085598265E-2</v>
      </c>
    </row>
    <row r="100" spans="1:34" x14ac:dyDescent="0.25">
      <c r="A100" t="s">
        <v>0</v>
      </c>
      <c r="B100">
        <f t="shared" ref="B100:U100" si="67">B40/B$59</f>
        <v>9.6638610667267224E-3</v>
      </c>
      <c r="C100">
        <f t="shared" si="67"/>
        <v>9.4909312128264641E-3</v>
      </c>
      <c r="D100">
        <f t="shared" si="67"/>
        <v>5.4884423979270755E-3</v>
      </c>
      <c r="E100">
        <f t="shared" si="67"/>
        <v>5.7318871884465212E-3</v>
      </c>
      <c r="F100">
        <f t="shared" si="67"/>
        <v>1.3717006018208088E-2</v>
      </c>
      <c r="G100">
        <f t="shared" si="67"/>
        <v>6.5048914496622342E-3</v>
      </c>
      <c r="H100">
        <f t="shared" si="67"/>
        <v>3.7492491386710235E-3</v>
      </c>
      <c r="I100">
        <f t="shared" si="67"/>
        <v>3.8438259789722751E-3</v>
      </c>
      <c r="J100">
        <f t="shared" si="67"/>
        <v>4.311944984092775E-3</v>
      </c>
      <c r="K100">
        <f t="shared" si="67"/>
        <v>3.9574101748550547E-3</v>
      </c>
      <c r="L100">
        <f t="shared" si="67"/>
        <v>3.7504163718717074E-3</v>
      </c>
      <c r="M100">
        <f t="shared" si="67"/>
        <v>4.28993398593225E-3</v>
      </c>
      <c r="N100">
        <f t="shared" si="67"/>
        <v>3.6670969550824171E-3</v>
      </c>
      <c r="O100">
        <f t="shared" si="67"/>
        <v>3.501408749799918E-3</v>
      </c>
      <c r="P100">
        <f t="shared" si="67"/>
        <v>3.4190263315047502E-3</v>
      </c>
      <c r="Q100">
        <f t="shared" si="67"/>
        <v>3.482729635775532E-3</v>
      </c>
      <c r="R100">
        <f t="shared" si="67"/>
        <v>3.4608036954578598E-3</v>
      </c>
      <c r="S100">
        <f t="shared" si="67"/>
        <v>3.4397907292217089E-3</v>
      </c>
      <c r="T100">
        <f t="shared" si="67"/>
        <v>3.529688788622273E-3</v>
      </c>
      <c r="U100">
        <f t="shared" si="67"/>
        <v>3.6460314982233811E-3</v>
      </c>
      <c r="V100" s="1">
        <f t="shared" si="56"/>
        <v>2.0913067415124272E-2</v>
      </c>
      <c r="W100">
        <f t="shared" si="57"/>
        <v>3.5118088694601505E-3</v>
      </c>
      <c r="Z100" s="1">
        <v>7.8789072559015655E-2</v>
      </c>
      <c r="AA100">
        <v>2.0913067415124272E-2</v>
      </c>
      <c r="AD100">
        <f t="shared" si="19"/>
        <v>0.23481215858172819</v>
      </c>
      <c r="AE100">
        <f t="shared" si="58"/>
        <v>0.41564997597302333</v>
      </c>
      <c r="AF100">
        <f t="shared" si="59"/>
        <v>6.1994229095883903E-2</v>
      </c>
      <c r="AG100">
        <f t="shared" si="60"/>
        <v>5.5569259095059789E-2</v>
      </c>
      <c r="AH100">
        <f t="shared" si="61"/>
        <v>2.9230700920948569E-2</v>
      </c>
    </row>
    <row r="101" spans="1:34" x14ac:dyDescent="0.25">
      <c r="A101" t="s">
        <v>14</v>
      </c>
      <c r="B101">
        <f t="shared" ref="B101:U101" si="68">B41/B$59</f>
        <v>1.4910048303698197E-2</v>
      </c>
      <c r="C101">
        <f t="shared" si="68"/>
        <v>1.2171972488209124E-2</v>
      </c>
      <c r="D101">
        <f t="shared" si="68"/>
        <v>4.1131057436517302E-3</v>
      </c>
      <c r="E101">
        <f t="shared" si="68"/>
        <v>3.8680759424584484E-3</v>
      </c>
      <c r="F101">
        <f t="shared" si="68"/>
        <v>9.21659714359656E-3</v>
      </c>
      <c r="G101">
        <f t="shared" si="68"/>
        <v>6.3940836148830716E-3</v>
      </c>
      <c r="H101">
        <f t="shared" si="68"/>
        <v>3.2180468469167945E-3</v>
      </c>
      <c r="I101">
        <f t="shared" si="68"/>
        <v>3.3234408175960286E-3</v>
      </c>
      <c r="J101">
        <f t="shared" si="68"/>
        <v>3.3025510906820378E-3</v>
      </c>
      <c r="K101">
        <f t="shared" si="68"/>
        <v>5.1822494039653584E-3</v>
      </c>
      <c r="L101">
        <f t="shared" si="68"/>
        <v>3.9377461791030577E-3</v>
      </c>
      <c r="M101">
        <f t="shared" si="68"/>
        <v>3.0749424532052452E-3</v>
      </c>
      <c r="N101">
        <f t="shared" si="68"/>
        <v>3.0057922208870523E-3</v>
      </c>
      <c r="O101">
        <f t="shared" si="68"/>
        <v>3.28515206353541E-3</v>
      </c>
      <c r="P101">
        <f t="shared" si="68"/>
        <v>3.7318408303702376E-3</v>
      </c>
      <c r="Q101">
        <f t="shared" si="68"/>
        <v>3.1978348107217099E-3</v>
      </c>
      <c r="R101">
        <f t="shared" si="68"/>
        <v>3.3312127543204104E-3</v>
      </c>
      <c r="S101">
        <f t="shared" si="68"/>
        <v>3.1236122321630401E-3</v>
      </c>
      <c r="T101">
        <f t="shared" si="68"/>
        <v>2.981601190245146E-3</v>
      </c>
      <c r="U101">
        <f t="shared" si="68"/>
        <v>3.1242554206691248E-3</v>
      </c>
      <c r="V101" s="1">
        <f t="shared" si="56"/>
        <v>3.6128861500329304E-2</v>
      </c>
      <c r="W101">
        <f t="shared" si="57"/>
        <v>3.1517032816238862E-3</v>
      </c>
      <c r="Z101" s="1">
        <v>4.8811873043095512E-2</v>
      </c>
      <c r="AA101">
        <v>3.6128861500329304E-2</v>
      </c>
      <c r="AD101">
        <f t="shared" si="19"/>
        <v>0.44072019073128493</v>
      </c>
      <c r="AE101">
        <f t="shared" si="58"/>
        <v>0.33646543361763265</v>
      </c>
      <c r="AF101">
        <f t="shared" si="59"/>
        <v>1.3885962564199284E-2</v>
      </c>
      <c r="AG101">
        <f t="shared" si="60"/>
        <v>0.21279220001406268</v>
      </c>
      <c r="AH101">
        <f t="shared" si="61"/>
        <v>8.9502219539353903E-2</v>
      </c>
    </row>
    <row r="102" spans="1:34" x14ac:dyDescent="0.25">
      <c r="A102" t="s">
        <v>46</v>
      </c>
      <c r="B102">
        <f t="shared" ref="B102:U102" si="69">B42/B$59</f>
        <v>0</v>
      </c>
      <c r="C102">
        <f t="shared" si="69"/>
        <v>0</v>
      </c>
      <c r="D102">
        <f t="shared" si="69"/>
        <v>9.0286758820312641E-4</v>
      </c>
      <c r="E102">
        <f t="shared" si="69"/>
        <v>1.1315038048713864E-3</v>
      </c>
      <c r="F102">
        <f t="shared" si="69"/>
        <v>0</v>
      </c>
      <c r="G102">
        <f t="shared" si="69"/>
        <v>0</v>
      </c>
      <c r="H102">
        <f t="shared" si="69"/>
        <v>2.6798165695383746E-3</v>
      </c>
      <c r="I102">
        <f t="shared" si="69"/>
        <v>6.1705796800000845E-4</v>
      </c>
      <c r="J102">
        <f t="shared" si="69"/>
        <v>3.1981722420062865E-3</v>
      </c>
      <c r="K102">
        <f t="shared" si="69"/>
        <v>1.0318541367098596E-3</v>
      </c>
      <c r="L102">
        <f t="shared" si="69"/>
        <v>3.3854818255833526E-3</v>
      </c>
      <c r="M102">
        <f t="shared" si="69"/>
        <v>1.9058436783975295E-3</v>
      </c>
      <c r="N102">
        <f t="shared" si="69"/>
        <v>2.6200601315379711E-3</v>
      </c>
      <c r="O102">
        <f t="shared" si="69"/>
        <v>3.8515573666638085E-3</v>
      </c>
      <c r="P102">
        <f t="shared" si="69"/>
        <v>2.7597515442095957E-3</v>
      </c>
      <c r="Q102">
        <f t="shared" si="69"/>
        <v>3.3737665372294157E-3</v>
      </c>
      <c r="R102">
        <f t="shared" si="69"/>
        <v>3.1527931122726539E-3</v>
      </c>
      <c r="S102">
        <f t="shared" si="69"/>
        <v>2.7829856921732549E-3</v>
      </c>
      <c r="T102">
        <f t="shared" si="69"/>
        <v>3.1737520486801833E-3</v>
      </c>
      <c r="U102">
        <f t="shared" si="69"/>
        <v>3.1748805710627341E-3</v>
      </c>
      <c r="V102" s="1">
        <f t="shared" si="56"/>
        <v>6.1302449258990213E-2</v>
      </c>
      <c r="W102">
        <f t="shared" si="57"/>
        <v>3.1316355922836486E-3</v>
      </c>
      <c r="Z102" s="1">
        <v>5.6404458490378236E-2</v>
      </c>
      <c r="AA102">
        <v>6.1302449258990213E-2</v>
      </c>
      <c r="AD102">
        <f t="shared" si="19"/>
        <v>1.4142135623730951</v>
      </c>
      <c r="AE102">
        <f t="shared" si="58"/>
        <v>1.4142135623730951</v>
      </c>
      <c r="AF102">
        <f t="shared" si="59"/>
        <v>0.51493399350755031</v>
      </c>
      <c r="AG102">
        <f t="shared" si="60"/>
        <v>0.46088083747697128</v>
      </c>
      <c r="AH102">
        <f t="shared" si="61"/>
        <v>0.17892339934125062</v>
      </c>
    </row>
    <row r="103" spans="1:34" x14ac:dyDescent="0.25">
      <c r="A103" t="s">
        <v>32</v>
      </c>
      <c r="B103">
        <f t="shared" ref="B103:U103" si="70">B43/B$59</f>
        <v>4.3057018533082184E-4</v>
      </c>
      <c r="C103">
        <f t="shared" si="70"/>
        <v>5.7824763666867909E-4</v>
      </c>
      <c r="D103">
        <f t="shared" si="70"/>
        <v>7.2349471938544041E-4</v>
      </c>
      <c r="E103">
        <f t="shared" si="70"/>
        <v>7.4354481191106091E-4</v>
      </c>
      <c r="F103">
        <f t="shared" si="70"/>
        <v>6.1459854779867453E-4</v>
      </c>
      <c r="G103">
        <f t="shared" si="70"/>
        <v>0</v>
      </c>
      <c r="H103">
        <f t="shared" si="70"/>
        <v>2.7548491925160289E-3</v>
      </c>
      <c r="I103">
        <f t="shared" si="70"/>
        <v>1.3443301384683578E-3</v>
      </c>
      <c r="J103">
        <f t="shared" si="70"/>
        <v>2.2631171136631369E-3</v>
      </c>
      <c r="K103">
        <f t="shared" si="70"/>
        <v>1.1418063281900693E-3</v>
      </c>
      <c r="L103">
        <f t="shared" si="70"/>
        <v>2.7533885969193697E-3</v>
      </c>
      <c r="M103">
        <f t="shared" si="70"/>
        <v>2.1995975820133743E-3</v>
      </c>
      <c r="N103">
        <f t="shared" si="70"/>
        <v>2.3347701463370014E-3</v>
      </c>
      <c r="O103">
        <f t="shared" si="70"/>
        <v>3.3134616779477138E-3</v>
      </c>
      <c r="P103">
        <f t="shared" si="70"/>
        <v>2.4760892426092169E-3</v>
      </c>
      <c r="Q103">
        <f t="shared" si="70"/>
        <v>2.7234228881486619E-3</v>
      </c>
      <c r="R103">
        <f t="shared" si="70"/>
        <v>2.6832348393151084E-3</v>
      </c>
      <c r="S103">
        <f t="shared" si="70"/>
        <v>2.9731084141606293E-3</v>
      </c>
      <c r="T103">
        <f t="shared" si="70"/>
        <v>2.9808529353133632E-3</v>
      </c>
      <c r="U103">
        <f t="shared" si="70"/>
        <v>2.6621705859650796E-3</v>
      </c>
      <c r="V103" s="1">
        <f t="shared" si="56"/>
        <v>5.0693482588035035E-2</v>
      </c>
      <c r="W103">
        <f t="shared" si="57"/>
        <v>2.8045579325805688E-3</v>
      </c>
      <c r="Z103" s="1">
        <v>0.11231663658647734</v>
      </c>
      <c r="AA103">
        <v>5.0693482588035035E-2</v>
      </c>
      <c r="AD103">
        <f t="shared" si="19"/>
        <v>0.2071000054928995</v>
      </c>
      <c r="AE103">
        <f t="shared" si="58"/>
        <v>0.7166039856645533</v>
      </c>
      <c r="AF103">
        <f t="shared" si="59"/>
        <v>0.27564261515441552</v>
      </c>
      <c r="AG103">
        <f t="shared" si="60"/>
        <v>0.3290830579800047</v>
      </c>
      <c r="AH103">
        <f t="shared" si="61"/>
        <v>0.15949180498373247</v>
      </c>
    </row>
    <row r="104" spans="1:34" x14ac:dyDescent="0.25">
      <c r="A104" t="s">
        <v>56</v>
      </c>
      <c r="B104">
        <f t="shared" ref="B104:U104" si="71">B44/B$59</f>
        <v>0</v>
      </c>
      <c r="C104">
        <f t="shared" si="71"/>
        <v>5.4902833744630973E-4</v>
      </c>
      <c r="D104">
        <f t="shared" si="71"/>
        <v>0</v>
      </c>
      <c r="E104">
        <f t="shared" si="71"/>
        <v>0</v>
      </c>
      <c r="F104">
        <f t="shared" si="71"/>
        <v>4.0177971440247663E-4</v>
      </c>
      <c r="G104">
        <f t="shared" si="71"/>
        <v>8.9660469854147223E-4</v>
      </c>
      <c r="H104">
        <f t="shared" si="71"/>
        <v>2.4652332638645871E-3</v>
      </c>
      <c r="I104">
        <f t="shared" si="71"/>
        <v>8.141262638802708E-4</v>
      </c>
      <c r="J104">
        <f t="shared" si="71"/>
        <v>1.9802813585796716E-3</v>
      </c>
      <c r="K104">
        <f t="shared" si="71"/>
        <v>1.3261789910590659E-3</v>
      </c>
      <c r="L104">
        <f t="shared" si="71"/>
        <v>3.4141379991867076E-3</v>
      </c>
      <c r="M104">
        <f t="shared" si="71"/>
        <v>9.7439552643711956E-4</v>
      </c>
      <c r="N104">
        <f t="shared" si="71"/>
        <v>1.6456764584238039E-3</v>
      </c>
      <c r="O104">
        <f t="shared" si="71"/>
        <v>4.0078453536950207E-3</v>
      </c>
      <c r="P104">
        <f t="shared" si="71"/>
        <v>2.3687918381129344E-3</v>
      </c>
      <c r="Q104">
        <f t="shared" si="71"/>
        <v>2.654330984407368E-3</v>
      </c>
      <c r="R104">
        <f t="shared" si="71"/>
        <v>2.6206875408764179E-3</v>
      </c>
      <c r="S104">
        <f t="shared" si="71"/>
        <v>2.8791084829993484E-3</v>
      </c>
      <c r="T104">
        <f t="shared" si="71"/>
        <v>2.6838025373512545E-3</v>
      </c>
      <c r="U104">
        <f t="shared" si="71"/>
        <v>3.0038702741826497E-3</v>
      </c>
      <c r="V104" s="1">
        <f t="shared" si="56"/>
        <v>5.3502744306338827E-2</v>
      </c>
      <c r="W104">
        <f t="shared" si="57"/>
        <v>2.768359963963408E-3</v>
      </c>
      <c r="Z104" s="1">
        <v>0.11392473691968426</v>
      </c>
      <c r="AA104">
        <v>5.3502744306338827E-2</v>
      </c>
      <c r="AD104">
        <f t="shared" si="19"/>
        <v>1.4142135623730954</v>
      </c>
      <c r="AE104">
        <f t="shared" si="58"/>
        <v>0.84726927436481958</v>
      </c>
      <c r="AF104">
        <f t="shared" si="59"/>
        <v>0.39522883540962761</v>
      </c>
      <c r="AG104">
        <f t="shared" si="60"/>
        <v>0.56528275181192189</v>
      </c>
      <c r="AH104">
        <f t="shared" si="61"/>
        <v>0.36955227485966824</v>
      </c>
    </row>
    <row r="105" spans="1:34" x14ac:dyDescent="0.25">
      <c r="A105" t="s">
        <v>6</v>
      </c>
      <c r="B105">
        <f t="shared" ref="B105:U105" si="72">B45/B$59</f>
        <v>0</v>
      </c>
      <c r="C105">
        <f t="shared" si="72"/>
        <v>4.0999824659993233E-4</v>
      </c>
      <c r="D105">
        <f t="shared" si="72"/>
        <v>0</v>
      </c>
      <c r="E105">
        <f t="shared" si="72"/>
        <v>3.4955171338295294E-4</v>
      </c>
      <c r="F105">
        <f t="shared" si="72"/>
        <v>3.6096199516180071E-4</v>
      </c>
      <c r="G105">
        <f t="shared" si="72"/>
        <v>2.4182805998419359E-4</v>
      </c>
      <c r="H105">
        <f t="shared" si="72"/>
        <v>2.5461058011881318E-3</v>
      </c>
      <c r="I105">
        <f t="shared" si="72"/>
        <v>2.9133901376606576E-4</v>
      </c>
      <c r="J105">
        <f t="shared" si="72"/>
        <v>2.1389702074299127E-3</v>
      </c>
      <c r="K105">
        <f t="shared" si="72"/>
        <v>1.6402662551293055E-3</v>
      </c>
      <c r="L105">
        <f t="shared" si="72"/>
        <v>2.4394116698801724E-3</v>
      </c>
      <c r="M105">
        <f t="shared" si="72"/>
        <v>2.2053936662080132E-3</v>
      </c>
      <c r="N105">
        <f t="shared" si="72"/>
        <v>2.2164240538332237E-3</v>
      </c>
      <c r="O105">
        <f t="shared" si="72"/>
        <v>2.5106088189233455E-3</v>
      </c>
      <c r="P105">
        <f t="shared" si="72"/>
        <v>2.1010230427475447E-3</v>
      </c>
      <c r="Q105">
        <f t="shared" si="72"/>
        <v>2.905470755379684E-3</v>
      </c>
      <c r="R105">
        <f t="shared" si="72"/>
        <v>2.753563330612501E-3</v>
      </c>
      <c r="S105">
        <f t="shared" si="72"/>
        <v>2.4393876764550676E-3</v>
      </c>
      <c r="T105">
        <f t="shared" si="72"/>
        <v>2.6209620756081791E-3</v>
      </c>
      <c r="U105">
        <f t="shared" si="72"/>
        <v>2.8061664311494284E-3</v>
      </c>
      <c r="V105" s="1">
        <f t="shared" si="56"/>
        <v>5.9697824836653278E-2</v>
      </c>
      <c r="W105">
        <f t="shared" si="57"/>
        <v>2.7051100538409722E-3</v>
      </c>
      <c r="Z105" s="1">
        <v>5.0630626867490973E-2</v>
      </c>
      <c r="AA105">
        <v>5.9697824836653278E-2</v>
      </c>
      <c r="AD105">
        <f t="shared" si="19"/>
        <v>1.4142135623730949</v>
      </c>
      <c r="AE105">
        <f t="shared" si="58"/>
        <v>0.16907806770767383</v>
      </c>
      <c r="AF105">
        <f t="shared" si="59"/>
        <v>0.59146552782174344</v>
      </c>
      <c r="AG105">
        <f t="shared" si="60"/>
        <v>0.16011960179691043</v>
      </c>
      <c r="AH105">
        <f t="shared" si="61"/>
        <v>7.5764246006501529E-2</v>
      </c>
    </row>
    <row r="106" spans="1:34" x14ac:dyDescent="0.25">
      <c r="A106" t="s">
        <v>31</v>
      </c>
      <c r="B106">
        <f t="shared" ref="B106:U106" si="73">B46/B$59</f>
        <v>0</v>
      </c>
      <c r="C106">
        <f t="shared" si="73"/>
        <v>9.9032715038679161E-4</v>
      </c>
      <c r="D106">
        <f t="shared" si="73"/>
        <v>1.2444875570392963E-3</v>
      </c>
      <c r="E106">
        <f t="shared" si="73"/>
        <v>9.9605305378771126E-4</v>
      </c>
      <c r="F106">
        <f t="shared" si="73"/>
        <v>3.8997740834269154E-4</v>
      </c>
      <c r="G106">
        <f t="shared" si="73"/>
        <v>4.1633240820586098E-4</v>
      </c>
      <c r="H106">
        <f t="shared" si="73"/>
        <v>2.134957307084402E-3</v>
      </c>
      <c r="I106">
        <f t="shared" si="73"/>
        <v>1.2818189875949423E-3</v>
      </c>
      <c r="J106">
        <f t="shared" si="73"/>
        <v>2.0577710136112462E-3</v>
      </c>
      <c r="K106">
        <f t="shared" si="73"/>
        <v>8.3260232314348061E-4</v>
      </c>
      <c r="L106">
        <f t="shared" si="73"/>
        <v>2.4910892672814415E-3</v>
      </c>
      <c r="M106">
        <f t="shared" si="73"/>
        <v>1.3894977643866991E-3</v>
      </c>
      <c r="N106">
        <f t="shared" si="73"/>
        <v>2.819427324015902E-3</v>
      </c>
      <c r="O106">
        <f t="shared" si="73"/>
        <v>2.8990883359349879E-3</v>
      </c>
      <c r="P106">
        <f t="shared" si="73"/>
        <v>2.3573794540357076E-3</v>
      </c>
      <c r="Q106">
        <f t="shared" si="73"/>
        <v>2.2992890665192132E-3</v>
      </c>
      <c r="R106">
        <f t="shared" si="73"/>
        <v>3.0365965452497077E-3</v>
      </c>
      <c r="S106">
        <f t="shared" si="73"/>
        <v>2.7202001141901099E-3</v>
      </c>
      <c r="T106">
        <f t="shared" si="73"/>
        <v>2.7539617376349389E-3</v>
      </c>
      <c r="U106">
        <f t="shared" si="73"/>
        <v>2.4909413679848843E-3</v>
      </c>
      <c r="V106" s="1">
        <f t="shared" si="56"/>
        <v>9.4048743823453379E-2</v>
      </c>
      <c r="W106">
        <f t="shared" si="57"/>
        <v>2.6601977663157704E-3</v>
      </c>
      <c r="Z106" s="1">
        <v>0.11091449995323155</v>
      </c>
      <c r="AA106">
        <v>9.4048743823453379E-2</v>
      </c>
      <c r="AD106">
        <f t="shared" si="19"/>
        <v>0.72069480039431144</v>
      </c>
      <c r="AE106">
        <f t="shared" si="58"/>
        <v>0.46555866702291065</v>
      </c>
      <c r="AF106">
        <f t="shared" si="59"/>
        <v>0.21112489896729589</v>
      </c>
      <c r="AG106">
        <f t="shared" si="60"/>
        <v>0.43864512792455823</v>
      </c>
      <c r="AH106">
        <f t="shared" si="61"/>
        <v>8.8713070518760886E-2</v>
      </c>
    </row>
    <row r="107" spans="1:34" x14ac:dyDescent="0.25">
      <c r="A107" t="s">
        <v>17</v>
      </c>
      <c r="B107">
        <f t="shared" ref="B107:U107" si="74">B47/B$59</f>
        <v>1.0578553480047827E-3</v>
      </c>
      <c r="C107">
        <f t="shared" si="74"/>
        <v>1.4782484797145378E-3</v>
      </c>
      <c r="D107">
        <f t="shared" si="74"/>
        <v>5.7545329630136622E-4</v>
      </c>
      <c r="E107">
        <f t="shared" si="74"/>
        <v>7.6853984612965988E-4</v>
      </c>
      <c r="F107">
        <f t="shared" si="74"/>
        <v>5.0987330668126045E-4</v>
      </c>
      <c r="G107">
        <f t="shared" si="74"/>
        <v>1.3084923382716642E-3</v>
      </c>
      <c r="H107">
        <f t="shared" si="74"/>
        <v>2.0586237808728918E-3</v>
      </c>
      <c r="I107">
        <f t="shared" si="74"/>
        <v>5.5250303143865743E-4</v>
      </c>
      <c r="J107">
        <f t="shared" si="74"/>
        <v>1.612739358793563E-3</v>
      </c>
      <c r="K107">
        <f t="shared" si="74"/>
        <v>1.0178589515493503E-3</v>
      </c>
      <c r="L107">
        <f t="shared" si="74"/>
        <v>2.7507481345222552E-3</v>
      </c>
      <c r="M107">
        <f t="shared" si="74"/>
        <v>2.0875261885244427E-3</v>
      </c>
      <c r="N107">
        <f t="shared" si="74"/>
        <v>2.1600844234013722E-3</v>
      </c>
      <c r="O107">
        <f t="shared" si="74"/>
        <v>2.8894112072176798E-3</v>
      </c>
      <c r="P107">
        <f t="shared" si="74"/>
        <v>2.3043094724344527E-3</v>
      </c>
      <c r="Q107">
        <f t="shared" si="74"/>
        <v>2.510380896628021E-3</v>
      </c>
      <c r="R107">
        <f t="shared" si="74"/>
        <v>2.4928971279109973E-3</v>
      </c>
      <c r="S107">
        <f t="shared" si="74"/>
        <v>2.2726047347629017E-3</v>
      </c>
      <c r="T107">
        <f t="shared" si="74"/>
        <v>2.4472479979580266E-3</v>
      </c>
      <c r="U107">
        <f t="shared" si="74"/>
        <v>2.3090769507470381E-3</v>
      </c>
      <c r="V107" s="1">
        <f t="shared" si="56"/>
        <v>4.0432645068343084E-2</v>
      </c>
      <c r="W107">
        <f t="shared" si="57"/>
        <v>2.406441541601397E-3</v>
      </c>
      <c r="Z107" s="1">
        <v>4.4810298975174821E-2</v>
      </c>
      <c r="AA107">
        <v>4.0432645068343084E-2</v>
      </c>
      <c r="AD107">
        <f t="shared" si="19"/>
        <v>0.35562992188505804</v>
      </c>
      <c r="AE107">
        <f t="shared" si="58"/>
        <v>0.38583665185995375</v>
      </c>
      <c r="AF107">
        <f t="shared" si="59"/>
        <v>0.4486591420586829</v>
      </c>
      <c r="AG107">
        <f t="shared" si="60"/>
        <v>0.36572222046763531</v>
      </c>
      <c r="AH107">
        <f t="shared" si="61"/>
        <v>0.12865141175147476</v>
      </c>
    </row>
    <row r="108" spans="1:34" x14ac:dyDescent="0.25">
      <c r="A108" t="s">
        <v>18</v>
      </c>
      <c r="B108">
        <f t="shared" ref="B108:U108" si="75">B48/B$59</f>
        <v>1.2159183577861951E-3</v>
      </c>
      <c r="C108">
        <f t="shared" si="75"/>
        <v>1.0552827950522634E-3</v>
      </c>
      <c r="D108">
        <f t="shared" si="75"/>
        <v>6.9505960140566283E-4</v>
      </c>
      <c r="E108">
        <f t="shared" si="75"/>
        <v>2.0892200690873718E-3</v>
      </c>
      <c r="F108">
        <f t="shared" si="75"/>
        <v>8.9423757397271992E-4</v>
      </c>
      <c r="G108">
        <f t="shared" si="75"/>
        <v>1.0247475710910632E-3</v>
      </c>
      <c r="H108">
        <f t="shared" si="75"/>
        <v>2.2191323625200404E-3</v>
      </c>
      <c r="I108">
        <f t="shared" si="75"/>
        <v>1.3332789969590125E-3</v>
      </c>
      <c r="J108">
        <f t="shared" si="75"/>
        <v>2.1692133165876668E-3</v>
      </c>
      <c r="K108">
        <f t="shared" si="75"/>
        <v>1.9463921263642514E-3</v>
      </c>
      <c r="L108">
        <f t="shared" si="75"/>
        <v>2.7776718663037056E-3</v>
      </c>
      <c r="M108">
        <f t="shared" si="75"/>
        <v>1.9600570085900248E-3</v>
      </c>
      <c r="N108">
        <f t="shared" si="75"/>
        <v>2.7084690480645062E-3</v>
      </c>
      <c r="O108">
        <f t="shared" si="75"/>
        <v>2.8998251592437384E-3</v>
      </c>
      <c r="P108">
        <f t="shared" si="75"/>
        <v>3.0106322032540274E-3</v>
      </c>
      <c r="Q108">
        <f t="shared" si="75"/>
        <v>2.5974477089819215E-3</v>
      </c>
      <c r="R108">
        <f t="shared" si="75"/>
        <v>2.8056278715713726E-3</v>
      </c>
      <c r="S108">
        <f t="shared" si="75"/>
        <v>1.8189922154658738E-3</v>
      </c>
      <c r="T108">
        <f t="shared" si="75"/>
        <v>2.3348806048019027E-3</v>
      </c>
      <c r="U108">
        <f t="shared" si="75"/>
        <v>2.2260846938691155E-3</v>
      </c>
      <c r="V108" s="1">
        <f t="shared" si="56"/>
        <v>0.1427901235150304</v>
      </c>
      <c r="W108">
        <f t="shared" si="57"/>
        <v>2.3566066189380369E-3</v>
      </c>
      <c r="Z108" s="1">
        <v>8.4668955004656279E-2</v>
      </c>
      <c r="AA108">
        <v>0.1427901235150304</v>
      </c>
      <c r="AD108">
        <f t="shared" si="19"/>
        <v>0.22025845005452171</v>
      </c>
      <c r="AE108">
        <f t="shared" si="58"/>
        <v>0.40059121730765229</v>
      </c>
      <c r="AF108">
        <f t="shared" si="59"/>
        <v>0.2130551939515033</v>
      </c>
      <c r="AG108">
        <f t="shared" si="60"/>
        <v>0.1744529549177091</v>
      </c>
      <c r="AH108">
        <f t="shared" si="61"/>
        <v>4.3442782628537568E-2</v>
      </c>
    </row>
    <row r="109" spans="1:34" x14ac:dyDescent="0.25">
      <c r="A109" t="s">
        <v>43</v>
      </c>
      <c r="B109">
        <f t="shared" ref="B109:U109" si="76">B49/B$59</f>
        <v>0</v>
      </c>
      <c r="C109">
        <f t="shared" si="76"/>
        <v>0</v>
      </c>
      <c r="D109">
        <f t="shared" si="76"/>
        <v>0</v>
      </c>
      <c r="E109">
        <f t="shared" si="76"/>
        <v>0</v>
      </c>
      <c r="F109">
        <f t="shared" si="76"/>
        <v>2.1113451644258995E-4</v>
      </c>
      <c r="G109">
        <f t="shared" si="76"/>
        <v>4.4480632240179315E-4</v>
      </c>
      <c r="H109">
        <f t="shared" si="76"/>
        <v>1.3613306696742557E-3</v>
      </c>
      <c r="I109">
        <f t="shared" si="76"/>
        <v>6.9666984262951154E-4</v>
      </c>
      <c r="J109">
        <f t="shared" si="76"/>
        <v>1.2986330393387716E-3</v>
      </c>
      <c r="K109">
        <f t="shared" si="76"/>
        <v>1.2530390125456649E-3</v>
      </c>
      <c r="L109">
        <f t="shared" si="76"/>
        <v>2.6473229372161447E-3</v>
      </c>
      <c r="M109">
        <f t="shared" si="76"/>
        <v>1.0821561106643817E-3</v>
      </c>
      <c r="N109">
        <f t="shared" si="76"/>
        <v>2.1225948633278105E-3</v>
      </c>
      <c r="O109">
        <f t="shared" si="76"/>
        <v>3.420471512341529E-3</v>
      </c>
      <c r="P109">
        <f t="shared" si="76"/>
        <v>1.6488277684367674E-3</v>
      </c>
      <c r="Q109">
        <f t="shared" si="76"/>
        <v>2.5003996525625764E-3</v>
      </c>
      <c r="R109">
        <f t="shared" si="76"/>
        <v>2.3510821233087512E-3</v>
      </c>
      <c r="S109">
        <f t="shared" si="76"/>
        <v>2.0135525998308101E-3</v>
      </c>
      <c r="T109">
        <f t="shared" si="76"/>
        <v>2.2617875958659672E-3</v>
      </c>
      <c r="U109">
        <f t="shared" si="76"/>
        <v>2.0244100880949978E-3</v>
      </c>
      <c r="V109" s="1">
        <f t="shared" si="56"/>
        <v>8.4577457512206605E-2</v>
      </c>
      <c r="W109">
        <f t="shared" si="57"/>
        <v>2.2302464119326204E-3</v>
      </c>
      <c r="Z109" s="1">
        <v>4.7237197361665685E-2</v>
      </c>
      <c r="AA109">
        <v>8.4577457512206605E-2</v>
      </c>
      <c r="AD109">
        <v>1</v>
      </c>
      <c r="AE109">
        <f t="shared" si="58"/>
        <v>0.8308787495708968</v>
      </c>
      <c r="AF109">
        <f t="shared" si="59"/>
        <v>0.26780528033137418</v>
      </c>
      <c r="AG109">
        <f t="shared" si="60"/>
        <v>0.42209324423263422</v>
      </c>
      <c r="AH109">
        <f t="shared" si="61"/>
        <v>0.31239335465994972</v>
      </c>
    </row>
    <row r="110" spans="1:34" x14ac:dyDescent="0.25">
      <c r="A110" t="s">
        <v>39</v>
      </c>
      <c r="B110">
        <f t="shared" ref="B110:U110" si="77">B50/B$59</f>
        <v>3.6526083774409391E-3</v>
      </c>
      <c r="C110">
        <f t="shared" si="77"/>
        <v>3.916979859134786E-3</v>
      </c>
      <c r="D110">
        <f t="shared" si="77"/>
        <v>4.4025668211415789E-4</v>
      </c>
      <c r="E110">
        <f t="shared" si="77"/>
        <v>4.1218819377108256E-3</v>
      </c>
      <c r="F110">
        <f t="shared" si="77"/>
        <v>6.4876730428428198E-4</v>
      </c>
      <c r="G110">
        <f t="shared" si="77"/>
        <v>4.7634556607170723E-4</v>
      </c>
      <c r="H110">
        <f t="shared" si="77"/>
        <v>1.674250048321516E-3</v>
      </c>
      <c r="I110">
        <f t="shared" si="77"/>
        <v>3.2991792127971895E-4</v>
      </c>
      <c r="J110">
        <f t="shared" si="77"/>
        <v>1.4790214151033398E-3</v>
      </c>
      <c r="K110">
        <f t="shared" si="77"/>
        <v>8.3773617712394545E-4</v>
      </c>
      <c r="L110">
        <f t="shared" si="77"/>
        <v>2.1857480573287775E-3</v>
      </c>
      <c r="M110">
        <f t="shared" si="77"/>
        <v>5.1634443355121778E-4</v>
      </c>
      <c r="N110">
        <f t="shared" si="77"/>
        <v>1.6830554013661108E-3</v>
      </c>
      <c r="O110">
        <f t="shared" si="77"/>
        <v>2.309071657966363E-3</v>
      </c>
      <c r="P110">
        <f t="shared" si="77"/>
        <v>1.7854489650321172E-3</v>
      </c>
      <c r="Q110">
        <f t="shared" si="77"/>
        <v>2.0282872577972958E-3</v>
      </c>
      <c r="R110">
        <f t="shared" si="77"/>
        <v>2.0394290067299692E-3</v>
      </c>
      <c r="S110">
        <f t="shared" si="77"/>
        <v>1.9285359515330426E-3</v>
      </c>
      <c r="T110">
        <f t="shared" si="77"/>
        <v>2.5264665956256844E-3</v>
      </c>
      <c r="U110">
        <f t="shared" si="77"/>
        <v>1.8094466004229914E-3</v>
      </c>
      <c r="V110" s="1">
        <f t="shared" si="56"/>
        <v>0.11831419911074359</v>
      </c>
      <c r="W110">
        <f t="shared" si="57"/>
        <v>2.0664330824217972E-3</v>
      </c>
      <c r="Z110" s="1">
        <v>0.14694428666299708</v>
      </c>
      <c r="AA110">
        <v>0.11831419911074359</v>
      </c>
      <c r="AD110">
        <f t="shared" ref="AD110:AD118" si="78">_xlfn.STDEV.P(B110:D110)/AVERAGE(B110:D110)</f>
        <v>0.59189158337111547</v>
      </c>
      <c r="AE110">
        <f t="shared" si="58"/>
        <v>0.96018277434392652</v>
      </c>
      <c r="AF110">
        <f t="shared" si="59"/>
        <v>0.51081472685299756</v>
      </c>
      <c r="AG110">
        <f t="shared" si="60"/>
        <v>0.61292228180070152</v>
      </c>
      <c r="AH110">
        <f t="shared" si="61"/>
        <v>0.14236655556019051</v>
      </c>
    </row>
    <row r="111" spans="1:34" x14ac:dyDescent="0.25">
      <c r="A111" t="s">
        <v>26</v>
      </c>
      <c r="B111">
        <f t="shared" ref="B111:U111" si="79">B51/B$59</f>
        <v>6.202477571240504E-4</v>
      </c>
      <c r="C111">
        <f t="shared" si="79"/>
        <v>7.2751637338412266E-4</v>
      </c>
      <c r="D111">
        <f t="shared" si="79"/>
        <v>0</v>
      </c>
      <c r="E111">
        <f t="shared" si="79"/>
        <v>5.3283088586410915E-4</v>
      </c>
      <c r="F111">
        <f t="shared" si="79"/>
        <v>2.6875552038462273E-4</v>
      </c>
      <c r="G111">
        <f t="shared" si="79"/>
        <v>6.558349355771521E-4</v>
      </c>
      <c r="H111">
        <f t="shared" si="79"/>
        <v>1.9993351331179998E-3</v>
      </c>
      <c r="I111">
        <f t="shared" si="79"/>
        <v>1.515630229693357E-4</v>
      </c>
      <c r="J111">
        <f t="shared" si="79"/>
        <v>1.766194995816564E-3</v>
      </c>
      <c r="K111">
        <f t="shared" si="79"/>
        <v>8.2013010013479116E-4</v>
      </c>
      <c r="L111">
        <f t="shared" si="79"/>
        <v>2.1300831589729243E-3</v>
      </c>
      <c r="M111">
        <f t="shared" si="79"/>
        <v>1.4560650393720441E-3</v>
      </c>
      <c r="N111">
        <f t="shared" si="79"/>
        <v>2.247976926560489E-3</v>
      </c>
      <c r="O111">
        <f t="shared" si="79"/>
        <v>2.595499869906519E-3</v>
      </c>
      <c r="P111">
        <f t="shared" si="79"/>
        <v>1.6928293287518878E-3</v>
      </c>
      <c r="Q111">
        <f t="shared" si="79"/>
        <v>1.5828425913609564E-3</v>
      </c>
      <c r="R111">
        <f t="shared" si="79"/>
        <v>2.1555604032174611E-3</v>
      </c>
      <c r="S111">
        <f t="shared" si="79"/>
        <v>1.9989229196275327E-3</v>
      </c>
      <c r="T111">
        <f t="shared" si="79"/>
        <v>1.8267433591240487E-3</v>
      </c>
      <c r="U111">
        <f t="shared" si="79"/>
        <v>1.6653083333758394E-3</v>
      </c>
      <c r="V111" s="1">
        <f t="shared" si="56"/>
        <v>0.11402100069954983</v>
      </c>
      <c r="W111">
        <f t="shared" si="57"/>
        <v>1.8458755213411678E-3</v>
      </c>
      <c r="Z111" s="1">
        <v>0.12795616974527577</v>
      </c>
      <c r="AA111">
        <v>0.11402100069954983</v>
      </c>
      <c r="AD111">
        <f t="shared" si="78"/>
        <v>0.71379399296579649</v>
      </c>
      <c r="AE111">
        <f t="shared" si="58"/>
        <v>0.33240532129764838</v>
      </c>
      <c r="AF111">
        <f t="shared" si="59"/>
        <v>0.62926353201317897</v>
      </c>
      <c r="AG111">
        <f t="shared" si="60"/>
        <v>0.36415863098299578</v>
      </c>
      <c r="AH111">
        <f t="shared" si="61"/>
        <v>0.1706233855467276</v>
      </c>
    </row>
    <row r="112" spans="1:34" x14ac:dyDescent="0.25">
      <c r="A112" t="s">
        <v>21</v>
      </c>
      <c r="B112">
        <f t="shared" ref="B112:U112" si="80">B52/B$59</f>
        <v>4.3444121942461079E-4</v>
      </c>
      <c r="C112">
        <f t="shared" si="80"/>
        <v>9.1533378789112382E-4</v>
      </c>
      <c r="D112">
        <f t="shared" si="80"/>
        <v>0</v>
      </c>
      <c r="E112">
        <f t="shared" si="80"/>
        <v>7.7041405007450929E-4</v>
      </c>
      <c r="F112">
        <f t="shared" si="80"/>
        <v>0</v>
      </c>
      <c r="G112">
        <f t="shared" si="80"/>
        <v>0</v>
      </c>
      <c r="H112">
        <f t="shared" si="80"/>
        <v>9.5958184874264142E-4</v>
      </c>
      <c r="I112">
        <f t="shared" si="80"/>
        <v>9.4072909653338443E-4</v>
      </c>
      <c r="J112">
        <f t="shared" si="80"/>
        <v>1.2493063435227698E-3</v>
      </c>
      <c r="K112">
        <f t="shared" si="80"/>
        <v>1.4184941092131719E-3</v>
      </c>
      <c r="L112">
        <f t="shared" si="80"/>
        <v>1.0588220124268866E-3</v>
      </c>
      <c r="M112">
        <f t="shared" si="80"/>
        <v>1.5617636227642964E-3</v>
      </c>
      <c r="N112">
        <f t="shared" si="80"/>
        <v>2.1947321920185048E-3</v>
      </c>
      <c r="O112">
        <f t="shared" si="80"/>
        <v>1.3264714353038555E-3</v>
      </c>
      <c r="P112">
        <f t="shared" si="80"/>
        <v>2.4498810773794818E-3</v>
      </c>
      <c r="Q112">
        <f t="shared" si="80"/>
        <v>1.3637536554610761E-3</v>
      </c>
      <c r="R112">
        <f t="shared" si="80"/>
        <v>1.6242034879537545E-3</v>
      </c>
      <c r="S112">
        <f t="shared" si="80"/>
        <v>1.6162374807976486E-3</v>
      </c>
      <c r="T112">
        <f t="shared" si="80"/>
        <v>1.6008989785852132E-3</v>
      </c>
      <c r="U112">
        <f t="shared" si="80"/>
        <v>1.4414081254770085E-3</v>
      </c>
      <c r="V112" s="1">
        <f t="shared" si="56"/>
        <v>6.9707522546499381E-2</v>
      </c>
      <c r="W112">
        <f t="shared" si="57"/>
        <v>1.5293003456549401E-3</v>
      </c>
      <c r="Z112" s="1">
        <v>0.11234325252509206</v>
      </c>
      <c r="AA112">
        <v>6.9707522546499381E-2</v>
      </c>
      <c r="AD112">
        <f t="shared" si="78"/>
        <v>0.83090251148376837</v>
      </c>
      <c r="AE112">
        <f t="shared" si="58"/>
        <v>1.4142135623730951</v>
      </c>
      <c r="AF112">
        <f t="shared" si="59"/>
        <v>0.1345220087631008</v>
      </c>
      <c r="AG112">
        <f t="shared" si="60"/>
        <v>0.15713904160303774</v>
      </c>
      <c r="AH112">
        <f t="shared" si="61"/>
        <v>0.24159370663669452</v>
      </c>
    </row>
    <row r="113" spans="1:34" x14ac:dyDescent="0.25">
      <c r="A113" t="s">
        <v>7</v>
      </c>
      <c r="B113">
        <f t="shared" ref="B113:U113" si="81">B53/B$59</f>
        <v>2.8019030098735791E-3</v>
      </c>
      <c r="C113">
        <f t="shared" si="81"/>
        <v>1.9657868701121431E-3</v>
      </c>
      <c r="D113">
        <f t="shared" si="81"/>
        <v>1.3731026086178694E-3</v>
      </c>
      <c r="E113">
        <f t="shared" si="81"/>
        <v>1.9030090327986004E-3</v>
      </c>
      <c r="F113">
        <f t="shared" si="81"/>
        <v>1.101190456195782E-3</v>
      </c>
      <c r="G113">
        <f t="shared" si="81"/>
        <v>1.5328869464053387E-3</v>
      </c>
      <c r="H113">
        <f t="shared" si="81"/>
        <v>1.2619593693592621E-3</v>
      </c>
      <c r="I113">
        <f t="shared" si="81"/>
        <v>1.0529469090085014E-3</v>
      </c>
      <c r="J113">
        <f t="shared" si="81"/>
        <v>7.7515456088488369E-4</v>
      </c>
      <c r="K113">
        <f t="shared" si="81"/>
        <v>1.5776263049994115E-3</v>
      </c>
      <c r="L113">
        <f t="shared" si="81"/>
        <v>1.5538267913366263E-3</v>
      </c>
      <c r="M113">
        <f t="shared" si="81"/>
        <v>1.308007228490761E-3</v>
      </c>
      <c r="N113">
        <f t="shared" si="81"/>
        <v>1.9302574100534845E-3</v>
      </c>
      <c r="O113">
        <f t="shared" si="81"/>
        <v>1.4396139517637071E-3</v>
      </c>
      <c r="P113">
        <f t="shared" si="81"/>
        <v>1.5620254738123976E-3</v>
      </c>
      <c r="Q113">
        <f t="shared" si="81"/>
        <v>1.2979059811207509E-3</v>
      </c>
      <c r="R113">
        <f t="shared" si="81"/>
        <v>1.3221321750216623E-3</v>
      </c>
      <c r="S113">
        <f t="shared" si="81"/>
        <v>1.2669734071022226E-3</v>
      </c>
      <c r="T113">
        <f t="shared" si="81"/>
        <v>1.4848631749566936E-3</v>
      </c>
      <c r="U113">
        <f t="shared" si="81"/>
        <v>1.2678286179191405E-3</v>
      </c>
      <c r="V113" s="1">
        <f t="shared" si="56"/>
        <v>6.107656416392835E-2</v>
      </c>
      <c r="W113">
        <f t="shared" si="57"/>
        <v>1.327940671224094E-3</v>
      </c>
      <c r="Z113" s="1">
        <v>0.10000812146012773</v>
      </c>
      <c r="AA113">
        <v>6.107656416392835E-2</v>
      </c>
      <c r="AD113">
        <f t="shared" si="78"/>
        <v>0.2863411482730519</v>
      </c>
      <c r="AE113">
        <f t="shared" si="58"/>
        <v>0.21665620275943118</v>
      </c>
      <c r="AF113">
        <f t="shared" si="59"/>
        <v>0.19358584599698431</v>
      </c>
      <c r="AG113">
        <f t="shared" si="60"/>
        <v>8.2359979556837451E-2</v>
      </c>
      <c r="AH113">
        <f t="shared" si="61"/>
        <v>0.12683720985735919</v>
      </c>
    </row>
    <row r="114" spans="1:34" x14ac:dyDescent="0.25">
      <c r="A114" t="s">
        <v>19</v>
      </c>
      <c r="B114">
        <f t="shared" ref="B114:U114" si="82">B54/B$59</f>
        <v>4.5554738963053763E-4</v>
      </c>
      <c r="C114">
        <f t="shared" si="82"/>
        <v>1.0503994540119839E-3</v>
      </c>
      <c r="D114">
        <f t="shared" si="82"/>
        <v>2.9080343188188822E-3</v>
      </c>
      <c r="E114">
        <f t="shared" si="82"/>
        <v>1.6632481595542256E-4</v>
      </c>
      <c r="F114">
        <f t="shared" si="82"/>
        <v>7.8756011422073332E-4</v>
      </c>
      <c r="G114">
        <f t="shared" si="82"/>
        <v>5.3185478603315719E-4</v>
      </c>
      <c r="H114">
        <f t="shared" si="82"/>
        <v>1.3555798080179687E-3</v>
      </c>
      <c r="I114">
        <f t="shared" si="82"/>
        <v>1.684473756980846E-4</v>
      </c>
      <c r="J114">
        <f t="shared" si="82"/>
        <v>5.6113804949307802E-4</v>
      </c>
      <c r="K114">
        <f t="shared" si="82"/>
        <v>6.6610571730099698E-4</v>
      </c>
      <c r="L114">
        <f t="shared" si="82"/>
        <v>1.4613849131547049E-3</v>
      </c>
      <c r="M114">
        <f t="shared" si="82"/>
        <v>4.5857469600461311E-4</v>
      </c>
      <c r="N114">
        <f t="shared" si="82"/>
        <v>1.3243536563421153E-3</v>
      </c>
      <c r="O114">
        <f t="shared" si="82"/>
        <v>1.757690595896155E-3</v>
      </c>
      <c r="P114">
        <f t="shared" si="82"/>
        <v>1.3063328278751936E-3</v>
      </c>
      <c r="Q114">
        <f t="shared" si="82"/>
        <v>1.2336009626875079E-3</v>
      </c>
      <c r="R114">
        <f t="shared" si="82"/>
        <v>1.0866051297965071E-3</v>
      </c>
      <c r="S114">
        <f t="shared" si="82"/>
        <v>1.4639120012644587E-3</v>
      </c>
      <c r="T114">
        <f t="shared" si="82"/>
        <v>1.2096801345002415E-3</v>
      </c>
      <c r="U114">
        <f t="shared" si="82"/>
        <v>1.4976118379603847E-3</v>
      </c>
      <c r="V114" s="1">
        <f t="shared" si="56"/>
        <v>0.12130216257366944</v>
      </c>
      <c r="W114">
        <f t="shared" si="57"/>
        <v>1.29828201324182E-3</v>
      </c>
      <c r="Z114" s="1">
        <v>0.17835787251562463</v>
      </c>
      <c r="AA114">
        <v>0.12130216257366944</v>
      </c>
      <c r="AD114">
        <f t="shared" si="78"/>
        <v>0.70992236721076774</v>
      </c>
      <c r="AE114">
        <f t="shared" si="58"/>
        <v>0.5147655371372436</v>
      </c>
      <c r="AF114">
        <f t="shared" si="59"/>
        <v>0.71046042648920482</v>
      </c>
      <c r="AG114">
        <f t="shared" si="60"/>
        <v>0.50137868460704549</v>
      </c>
      <c r="AH114">
        <f t="shared" si="61"/>
        <v>0.14264108062388101</v>
      </c>
    </row>
    <row r="115" spans="1:34" x14ac:dyDescent="0.25">
      <c r="A115" t="s">
        <v>22</v>
      </c>
      <c r="B115">
        <f t="shared" ref="B115:U115" si="83">B55/B$59</f>
        <v>4.3344073452410468E-4</v>
      </c>
      <c r="C115">
        <f t="shared" si="83"/>
        <v>1.157949278311692E-3</v>
      </c>
      <c r="D115">
        <f t="shared" si="83"/>
        <v>1.0762662603665003E-3</v>
      </c>
      <c r="E115">
        <f t="shared" si="83"/>
        <v>7.5211155476580715E-5</v>
      </c>
      <c r="F115">
        <f t="shared" si="83"/>
        <v>6.9613500756530338E-4</v>
      </c>
      <c r="G115">
        <f t="shared" si="83"/>
        <v>3.5432264938335277E-4</v>
      </c>
      <c r="H115">
        <f t="shared" si="83"/>
        <v>1.2028055776169063E-3</v>
      </c>
      <c r="I115">
        <f t="shared" si="83"/>
        <v>7.2572476294047823E-4</v>
      </c>
      <c r="J115">
        <f t="shared" si="83"/>
        <v>8.3695182586103348E-4</v>
      </c>
      <c r="K115">
        <f t="shared" si="83"/>
        <v>7.5110235363561528E-4</v>
      </c>
      <c r="L115">
        <f t="shared" si="83"/>
        <v>1.2724381025549496E-3</v>
      </c>
      <c r="M115">
        <f t="shared" si="83"/>
        <v>9.6868969050465639E-4</v>
      </c>
      <c r="N115">
        <f t="shared" si="83"/>
        <v>9.8045458224677571E-4</v>
      </c>
      <c r="O115">
        <f t="shared" si="83"/>
        <v>1.6431855072427263E-3</v>
      </c>
      <c r="P115">
        <f t="shared" si="83"/>
        <v>1.6294293375542076E-3</v>
      </c>
      <c r="Q115">
        <f t="shared" si="83"/>
        <v>1.4658251605516733E-3</v>
      </c>
      <c r="R115">
        <f t="shared" si="83"/>
        <v>1.2889735679719732E-3</v>
      </c>
      <c r="S115">
        <f t="shared" si="83"/>
        <v>1.1821921457785976E-3</v>
      </c>
      <c r="T115">
        <f t="shared" si="83"/>
        <v>1.3302062645936523E-3</v>
      </c>
      <c r="U115">
        <f t="shared" si="83"/>
        <v>1.0259709942217702E-3</v>
      </c>
      <c r="V115" s="1">
        <f t="shared" si="56"/>
        <v>0.11727965533455732</v>
      </c>
      <c r="W115">
        <f t="shared" si="57"/>
        <v>1.2586336266235333E-3</v>
      </c>
      <c r="Z115" s="1">
        <v>9.6915290188440889E-2</v>
      </c>
      <c r="AA115">
        <v>0.11727965533455732</v>
      </c>
      <c r="AD115">
        <f t="shared" si="78"/>
        <v>0.36436968158482153</v>
      </c>
      <c r="AE115">
        <f t="shared" si="58"/>
        <v>0.67672180029556905</v>
      </c>
      <c r="AF115">
        <f t="shared" si="59"/>
        <v>0.22108750470475649</v>
      </c>
      <c r="AG115">
        <f t="shared" si="60"/>
        <v>0.2143563027026289</v>
      </c>
      <c r="AH115">
        <f t="shared" si="61"/>
        <v>0.21811752666524911</v>
      </c>
    </row>
    <row r="116" spans="1:34" x14ac:dyDescent="0.25">
      <c r="A116" t="s">
        <v>40</v>
      </c>
      <c r="B116">
        <f t="shared" ref="B116:U116" si="84">B56/B$59</f>
        <v>4.5751248386501271E-4</v>
      </c>
      <c r="C116">
        <f t="shared" si="84"/>
        <v>5.0694192452424005E-4</v>
      </c>
      <c r="D116">
        <f t="shared" si="84"/>
        <v>0</v>
      </c>
      <c r="E116">
        <f t="shared" si="84"/>
        <v>0</v>
      </c>
      <c r="F116">
        <f t="shared" si="84"/>
        <v>0</v>
      </c>
      <c r="G116">
        <f t="shared" si="84"/>
        <v>2.1353633281707908E-4</v>
      </c>
      <c r="H116">
        <f t="shared" si="84"/>
        <v>7.7908825419404693E-4</v>
      </c>
      <c r="I116">
        <f t="shared" si="84"/>
        <v>0</v>
      </c>
      <c r="J116">
        <f t="shared" si="84"/>
        <v>6.2384889957316279E-4</v>
      </c>
      <c r="K116">
        <f t="shared" si="84"/>
        <v>2.5909325298248404E-4</v>
      </c>
      <c r="L116">
        <f t="shared" si="84"/>
        <v>1.3291857874617686E-3</v>
      </c>
      <c r="M116">
        <f t="shared" si="84"/>
        <v>3.3433273732065414E-4</v>
      </c>
      <c r="N116">
        <f t="shared" si="84"/>
        <v>6.3713155933194587E-4</v>
      </c>
      <c r="O116">
        <f t="shared" si="84"/>
        <v>1.703976307352026E-3</v>
      </c>
      <c r="P116">
        <f t="shared" si="84"/>
        <v>1.0996294698276657E-3</v>
      </c>
      <c r="Q116">
        <f t="shared" si="84"/>
        <v>1.2971186999375381E-3</v>
      </c>
      <c r="R116">
        <f t="shared" si="84"/>
        <v>1.106014221739494E-3</v>
      </c>
      <c r="S116">
        <f t="shared" si="84"/>
        <v>1.3831530234793784E-3</v>
      </c>
      <c r="T116">
        <f t="shared" si="84"/>
        <v>1.1274261366781872E-3</v>
      </c>
      <c r="U116">
        <f t="shared" si="84"/>
        <v>1.184963213272431E-3</v>
      </c>
      <c r="V116" s="1">
        <f t="shared" si="56"/>
        <v>8.6264529481023269E-2</v>
      </c>
      <c r="W116">
        <f t="shared" si="57"/>
        <v>1.2197350590214058E-3</v>
      </c>
      <c r="Z116" s="1">
        <v>0.12987380673162632</v>
      </c>
      <c r="AA116">
        <v>8.6264529481023269E-2</v>
      </c>
      <c r="AD116">
        <f t="shared" si="78"/>
        <v>0.70988733432606332</v>
      </c>
      <c r="AE116">
        <f t="shared" si="58"/>
        <v>1.4142135623730949</v>
      </c>
      <c r="AF116">
        <f t="shared" si="59"/>
        <v>0.71997650312060357</v>
      </c>
      <c r="AG116">
        <f t="shared" si="60"/>
        <v>0.76096584749915597</v>
      </c>
      <c r="AH116">
        <f t="shared" si="61"/>
        <v>0.38086512087499774</v>
      </c>
    </row>
    <row r="117" spans="1:34" x14ac:dyDescent="0.25">
      <c r="A117" t="s">
        <v>51</v>
      </c>
      <c r="B117">
        <f t="shared" ref="B117:U117" si="85">B57/B$59</f>
        <v>4.9345446050981544E-4</v>
      </c>
      <c r="C117">
        <f t="shared" si="85"/>
        <v>0</v>
      </c>
      <c r="D117">
        <f t="shared" si="85"/>
        <v>0</v>
      </c>
      <c r="E117">
        <f t="shared" si="85"/>
        <v>0</v>
      </c>
      <c r="F117">
        <f t="shared" si="85"/>
        <v>2.6022589136346708E-4</v>
      </c>
      <c r="G117">
        <f t="shared" si="85"/>
        <v>9.4609836403094653E-5</v>
      </c>
      <c r="H117">
        <f t="shared" si="85"/>
        <v>7.216727603706135E-4</v>
      </c>
      <c r="I117">
        <f t="shared" si="85"/>
        <v>0</v>
      </c>
      <c r="J117">
        <f t="shared" si="85"/>
        <v>3.3149056775499659E-4</v>
      </c>
      <c r="K117">
        <f t="shared" si="85"/>
        <v>2.1467455285611095E-4</v>
      </c>
      <c r="L117">
        <f t="shared" si="85"/>
        <v>8.5185915887276992E-4</v>
      </c>
      <c r="M117">
        <f t="shared" si="85"/>
        <v>1.5164796854434117E-4</v>
      </c>
      <c r="N117">
        <f t="shared" si="85"/>
        <v>1.8400302354980484E-4</v>
      </c>
      <c r="O117">
        <f t="shared" si="85"/>
        <v>1.6311433394749083E-3</v>
      </c>
      <c r="P117">
        <f t="shared" si="85"/>
        <v>5.39175363278508E-4</v>
      </c>
      <c r="Q117">
        <f t="shared" si="85"/>
        <v>5.6498019589634567E-4</v>
      </c>
      <c r="R117">
        <f t="shared" si="85"/>
        <v>6.7337226738734609E-4</v>
      </c>
      <c r="S117">
        <f t="shared" si="85"/>
        <v>6.9963288276229387E-4</v>
      </c>
      <c r="T117">
        <f t="shared" si="85"/>
        <v>7.0597410050138591E-4</v>
      </c>
      <c r="U117">
        <f t="shared" si="85"/>
        <v>1.0285837562462033E-3</v>
      </c>
      <c r="V117" s="1">
        <f t="shared" si="56"/>
        <v>0.21178232288498614</v>
      </c>
      <c r="W117">
        <f t="shared" si="57"/>
        <v>7.3450864055871494E-4</v>
      </c>
      <c r="Z117" s="1">
        <v>0.25085765751705558</v>
      </c>
      <c r="AA117">
        <v>0.21178232288498614</v>
      </c>
      <c r="AD117">
        <f t="shared" si="78"/>
        <v>1.4142135623730951</v>
      </c>
      <c r="AE117">
        <f t="shared" si="58"/>
        <v>0.90926863437310268</v>
      </c>
      <c r="AF117">
        <f t="shared" si="59"/>
        <v>0.84017244296014171</v>
      </c>
      <c r="AG117">
        <f t="shared" si="60"/>
        <v>0.77888775425443801</v>
      </c>
      <c r="AH117">
        <f t="shared" si="61"/>
        <v>0.78466962968594323</v>
      </c>
    </row>
    <row r="118" spans="1:34" x14ac:dyDescent="0.25">
      <c r="A118" t="s">
        <v>55</v>
      </c>
      <c r="B118">
        <f t="shared" ref="B118:U118" si="86">B58/B$59</f>
        <v>6.5661260693200183E-4</v>
      </c>
      <c r="C118">
        <f t="shared" si="86"/>
        <v>3.6125073782177842E-4</v>
      </c>
      <c r="D118">
        <f t="shared" si="86"/>
        <v>0</v>
      </c>
      <c r="E118">
        <f t="shared" si="86"/>
        <v>3.0142508410178247E-4</v>
      </c>
      <c r="F118">
        <f t="shared" si="86"/>
        <v>0</v>
      </c>
      <c r="G118">
        <f t="shared" si="86"/>
        <v>4.7473853525112667E-4</v>
      </c>
      <c r="H118">
        <f t="shared" si="86"/>
        <v>6.4061687747875155E-4</v>
      </c>
      <c r="I118">
        <f t="shared" si="86"/>
        <v>0</v>
      </c>
      <c r="J118">
        <f t="shared" si="86"/>
        <v>4.7737483670642189E-4</v>
      </c>
      <c r="K118">
        <f t="shared" si="86"/>
        <v>1.2415833645650415E-4</v>
      </c>
      <c r="L118">
        <f t="shared" si="86"/>
        <v>5.130921251006933E-4</v>
      </c>
      <c r="M118">
        <f t="shared" si="86"/>
        <v>2.0570854310647687E-4</v>
      </c>
      <c r="N118">
        <f t="shared" si="86"/>
        <v>2.3840218593887036E-4</v>
      </c>
      <c r="O118">
        <f t="shared" si="86"/>
        <v>7.4493349594800167E-4</v>
      </c>
      <c r="P118">
        <f t="shared" si="86"/>
        <v>5.8296301977507788E-4</v>
      </c>
      <c r="Q118">
        <f t="shared" si="86"/>
        <v>1.3816028068789328E-4</v>
      </c>
      <c r="R118">
        <f t="shared" si="86"/>
        <v>5.3029841473519195E-4</v>
      </c>
      <c r="S118">
        <f t="shared" si="86"/>
        <v>4.0018243747373791E-4</v>
      </c>
      <c r="T118">
        <f t="shared" si="86"/>
        <v>2.3978945361017746E-4</v>
      </c>
      <c r="U118">
        <f t="shared" si="86"/>
        <v>3.9504246243996535E-4</v>
      </c>
      <c r="V118" s="1">
        <f t="shared" si="56"/>
        <v>0.40168900280396691</v>
      </c>
      <c r="W118">
        <f t="shared" si="57"/>
        <v>3.4069460978939324E-4</v>
      </c>
      <c r="Z118" s="1">
        <v>0.38573127485953157</v>
      </c>
      <c r="AA118">
        <v>0.40168900280396691</v>
      </c>
      <c r="AD118">
        <f t="shared" si="78"/>
        <v>0.79139445331839142</v>
      </c>
      <c r="AE118">
        <f t="shared" si="58"/>
        <v>0.75814970941312032</v>
      </c>
      <c r="AF118">
        <f t="shared" si="59"/>
        <v>0.72936957369212885</v>
      </c>
      <c r="AG118">
        <f t="shared" si="60"/>
        <v>0.59599439287028999</v>
      </c>
      <c r="AH118">
        <f t="shared" si="61"/>
        <v>0.40456165798944377</v>
      </c>
    </row>
    <row r="119" spans="1:34" x14ac:dyDescent="0.25">
      <c r="AD119">
        <v>10</v>
      </c>
      <c r="AE119">
        <v>25</v>
      </c>
      <c r="AF119">
        <v>50</v>
      </c>
      <c r="AG119">
        <v>100</v>
      </c>
      <c r="AH119">
        <v>200</v>
      </c>
    </row>
    <row r="120" spans="1:34" x14ac:dyDescent="0.25">
      <c r="AC120" t="s">
        <v>94</v>
      </c>
      <c r="AD120">
        <f>COUNTIF(AD62:AD118,"&lt;0.2")</f>
        <v>20</v>
      </c>
      <c r="AE120">
        <f>COUNTIF(AE62:AE118,"&lt;0.2")</f>
        <v>19</v>
      </c>
      <c r="AF120">
        <f>COUNTIF(AF62:AF118,"&lt;0.2")</f>
        <v>29</v>
      </c>
      <c r="AG120">
        <f>COUNTIF(AG62:AG118,"&lt;0.2")</f>
        <v>34</v>
      </c>
      <c r="AH120">
        <f>COUNTIF(AH62:AH118,"&lt;0.2")</f>
        <v>47</v>
      </c>
    </row>
    <row r="121" spans="1:34" x14ac:dyDescent="0.25">
      <c r="AC121" t="s">
        <v>95</v>
      </c>
      <c r="AD121">
        <f>COUNTIF(AD62:AD118,"&gt;=0.2")</f>
        <v>37</v>
      </c>
      <c r="AE121">
        <f t="shared" ref="AE121:AH121" si="87">COUNTIF(AE62:AE118,"&gt;=0.2")</f>
        <v>38</v>
      </c>
      <c r="AF121">
        <f t="shared" si="87"/>
        <v>28</v>
      </c>
      <c r="AG121">
        <f t="shared" si="87"/>
        <v>23</v>
      </c>
      <c r="AH121">
        <f t="shared" si="87"/>
        <v>10</v>
      </c>
    </row>
    <row r="122" spans="1:34" x14ac:dyDescent="0.25">
      <c r="AC122" t="s">
        <v>88</v>
      </c>
      <c r="AD122">
        <f>AD120/AD121</f>
        <v>0.54054054054054057</v>
      </c>
      <c r="AE122">
        <f t="shared" ref="AE122:AH122" si="88">AE120/AE121</f>
        <v>0.5</v>
      </c>
      <c r="AF122">
        <f t="shared" si="88"/>
        <v>1.0357142857142858</v>
      </c>
      <c r="AG122">
        <f t="shared" si="88"/>
        <v>1.4782608695652173</v>
      </c>
      <c r="AH122">
        <f t="shared" si="88"/>
        <v>4.7</v>
      </c>
    </row>
  </sheetData>
  <autoFilter ref="A1:DJ58" xr:uid="{00000000-0009-0000-0000-000001000000}"/>
  <sortState xmlns:xlrd2="http://schemas.microsoft.com/office/spreadsheetml/2017/richdata2" ref="A2:W58">
    <sortCondition descending="1" ref="W1:W58"/>
  </sortState>
  <conditionalFormatting sqref="V2:V58">
    <cfRule type="cellIs" dxfId="5" priority="13" operator="greaterThan">
      <formula>0.2</formula>
    </cfRule>
  </conditionalFormatting>
  <conditionalFormatting sqref="V62:V118">
    <cfRule type="cellIs" dxfId="4" priority="12" operator="greaterThan">
      <formula>0.2</formula>
    </cfRule>
  </conditionalFormatting>
  <conditionalFormatting sqref="Z62:Z118">
    <cfRule type="cellIs" dxfId="3" priority="11" operator="greaterThan">
      <formula>0.2</formula>
    </cfRule>
  </conditionalFormatting>
  <conditionalFormatting sqref="AD2:AH58">
    <cfRule type="cellIs" dxfId="2" priority="1" operator="greaterThan">
      <formula>0.2</formula>
    </cfRule>
  </conditionalFormatting>
  <conditionalFormatting sqref="AD62:AH118">
    <cfRule type="cellIs" dxfId="1" priority="6" operator="greaterThan">
      <formula>0.2</formula>
    </cfRule>
  </conditionalFormatting>
  <conditionalFormatting sqref="AD120:AH121">
    <cfRule type="cellIs" dxfId="0" priority="10" operator="greaterThan">
      <formula>0.2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Ashwood</dc:creator>
  <cp:lastModifiedBy>Chris Ashwood</cp:lastModifiedBy>
  <dcterms:created xsi:type="dcterms:W3CDTF">2022-03-03T02:57:58Z</dcterms:created>
  <dcterms:modified xsi:type="dcterms:W3CDTF">2024-05-14T12:02:13Z</dcterms:modified>
</cp:coreProperties>
</file>