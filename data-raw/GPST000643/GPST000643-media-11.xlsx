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unet-my.sharepoint.com/personal/ana_luis_medkem_gu_se/Documents/Dokument/MyPapers/Enzyme paper/X_First submission_Cell/"/>
    </mc:Choice>
  </mc:AlternateContent>
  <xr:revisionPtr revIDLastSave="81" documentId="8_{4F8C6E2A-3716-441E-9993-33EC35BDBA0E}" xr6:coauthVersionLast="47" xr6:coauthVersionMax="47" xr10:uidLastSave="{74690E5E-4D0F-422F-931C-AE227F02ED31}"/>
  <bookViews>
    <workbookView xWindow="-93" yWindow="-93" windowWidth="25786" windowHeight="15466" xr2:uid="{18D76B2A-C623-4FEF-B64B-5B4C474D94C2}"/>
  </bookViews>
  <sheets>
    <sheet name="Table S10A" sheetId="1" r:id="rId1"/>
    <sheet name="Table S10B" sheetId="2" r:id="rId2"/>
    <sheet name="Table S10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3" i="3" l="1"/>
  <c r="AF10" i="3" s="1"/>
  <c r="AW13" i="3"/>
  <c r="AX12" i="3" s="1"/>
  <c r="AT13" i="3"/>
  <c r="AU8" i="3" s="1"/>
  <c r="AQ13" i="3"/>
  <c r="AR11" i="3" s="1"/>
  <c r="AN13" i="3"/>
  <c r="AO8" i="3" s="1"/>
  <c r="AK13" i="3"/>
  <c r="AL9" i="3" s="1"/>
  <c r="AH13" i="3"/>
  <c r="AI9" i="3" s="1"/>
  <c r="AB13" i="3"/>
  <c r="AC12" i="3" s="1"/>
  <c r="Y13" i="3"/>
  <c r="Z8" i="3" s="1"/>
  <c r="V13" i="3"/>
  <c r="W11" i="3" s="1"/>
  <c r="S13" i="3"/>
  <c r="T11" i="3" s="1"/>
  <c r="P13" i="3"/>
  <c r="Q12" i="3" s="1"/>
  <c r="M13" i="3"/>
  <c r="N10" i="3" s="1"/>
  <c r="J13" i="3"/>
  <c r="K8" i="3" s="1"/>
  <c r="G13" i="3"/>
  <c r="H11" i="3" s="1"/>
  <c r="L14" i="2"/>
  <c r="AC28" i="2"/>
  <c r="AD25" i="2" s="1"/>
  <c r="Z28" i="2"/>
  <c r="AA25" i="2" s="1"/>
  <c r="W28" i="2"/>
  <c r="X25" i="2" s="1"/>
  <c r="T28" i="2"/>
  <c r="U25" i="2" s="1"/>
  <c r="Q28" i="2"/>
  <c r="R26" i="2" s="1"/>
  <c r="N28" i="2"/>
  <c r="O25" i="2" s="1"/>
  <c r="K28" i="2"/>
  <c r="L26" i="2" s="1"/>
  <c r="H28" i="2"/>
  <c r="I25" i="2" s="1"/>
  <c r="AC18" i="2"/>
  <c r="AD14" i="2" s="1"/>
  <c r="Z18" i="2"/>
  <c r="AA14" i="2" s="1"/>
  <c r="W18" i="2"/>
  <c r="X15" i="2" s="1"/>
  <c r="T18" i="2"/>
  <c r="Q18" i="2"/>
  <c r="R15" i="2" s="1"/>
  <c r="N18" i="2"/>
  <c r="O15" i="2" s="1"/>
  <c r="K18" i="2"/>
  <c r="H18" i="2"/>
  <c r="I13" i="2" s="1"/>
  <c r="T8" i="3" l="1"/>
  <c r="H10" i="3"/>
  <c r="AC8" i="3"/>
  <c r="AR8" i="3"/>
  <c r="K11" i="3"/>
  <c r="AU11" i="3"/>
  <c r="AO12" i="3"/>
  <c r="W12" i="3"/>
  <c r="AX8" i="3"/>
  <c r="AC10" i="3"/>
  <c r="AI11" i="3"/>
  <c r="Z11" i="3"/>
  <c r="AL11" i="3"/>
  <c r="AF11" i="3"/>
  <c r="AC11" i="3"/>
  <c r="AF8" i="3"/>
  <c r="AF9" i="3"/>
  <c r="Z10" i="3"/>
  <c r="H12" i="3"/>
  <c r="K9" i="3"/>
  <c r="H8" i="3"/>
  <c r="H9" i="3"/>
  <c r="K12" i="3"/>
  <c r="AD27" i="2"/>
  <c r="I26" i="2"/>
  <c r="AD26" i="2"/>
  <c r="R25" i="2"/>
  <c r="U26" i="2"/>
  <c r="O26" i="2"/>
  <c r="X26" i="2"/>
  <c r="AA26" i="2"/>
  <c r="X27" i="2"/>
  <c r="AA27" i="2"/>
  <c r="U27" i="2"/>
  <c r="R27" i="2"/>
  <c r="O27" i="2"/>
  <c r="L27" i="2"/>
  <c r="L25" i="2"/>
  <c r="I27" i="2"/>
  <c r="AO10" i="3"/>
  <c r="AO11" i="3"/>
  <c r="K10" i="3"/>
  <c r="AR12" i="3"/>
  <c r="Z9" i="3"/>
  <c r="AU12" i="3"/>
  <c r="AC9" i="3"/>
  <c r="Z12" i="3"/>
  <c r="N12" i="3"/>
  <c r="N9" i="3"/>
  <c r="AI12" i="3"/>
  <c r="Q9" i="3"/>
  <c r="T9" i="3"/>
  <c r="W10" i="3"/>
  <c r="AL12" i="3"/>
  <c r="Q11" i="3"/>
  <c r="AI10" i="3"/>
  <c r="T12" i="3"/>
  <c r="Q10" i="3"/>
  <c r="Q8" i="3"/>
  <c r="N11" i="3"/>
  <c r="AL8" i="3"/>
  <c r="AO9" i="3"/>
  <c r="AR10" i="3"/>
  <c r="T10" i="3"/>
  <c r="W9" i="3"/>
  <c r="AR9" i="3"/>
  <c r="AU10" i="3"/>
  <c r="AX11" i="3"/>
  <c r="N8" i="3"/>
  <c r="W8" i="3"/>
  <c r="AL10" i="3"/>
  <c r="AI8" i="3"/>
  <c r="AU9" i="3"/>
  <c r="AX9" i="3"/>
  <c r="AF12" i="3"/>
  <c r="AX10" i="3"/>
  <c r="I16" i="2" l="1"/>
  <c r="AD12" i="2"/>
  <c r="AA16" i="2"/>
  <c r="X16" i="2"/>
  <c r="U17" i="2"/>
  <c r="R10" i="2"/>
  <c r="O16" i="2"/>
  <c r="L17" i="2"/>
  <c r="I12" i="2"/>
  <c r="U10" i="2"/>
  <c r="U9" i="2"/>
  <c r="R9" i="2"/>
  <c r="L9" i="2" l="1"/>
  <c r="L15" i="2"/>
  <c r="L10" i="2"/>
  <c r="I14" i="2"/>
  <c r="AD9" i="2"/>
  <c r="AD15" i="2"/>
  <c r="I9" i="2"/>
  <c r="AD16" i="2"/>
  <c r="AD13" i="2"/>
  <c r="AA9" i="2"/>
  <c r="AA17" i="2"/>
  <c r="AD10" i="2"/>
  <c r="I17" i="2"/>
  <c r="L12" i="2"/>
  <c r="AA15" i="2"/>
  <c r="I15" i="2"/>
  <c r="AD17" i="2"/>
  <c r="I10" i="2"/>
  <c r="AD11" i="2"/>
  <c r="I11" i="2"/>
  <c r="R12" i="2"/>
  <c r="U12" i="2"/>
  <c r="U15" i="2"/>
  <c r="L16" i="2"/>
  <c r="X10" i="2"/>
  <c r="U13" i="2"/>
  <c r="R16" i="2"/>
  <c r="L13" i="2"/>
  <c r="R13" i="2"/>
  <c r="AA13" i="2"/>
  <c r="U16" i="2"/>
  <c r="L11" i="2"/>
  <c r="R11" i="2"/>
  <c r="U11" i="2"/>
  <c r="R14" i="2"/>
  <c r="R17" i="2"/>
  <c r="AA11" i="2"/>
  <c r="U14" i="2"/>
  <c r="O9" i="2"/>
  <c r="O11" i="2"/>
  <c r="O13" i="2"/>
  <c r="O17" i="2"/>
  <c r="X9" i="2"/>
  <c r="X11" i="2"/>
  <c r="X13" i="2"/>
  <c r="X17" i="2"/>
  <c r="O10" i="2"/>
  <c r="O12" i="2"/>
  <c r="O14" i="2"/>
  <c r="X12" i="2"/>
  <c r="X14" i="2"/>
  <c r="AA10" i="2"/>
  <c r="AA12" i="2"/>
  <c r="E6" i="1" l="1"/>
  <c r="G6" i="1" s="1"/>
  <c r="E10" i="1"/>
  <c r="G10" i="1" s="1"/>
  <c r="E9" i="1"/>
  <c r="G9" i="1" s="1"/>
  <c r="E8" i="1"/>
  <c r="G8" i="1" s="1"/>
</calcChain>
</file>

<file path=xl/sharedStrings.xml><?xml version="1.0" encoding="utf-8"?>
<sst xmlns="http://schemas.openxmlformats.org/spreadsheetml/2006/main" count="338" uniqueCount="175">
  <si>
    <t>Time (min)</t>
  </si>
  <si>
    <t>m/z 640</t>
  </si>
  <si>
    <t>Percentage</t>
  </si>
  <si>
    <t>m/z 437</t>
  </si>
  <si>
    <t>Percentage2</t>
  </si>
  <si>
    <t>0 min</t>
  </si>
  <si>
    <t>5 min</t>
  </si>
  <si>
    <t>BT1621</t>
  </si>
  <si>
    <t>BT1627</t>
  </si>
  <si>
    <t>BT3178</t>
  </si>
  <si>
    <t>BT3598</t>
  </si>
  <si>
    <t>BT3868</t>
  </si>
  <si>
    <t>BT4394</t>
  </si>
  <si>
    <t>BT4681</t>
  </si>
  <si>
    <r>
      <t>Mass</t>
    </r>
    <r>
      <rPr>
        <vertAlign val="superscript"/>
        <sz val="11"/>
        <color theme="1"/>
        <rFont val="Calibri"/>
        <family val="2"/>
      </rPr>
      <t>[1]</t>
    </r>
  </si>
  <si>
    <r>
      <t>Composition</t>
    </r>
    <r>
      <rPr>
        <vertAlign val="superscript"/>
        <sz val="11"/>
        <color theme="1"/>
        <rFont val="Calibri"/>
        <family val="2"/>
      </rPr>
      <t>[2]</t>
    </r>
  </si>
  <si>
    <r>
      <t xml:space="preserve">Putative structures </t>
    </r>
    <r>
      <rPr>
        <vertAlign val="superscript"/>
        <sz val="11"/>
        <color theme="1"/>
        <rFont val="Calibri"/>
        <family val="2"/>
      </rPr>
      <t>[3]</t>
    </r>
  </si>
  <si>
    <r>
      <t>Type</t>
    </r>
    <r>
      <rPr>
        <vertAlign val="superscript"/>
        <sz val="11"/>
        <color theme="1"/>
        <rFont val="Calibri"/>
        <family val="2"/>
      </rPr>
      <t xml:space="preserve"> [4]</t>
    </r>
  </si>
  <si>
    <t>Percentage11</t>
  </si>
  <si>
    <t>Percentage14</t>
  </si>
  <si>
    <t>Percentage17</t>
  </si>
  <si>
    <t>Percentage20</t>
  </si>
  <si>
    <t>Percentage23</t>
  </si>
  <si>
    <t>Percentage26</t>
  </si>
  <si>
    <t>Percentage29</t>
  </si>
  <si>
    <t>Percentage32</t>
  </si>
  <si>
    <t>425-1</t>
  </si>
  <si>
    <t>HexNAc2</t>
  </si>
  <si>
    <t>C3GlcNAc</t>
  </si>
  <si>
    <t>6.00*</t>
  </si>
  <si>
    <t>5.94*</t>
  </si>
  <si>
    <t>5.83*</t>
  </si>
  <si>
    <t>425-2</t>
  </si>
  <si>
    <r>
      <t>GlcNAc</t>
    </r>
    <r>
      <rPr>
        <sz val="11"/>
        <color theme="1"/>
        <rFont val="Calibri"/>
        <family val="2"/>
      </rPr>
      <t>β1-6GalNAcol</t>
    </r>
  </si>
  <si>
    <t>C6GlcNAc</t>
  </si>
  <si>
    <t>9.72*</t>
  </si>
  <si>
    <t>9.04*</t>
  </si>
  <si>
    <t>nd</t>
  </si>
  <si>
    <t>9.66*</t>
  </si>
  <si>
    <t>NeuAc1HexNAc1</t>
  </si>
  <si>
    <t>NeuGc1HexNAc1</t>
  </si>
  <si>
    <t>8.55*</t>
  </si>
  <si>
    <t>587-1</t>
  </si>
  <si>
    <t>Hex1HexNAc2</t>
  </si>
  <si>
    <t>Galβ1-3(GlcNAcβ1-6)GalNAcol</t>
  </si>
  <si>
    <t>HexNAc3</t>
  </si>
  <si>
    <r>
      <t>GlcNAc</t>
    </r>
    <r>
      <rPr>
        <sz val="11"/>
        <rFont val="Calibri"/>
        <family val="2"/>
      </rPr>
      <t>β1-3(GlcNAcβ1-6)GalNAcol</t>
    </r>
  </si>
  <si>
    <t>C3/C6GlcNAc</t>
  </si>
  <si>
    <t>11.69*</t>
  </si>
  <si>
    <t>11.63*</t>
  </si>
  <si>
    <t>11.66*</t>
  </si>
  <si>
    <t>11.54*</t>
  </si>
  <si>
    <t>11.53*</t>
  </si>
  <si>
    <t>11.46*</t>
  </si>
  <si>
    <t>NeuAc1HexNAc2</t>
  </si>
  <si>
    <r>
      <t>GlcNAcβ1-3</t>
    </r>
    <r>
      <rPr>
        <sz val="11"/>
        <color theme="1"/>
        <rFont val="Calibri"/>
        <family val="2"/>
      </rPr>
      <t>(NeuAcα2-6)</t>
    </r>
    <r>
      <rPr>
        <sz val="11"/>
        <color theme="1"/>
        <rFont val="Calibri"/>
        <family val="2"/>
        <scheme val="minor"/>
      </rPr>
      <t>GalNAcol</t>
    </r>
  </si>
  <si>
    <t>732</t>
  </si>
  <si>
    <t>NeuGc1HexNAc2</t>
  </si>
  <si>
    <t>10.58*</t>
  </si>
  <si>
    <t>10.55*</t>
  </si>
  <si>
    <t>10.73*</t>
  </si>
  <si>
    <t>10.72*</t>
  </si>
  <si>
    <t>10.70*</t>
  </si>
  <si>
    <t>Hex2HexNAc2</t>
  </si>
  <si>
    <t>Galβ1-3(Galβ1-4GlcNAcβ1-6)GalNAcol</t>
  </si>
  <si>
    <t>Sum</t>
  </si>
  <si>
    <t>1317-1</t>
  </si>
  <si>
    <t>Hex3HexNAc4</t>
  </si>
  <si>
    <t>GlcNAcβ1-2Manα1-3(GlcNAcβ1-2Manα1-6)Manβ1-4GlcNAcβ1-4GlcNAcol</t>
  </si>
  <si>
    <t>Hex3HexNAc5</t>
  </si>
  <si>
    <t>GlcNAcβ1-2(GlcNAcβ1-4)Manα1-3(GlcNAcβ1-2Manα1-6)Manβ1-4GlcNAcβ1-4GlcNAcol</t>
  </si>
  <si>
    <t>Hex3HexNAc6</t>
  </si>
  <si>
    <t>GlcNAcβ1-2(GlcNAcβ1-4)Manα1-3[GlcNAcβ1-2(GlcNAcβ1-6)Manα1-6]Manβ1-4GlcNAcβ1-4GlcNAcol</t>
  </si>
  <si>
    <t>Footnote:</t>
  </si>
  <si>
    <t>[1]</t>
  </si>
  <si>
    <t>mass of strucutre in negative ion mode; mass with hyphens indicates the isomeric structures;</t>
  </si>
  <si>
    <t>[2]</t>
  </si>
  <si>
    <t>Hex, hexose; HexNAc, N-acetylhexosamine; deHex, fucose; NeuAc, N-acetylneuraminic acid; NeuGc, N-acetyl glycolylneuraminic acid; S, sulphate</t>
  </si>
  <si>
    <t>[3]</t>
  </si>
  <si>
    <t>structures are given in the text according following rules: the structure is described clockwise and left-to-right where reducing end locates righmost side (as shown in cartoon figure); "+" is used for uncertain location</t>
  </si>
  <si>
    <t>The cartoon figure is described as "NeuAcα2-6Galβ1-4GlcNAcβ1-2(Galβ1-4GlcNAcβ1-4)Manα1-3(GlcNAcβ1-4)(Galβ1-4GlcNAcβ1-2Manα1-6)Manβ1-4GlcNAcβ1-4(Fucα1-6)GlcNAcol"</t>
  </si>
  <si>
    <t>[4]</t>
  </si>
  <si>
    <t>Retention time (RT) of selected structure on LC;</t>
  </si>
  <si>
    <t>The intensity is area-under-the-curves (AUCs) of each glycan. For comparsion of glycan abundances between samples, the intensity is normalised to total AUC (summed AUCs of all glycans in a sample) and expressed as a percentage.</t>
  </si>
  <si>
    <t>RT2</t>
  </si>
  <si>
    <r>
      <t>Intensity</t>
    </r>
    <r>
      <rPr>
        <vertAlign val="superscript"/>
        <sz val="11"/>
        <color theme="1"/>
        <rFont val="Calibri"/>
        <family val="2"/>
      </rPr>
      <t xml:space="preserve"> [11]</t>
    </r>
  </si>
  <si>
    <t>RT3</t>
  </si>
  <si>
    <t>Intensity4</t>
  </si>
  <si>
    <t>RT5</t>
  </si>
  <si>
    <t>Intensity5</t>
  </si>
  <si>
    <t>Percentages</t>
  </si>
  <si>
    <t>RT</t>
  </si>
  <si>
    <t>Intensity</t>
  </si>
  <si>
    <t>Percentage3</t>
  </si>
  <si>
    <t>RT4</t>
  </si>
  <si>
    <t>Intensity6</t>
  </si>
  <si>
    <t>Percentage37</t>
  </si>
  <si>
    <t>RT42</t>
  </si>
  <si>
    <t>Intensity63</t>
  </si>
  <si>
    <t>Percentage374</t>
  </si>
  <si>
    <t>Percentage8</t>
  </si>
  <si>
    <t>10.34</t>
  </si>
  <si>
    <t>10.04</t>
  </si>
  <si>
    <t>9.74</t>
  </si>
  <si>
    <t>9.68</t>
  </si>
  <si>
    <t>9.73</t>
  </si>
  <si>
    <t>9.53</t>
  </si>
  <si>
    <t>9.59</t>
  </si>
  <si>
    <t>9.58</t>
  </si>
  <si>
    <t>9.61</t>
  </si>
  <si>
    <t>9.52</t>
  </si>
  <si>
    <r>
      <t>GlcNAc</t>
    </r>
    <r>
      <rPr>
        <sz val="11"/>
        <color theme="1"/>
        <rFont val="Calibri"/>
        <family val="2"/>
      </rPr>
      <t>β1-3(GlcNAcβ1-6)GalNAcol</t>
    </r>
  </si>
  <si>
    <t>12.76</t>
  </si>
  <si>
    <t>12.53</t>
  </si>
  <si>
    <t>12.38</t>
  </si>
  <si>
    <t>11.91</t>
  </si>
  <si>
    <t>11.81</t>
  </si>
  <si>
    <t>11.78</t>
  </si>
  <si>
    <t>11.66</t>
  </si>
  <si>
    <t>11.64</t>
  </si>
  <si>
    <t>11.62</t>
  </si>
  <si>
    <t>11.63</t>
  </si>
  <si>
    <t>Control</t>
  </si>
  <si>
    <t>10 (min)</t>
  </si>
  <si>
    <t>30 (min)</t>
  </si>
  <si>
    <t>Control represents the substrate incubated with buffer instead of enzyme for 30 min.</t>
  </si>
  <si>
    <t>+ BT3868</t>
  </si>
  <si>
    <r>
      <t>Mass</t>
    </r>
    <r>
      <rPr>
        <vertAlign val="superscript"/>
        <sz val="11"/>
        <rFont val="Calibri"/>
        <family val="2"/>
      </rPr>
      <t>[1]</t>
    </r>
  </si>
  <si>
    <r>
      <t>Composition</t>
    </r>
    <r>
      <rPr>
        <vertAlign val="superscript"/>
        <sz val="11"/>
        <rFont val="Calibri"/>
        <family val="2"/>
      </rPr>
      <t>[2]</t>
    </r>
  </si>
  <si>
    <r>
      <t xml:space="preserve">Putative structures </t>
    </r>
    <r>
      <rPr>
        <vertAlign val="superscript"/>
        <sz val="11"/>
        <rFont val="Calibri"/>
        <family val="2"/>
      </rPr>
      <t>[3]</t>
    </r>
  </si>
  <si>
    <r>
      <t>Type</t>
    </r>
    <r>
      <rPr>
        <vertAlign val="superscript"/>
        <sz val="11"/>
        <rFont val="Calibri"/>
        <family val="2"/>
      </rPr>
      <t xml:space="preserve"> [4]</t>
    </r>
  </si>
  <si>
    <r>
      <t>GlcNAc</t>
    </r>
    <r>
      <rPr>
        <sz val="11"/>
        <rFont val="Calibri"/>
        <family val="2"/>
      </rPr>
      <t>β</t>
    </r>
    <r>
      <rPr>
        <sz val="11"/>
        <rFont val="Calibri"/>
        <family val="2"/>
        <scheme val="minor"/>
      </rPr>
      <t>1-3GalNAcol</t>
    </r>
  </si>
  <si>
    <r>
      <t>GlcNAc</t>
    </r>
    <r>
      <rPr>
        <sz val="11"/>
        <rFont val="Calibri"/>
        <family val="2"/>
      </rPr>
      <t>β1-6GalNAcol</t>
    </r>
  </si>
  <si>
    <r>
      <rPr>
        <sz val="11"/>
        <rFont val="Calibri"/>
        <family val="2"/>
      </rPr>
      <t>NeuAcα2-6</t>
    </r>
    <r>
      <rPr>
        <sz val="11"/>
        <rFont val="Calibri"/>
        <family val="2"/>
        <scheme val="minor"/>
      </rPr>
      <t>GalNAcol</t>
    </r>
  </si>
  <si>
    <r>
      <rPr>
        <sz val="11"/>
        <rFont val="Calibri"/>
        <family val="2"/>
      </rPr>
      <t>NeuGcα2-6</t>
    </r>
    <r>
      <rPr>
        <sz val="11"/>
        <rFont val="Calibri"/>
        <family val="2"/>
        <scheme val="minor"/>
      </rPr>
      <t>GalNAcol</t>
    </r>
  </si>
  <si>
    <r>
      <t>GlcNAcβ1-3</t>
    </r>
    <r>
      <rPr>
        <sz val="11"/>
        <rFont val="Calibri"/>
        <family val="2"/>
      </rPr>
      <t>(NeuAcα2-6)</t>
    </r>
    <r>
      <rPr>
        <sz val="11"/>
        <rFont val="Calibri"/>
        <family val="2"/>
        <scheme val="minor"/>
      </rPr>
      <t>GalNAcol</t>
    </r>
  </si>
  <si>
    <r>
      <t>GlcNAcβ1-3</t>
    </r>
    <r>
      <rPr>
        <sz val="11"/>
        <rFont val="Calibri"/>
        <family val="2"/>
      </rPr>
      <t>(NeuGcα2-6)</t>
    </r>
    <r>
      <rPr>
        <sz val="11"/>
        <rFont val="Calibri"/>
        <family val="2"/>
        <scheme val="minor"/>
      </rPr>
      <t>GalNAcol</t>
    </r>
  </si>
  <si>
    <r>
      <rPr>
        <b/>
        <i/>
        <sz val="18"/>
        <color theme="1"/>
        <rFont val="Calibri"/>
        <family val="2"/>
        <scheme val="minor"/>
      </rPr>
      <t>O</t>
    </r>
    <r>
      <rPr>
        <b/>
        <sz val="18"/>
        <color theme="1"/>
        <rFont val="Calibri"/>
        <family val="2"/>
        <scheme val="minor"/>
      </rPr>
      <t xml:space="preserve">-glycans </t>
    </r>
  </si>
  <si>
    <r>
      <rPr>
        <b/>
        <i/>
        <sz val="18"/>
        <color theme="1"/>
        <rFont val="Calibri"/>
        <family val="2"/>
        <scheme val="minor"/>
      </rPr>
      <t>N</t>
    </r>
    <r>
      <rPr>
        <b/>
        <sz val="18"/>
        <color theme="1"/>
        <rFont val="Calibri"/>
        <family val="2"/>
        <scheme val="minor"/>
      </rPr>
      <t xml:space="preserve">-glycans </t>
    </r>
  </si>
  <si>
    <t>C2GlcNAc</t>
  </si>
  <si>
    <t>C2/C4GlcNAc</t>
  </si>
  <si>
    <t xml:space="preserve">RT*=manual calculation of intensity for glycan with MS2; </t>
  </si>
  <si>
    <r>
      <t xml:space="preserve">(Gal) 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-Galactose; (Fuc)</t>
    </r>
    <r>
      <rPr>
        <sz val="9"/>
        <color theme="1"/>
        <rFont val="Calibri"/>
        <family val="2"/>
        <scheme val="minor"/>
      </rPr>
      <t xml:space="preserve"> L</t>
    </r>
    <r>
      <rPr>
        <sz val="11"/>
        <color theme="1"/>
        <rFont val="Calibri"/>
        <family val="2"/>
        <scheme val="minor"/>
      </rPr>
      <t xml:space="preserve">-Fucose; (GlcNAc)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-glucosamine; (GalNAc)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-galactosamine; (Man) Mannose; (NA) not assigned; (nd) not detected; </t>
    </r>
  </si>
  <si>
    <t>Types of terminal GlcNAc linkage</t>
  </si>
  <si>
    <t>[RT]</t>
  </si>
  <si>
    <t>[Intensity]</t>
  </si>
  <si>
    <t>Intensity2</t>
  </si>
  <si>
    <t>Intensity3</t>
  </si>
  <si>
    <t>RT6</t>
  </si>
  <si>
    <t>RT7</t>
  </si>
  <si>
    <t>Intensity7</t>
  </si>
  <si>
    <t>RT8</t>
  </si>
  <si>
    <t>Intensity8</t>
  </si>
  <si>
    <t>Not detected after incubation with GH20</t>
  </si>
  <si>
    <t>Only detected after incubation with GH20</t>
  </si>
  <si>
    <t>Sample 1</t>
  </si>
  <si>
    <t>Sample 2</t>
  </si>
  <si>
    <t>Sample 3</t>
  </si>
  <si>
    <t>Substrate was incubated with galactosidases (BT1626 and BT4241) and sialidase (BT0455); Control sample performed in same conditions with enzyme buffer instead of GH20.</t>
  </si>
  <si>
    <t>Sample 1, 2 and 3 are independent replicates of the reactions with different enzymes</t>
  </si>
  <si>
    <t>RT9</t>
  </si>
  <si>
    <t>RT10</t>
  </si>
  <si>
    <t>Intensity9</t>
  </si>
  <si>
    <t>RT11</t>
  </si>
  <si>
    <t>Intensity10</t>
  </si>
  <si>
    <t>RT12</t>
  </si>
  <si>
    <t>Intensity11</t>
  </si>
  <si>
    <t>RT13</t>
  </si>
  <si>
    <t>Intensity12</t>
  </si>
  <si>
    <t>RT14</t>
  </si>
  <si>
    <t>Instensity</t>
  </si>
  <si>
    <t>Supplementary Table 10C. LC-MS analysis of activity of GH20 on P selectin glycoprotein ligand-1 (PSGL-1) expressing core 4 pretreated with enzyme mix</t>
  </si>
  <si>
    <t xml:space="preserve">Supplementary Table 10B. LC-MS analysis of activity of GH20 on P selectin glycoprotein ligand-1 (PSGL-1) expressing core 4 pretreated with enzyme mix </t>
  </si>
  <si>
    <t>Substrate incubated with BT0455 (sialidase) + BT1626 (1,4-galactosidase) + BT4241 (galactosidase)</t>
  </si>
  <si>
    <t>Supplementary Table 10A. LC-MS analysis of BT3868 activity on core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</si>
</sst>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6"/>
      <color theme="1"/>
      <name val="Arial Bold"/>
    </font>
    <font>
      <sz val="16"/>
      <name val="Calibri"/>
      <family val="2"/>
      <scheme val="minor"/>
    </font>
    <font>
      <vertAlign val="superscript"/>
      <sz val="11"/>
      <name val="Calibri"/>
      <family val="2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A800"/>
        <bgColor indexed="64"/>
      </patternFill>
    </fill>
    <fill>
      <patternFill patternType="solid">
        <fgColor rgb="FF42A849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3131C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173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3" fillId="0" borderId="1" xfId="1" applyBorder="1" applyAlignment="1">
      <alignment horizontal="left" vertical="center"/>
    </xf>
    <xf numFmtId="0" fontId="3" fillId="0" borderId="2" xfId="1" applyBorder="1" applyAlignment="1">
      <alignment horizontal="center" vertical="center"/>
    </xf>
    <xf numFmtId="0" fontId="0" fillId="0" borderId="5" xfId="0" applyBorder="1" applyAlignment="1">
      <alignment horizontal="right"/>
    </xf>
    <xf numFmtId="0" fontId="3" fillId="0" borderId="8" xfId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0" fontId="3" fillId="0" borderId="2" xfId="1" applyBorder="1" applyAlignment="1">
      <alignment horizontal="right"/>
    </xf>
    <xf numFmtId="0" fontId="3" fillId="0" borderId="10" xfId="1" applyBorder="1"/>
    <xf numFmtId="0" fontId="7" fillId="0" borderId="0" xfId="0" applyFont="1"/>
    <xf numFmtId="0" fontId="3" fillId="0" borderId="2" xfId="1" applyBorder="1" applyAlignment="1">
      <alignment horizontal="left" vertical="center"/>
    </xf>
    <xf numFmtId="0" fontId="3" fillId="0" borderId="6" xfId="1" applyBorder="1" applyAlignment="1">
      <alignment horizontal="right"/>
    </xf>
    <xf numFmtId="164" fontId="3" fillId="0" borderId="9" xfId="1" applyNumberFormat="1" applyBorder="1" applyAlignment="1">
      <alignment horizontal="right"/>
    </xf>
    <xf numFmtId="0" fontId="0" fillId="0" borderId="1" xfId="0" applyBorder="1" applyAlignment="1">
      <alignment horizontal="right"/>
    </xf>
    <xf numFmtId="164" fontId="3" fillId="0" borderId="6" xfId="1" applyNumberFormat="1" applyBorder="1" applyAlignment="1">
      <alignment horizontal="right"/>
    </xf>
    <xf numFmtId="164" fontId="3" fillId="0" borderId="10" xfId="1" applyNumberFormat="1" applyBorder="1" applyAlignment="1">
      <alignment horizontal="right"/>
    </xf>
    <xf numFmtId="0" fontId="0" fillId="0" borderId="8" xfId="0" applyBorder="1"/>
    <xf numFmtId="0" fontId="0" fillId="0" borderId="16" xfId="0" applyBorder="1"/>
    <xf numFmtId="1" fontId="0" fillId="0" borderId="16" xfId="0" applyNumberFormat="1" applyBorder="1"/>
    <xf numFmtId="0" fontId="0" fillId="0" borderId="17" xfId="0" applyBorder="1"/>
    <xf numFmtId="1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right"/>
    </xf>
    <xf numFmtId="0" fontId="5" fillId="0" borderId="4" xfId="1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5" fillId="0" borderId="4" xfId="1" applyFont="1" applyBorder="1" applyAlignment="1">
      <alignment horizontal="center"/>
    </xf>
    <xf numFmtId="164" fontId="5" fillId="0" borderId="4" xfId="1" applyNumberFormat="1" applyFont="1" applyBorder="1" applyAlignment="1">
      <alignment horizontal="right"/>
    </xf>
    <xf numFmtId="0" fontId="5" fillId="0" borderId="8" xfId="1" applyFont="1" applyBorder="1" applyAlignment="1">
      <alignment horizontal="right"/>
    </xf>
    <xf numFmtId="0" fontId="11" fillId="0" borderId="0" xfId="0" applyFont="1"/>
    <xf numFmtId="0" fontId="5" fillId="0" borderId="1" xfId="1" applyFont="1" applyBorder="1" applyAlignment="1">
      <alignment horizontal="right"/>
    </xf>
    <xf numFmtId="0" fontId="5" fillId="0" borderId="0" xfId="1" applyFont="1" applyAlignment="1">
      <alignment horizontal="center"/>
    </xf>
    <xf numFmtId="0" fontId="5" fillId="0" borderId="23" xfId="1" applyFont="1" applyBorder="1" applyAlignment="1">
      <alignment horizontal="left" vertical="center"/>
    </xf>
    <xf numFmtId="0" fontId="5" fillId="0" borderId="24" xfId="1" applyFont="1" applyBorder="1" applyAlignment="1">
      <alignment horizontal="center" vertical="center"/>
    </xf>
    <xf numFmtId="0" fontId="5" fillId="0" borderId="24" xfId="1" applyFont="1" applyBorder="1" applyAlignment="1">
      <alignment horizontal="right" vertical="center"/>
    </xf>
    <xf numFmtId="0" fontId="5" fillId="0" borderId="3" xfId="1" applyFont="1" applyBorder="1" applyAlignment="1">
      <alignment horizontal="left" vertical="center"/>
    </xf>
    <xf numFmtId="0" fontId="5" fillId="0" borderId="24" xfId="1" applyFont="1" applyBorder="1" applyAlignment="1">
      <alignment horizontal="left" vertical="center"/>
    </xf>
    <xf numFmtId="0" fontId="5" fillId="0" borderId="25" xfId="1" applyFont="1" applyBorder="1" applyAlignment="1">
      <alignment horizontal="left" vertical="center"/>
    </xf>
    <xf numFmtId="164" fontId="5" fillId="0" borderId="0" xfId="1" applyNumberFormat="1" applyFont="1" applyAlignment="1">
      <alignment horizontal="right"/>
    </xf>
    <xf numFmtId="164" fontId="5" fillId="0" borderId="26" xfId="1" applyNumberFormat="1" applyFont="1" applyBorder="1" applyAlignment="1">
      <alignment horizontal="right"/>
    </xf>
    <xf numFmtId="0" fontId="5" fillId="0" borderId="27" xfId="1" applyFont="1" applyBorder="1" applyAlignment="1">
      <alignment horizontal="left"/>
    </xf>
    <xf numFmtId="164" fontId="5" fillId="2" borderId="0" xfId="1" applyNumberFormat="1" applyFont="1" applyFill="1" applyAlignment="1">
      <alignment horizontal="right"/>
    </xf>
    <xf numFmtId="164" fontId="5" fillId="0" borderId="16" xfId="1" applyNumberFormat="1" applyFont="1" applyBorder="1" applyAlignment="1">
      <alignment horizontal="right"/>
    </xf>
    <xf numFmtId="0" fontId="5" fillId="0" borderId="0" xfId="1" applyFont="1" applyAlignment="1">
      <alignment horizontal="right"/>
    </xf>
    <xf numFmtId="0" fontId="6" fillId="0" borderId="0" xfId="2" applyFont="1" applyAlignment="1">
      <alignment horizontal="center"/>
    </xf>
    <xf numFmtId="0" fontId="6" fillId="0" borderId="0" xfId="3" applyFont="1" applyAlignment="1">
      <alignment horizontal="center"/>
    </xf>
    <xf numFmtId="164" fontId="5" fillId="3" borderId="0" xfId="1" applyNumberFormat="1" applyFont="1" applyFill="1" applyAlignment="1">
      <alignment horizontal="right"/>
    </xf>
    <xf numFmtId="0" fontId="6" fillId="0" borderId="0" xfId="4" applyFont="1" applyAlignment="1">
      <alignment horizontal="center"/>
    </xf>
    <xf numFmtId="0" fontId="5" fillId="0" borderId="28" xfId="1" applyFont="1" applyBorder="1"/>
    <xf numFmtId="0" fontId="5" fillId="0" borderId="30" xfId="1" applyFont="1" applyBorder="1" applyAlignment="1">
      <alignment horizontal="right"/>
    </xf>
    <xf numFmtId="0" fontId="5" fillId="0" borderId="29" xfId="1" applyFont="1" applyBorder="1"/>
    <xf numFmtId="0" fontId="6" fillId="0" borderId="29" xfId="0" applyFont="1" applyBorder="1"/>
    <xf numFmtId="164" fontId="5" fillId="0" borderId="29" xfId="1" applyNumberFormat="1" applyFont="1" applyBorder="1" applyAlignment="1">
      <alignment horizontal="right"/>
    </xf>
    <xf numFmtId="0" fontId="6" fillId="0" borderId="18" xfId="0" applyFont="1" applyBorder="1"/>
    <xf numFmtId="0" fontId="5" fillId="0" borderId="32" xfId="1" applyFont="1" applyBorder="1" applyAlignment="1">
      <alignment horizontal="center" vertical="center"/>
    </xf>
    <xf numFmtId="0" fontId="5" fillId="0" borderId="33" xfId="1" applyFont="1" applyBorder="1" applyAlignment="1">
      <alignment horizontal="left" vertical="center"/>
    </xf>
    <xf numFmtId="0" fontId="6" fillId="0" borderId="17" xfId="0" applyFont="1" applyBorder="1"/>
    <xf numFmtId="0" fontId="5" fillId="0" borderId="32" xfId="1" applyFont="1" applyBorder="1" applyAlignment="1">
      <alignment horizontal="left" vertical="center"/>
    </xf>
    <xf numFmtId="0" fontId="5" fillId="3" borderId="0" xfId="1" applyFont="1" applyFill="1" applyAlignment="1">
      <alignment horizontal="right"/>
    </xf>
    <xf numFmtId="0" fontId="5" fillId="0" borderId="34" xfId="1" applyFont="1" applyBorder="1" applyAlignment="1">
      <alignment horizontal="left" vertical="center"/>
    </xf>
    <xf numFmtId="0" fontId="5" fillId="2" borderId="0" xfId="1" applyFont="1" applyFill="1" applyAlignment="1">
      <alignment horizontal="right"/>
    </xf>
    <xf numFmtId="0" fontId="5" fillId="0" borderId="14" xfId="1" applyFont="1" applyBorder="1" applyAlignment="1">
      <alignment horizontal="left"/>
    </xf>
    <xf numFmtId="0" fontId="5" fillId="0" borderId="8" xfId="1" applyFont="1" applyBorder="1" applyAlignment="1">
      <alignment horizontal="left"/>
    </xf>
    <xf numFmtId="17" fontId="5" fillId="0" borderId="8" xfId="1" quotePrefix="1" applyNumberFormat="1" applyFont="1" applyBorder="1" applyAlignment="1">
      <alignment horizontal="left"/>
    </xf>
    <xf numFmtId="0" fontId="5" fillId="0" borderId="17" xfId="1" applyFont="1" applyBorder="1"/>
    <xf numFmtId="0" fontId="6" fillId="0" borderId="7" xfId="0" applyFont="1" applyBorder="1" applyAlignment="1">
      <alignment horizontal="right"/>
    </xf>
    <xf numFmtId="0" fontId="5" fillId="0" borderId="31" xfId="1" applyFont="1" applyBorder="1" applyAlignment="1">
      <alignment horizontal="right"/>
    </xf>
    <xf numFmtId="0" fontId="5" fillId="0" borderId="5" xfId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0" fontId="0" fillId="2" borderId="13" xfId="0" applyFill="1" applyBorder="1"/>
    <xf numFmtId="0" fontId="0" fillId="0" borderId="6" xfId="0" applyBorder="1" applyAlignment="1">
      <alignment horizontal="left"/>
    </xf>
    <xf numFmtId="0" fontId="0" fillId="3" borderId="13" xfId="0" applyFill="1" applyBorder="1"/>
    <xf numFmtId="164" fontId="3" fillId="0" borderId="0" xfId="1" applyNumberFormat="1" applyAlignment="1">
      <alignment horizontal="right"/>
    </xf>
    <xf numFmtId="0" fontId="3" fillId="0" borderId="12" xfId="1" applyBorder="1" applyAlignment="1">
      <alignment horizontal="center" vertical="center"/>
    </xf>
    <xf numFmtId="0" fontId="3" fillId="0" borderId="0" xfId="1" applyAlignment="1">
      <alignment horizontal="right"/>
    </xf>
    <xf numFmtId="0" fontId="3" fillId="0" borderId="36" xfId="1" applyBorder="1" applyAlignment="1">
      <alignment horizontal="left" vertical="center"/>
    </xf>
    <xf numFmtId="0" fontId="3" fillId="0" borderId="37" xfId="1" applyBorder="1" applyAlignment="1">
      <alignment horizontal="left" vertical="center"/>
    </xf>
    <xf numFmtId="164" fontId="3" fillId="0" borderId="16" xfId="1" applyNumberFormat="1" applyBorder="1" applyAlignment="1">
      <alignment horizontal="right"/>
    </xf>
    <xf numFmtId="164" fontId="3" fillId="0" borderId="29" xfId="1" applyNumberFormat="1" applyBorder="1" applyAlignment="1">
      <alignment horizontal="right"/>
    </xf>
    <xf numFmtId="0" fontId="0" fillId="0" borderId="29" xfId="0" applyBorder="1"/>
    <xf numFmtId="0" fontId="0" fillId="0" borderId="18" xfId="0" applyBorder="1"/>
    <xf numFmtId="0" fontId="3" fillId="0" borderId="11" xfId="1" applyBorder="1" applyAlignment="1">
      <alignment horizontal="left" vertical="center"/>
    </xf>
    <xf numFmtId="0" fontId="3" fillId="0" borderId="36" xfId="1" applyBorder="1" applyAlignment="1">
      <alignment horizontal="right" vertical="center"/>
    </xf>
    <xf numFmtId="0" fontId="3" fillId="0" borderId="17" xfId="1" applyBorder="1" applyAlignment="1">
      <alignment horizontal="right"/>
    </xf>
    <xf numFmtId="164" fontId="3" fillId="0" borderId="18" xfId="1" applyNumberFormat="1" applyBorder="1" applyAlignment="1">
      <alignment horizontal="right"/>
    </xf>
    <xf numFmtId="0" fontId="0" fillId="0" borderId="31" xfId="0" applyBorder="1"/>
    <xf numFmtId="164" fontId="3" fillId="0" borderId="31" xfId="1" applyNumberFormat="1" applyBorder="1" applyAlignment="1">
      <alignment horizontal="right"/>
    </xf>
    <xf numFmtId="164" fontId="3" fillId="0" borderId="35" xfId="1" applyNumberFormat="1" applyBorder="1" applyAlignment="1">
      <alignment horizontal="right"/>
    </xf>
    <xf numFmtId="0" fontId="3" fillId="0" borderId="12" xfId="1" applyBorder="1" applyAlignment="1">
      <alignment horizontal="left" vertical="center"/>
    </xf>
    <xf numFmtId="0" fontId="0" fillId="0" borderId="35" xfId="0" applyBorder="1"/>
    <xf numFmtId="164" fontId="3" fillId="0" borderId="11" xfId="1" applyNumberFormat="1" applyBorder="1" applyAlignment="1">
      <alignment horizontal="right"/>
    </xf>
    <xf numFmtId="164" fontId="3" fillId="0" borderId="12" xfId="1" applyNumberFormat="1" applyBorder="1" applyAlignment="1">
      <alignment horizontal="right"/>
    </xf>
    <xf numFmtId="0" fontId="3" fillId="0" borderId="29" xfId="1" applyBorder="1" applyAlignment="1">
      <alignment horizontal="right"/>
    </xf>
    <xf numFmtId="0" fontId="3" fillId="0" borderId="6" xfId="1" applyBorder="1" applyAlignment="1">
      <alignment horizontal="left" vertical="center"/>
    </xf>
    <xf numFmtId="0" fontId="3" fillId="0" borderId="9" xfId="1" applyBorder="1" applyAlignment="1">
      <alignment horizontal="left" vertical="center"/>
    </xf>
    <xf numFmtId="164" fontId="3" fillId="3" borderId="0" xfId="1" applyNumberFormat="1" applyFill="1" applyAlignment="1">
      <alignment horizontal="right"/>
    </xf>
    <xf numFmtId="164" fontId="3" fillId="3" borderId="9" xfId="1" applyNumberFormat="1" applyFill="1" applyBorder="1" applyAlignment="1">
      <alignment horizontal="right"/>
    </xf>
    <xf numFmtId="0" fontId="3" fillId="2" borderId="8" xfId="1" applyFill="1" applyBorder="1" applyAlignment="1">
      <alignment horizontal="right"/>
    </xf>
    <xf numFmtId="164" fontId="3" fillId="2" borderId="0" xfId="1" applyNumberFormat="1" applyFill="1" applyAlignment="1">
      <alignment horizontal="right"/>
    </xf>
    <xf numFmtId="0" fontId="3" fillId="2" borderId="6" xfId="1" applyFill="1" applyBorder="1" applyAlignment="1">
      <alignment horizontal="right"/>
    </xf>
    <xf numFmtId="164" fontId="3" fillId="2" borderId="9" xfId="1" applyNumberFormat="1" applyFill="1" applyBorder="1" applyAlignment="1">
      <alignment horizontal="right"/>
    </xf>
    <xf numFmtId="0" fontId="3" fillId="2" borderId="0" xfId="1" applyFill="1" applyAlignment="1">
      <alignment horizontal="right"/>
    </xf>
    <xf numFmtId="164" fontId="3" fillId="3" borderId="6" xfId="1" applyNumberFormat="1" applyFill="1" applyBorder="1" applyAlignment="1">
      <alignment horizontal="right"/>
    </xf>
    <xf numFmtId="0" fontId="3" fillId="0" borderId="0" xfId="1" applyAlignment="1">
      <alignment horizontal="center"/>
    </xf>
    <xf numFmtId="0" fontId="0" fillId="0" borderId="0" xfId="4" applyFont="1" applyAlignment="1">
      <alignment horizontal="center"/>
    </xf>
    <xf numFmtId="164" fontId="3" fillId="0" borderId="8" xfId="1" applyNumberFormat="1" applyBorder="1" applyAlignment="1">
      <alignment horizontal="right"/>
    </xf>
    <xf numFmtId="0" fontId="3" fillId="0" borderId="0" xfId="1" applyAlignment="1">
      <alignment horizontal="left"/>
    </xf>
    <xf numFmtId="0" fontId="3" fillId="0" borderId="0" xfId="1" quotePrefix="1" applyAlignment="1">
      <alignment horizontal="left"/>
    </xf>
    <xf numFmtId="0" fontId="3" fillId="0" borderId="12" xfId="1" applyBorder="1"/>
    <xf numFmtId="0" fontId="3" fillId="0" borderId="5" xfId="1" applyBorder="1" applyAlignment="1">
      <alignment horizontal="right"/>
    </xf>
    <xf numFmtId="0" fontId="3" fillId="0" borderId="1" xfId="1" applyBorder="1" applyAlignment="1">
      <alignment horizontal="right"/>
    </xf>
    <xf numFmtId="0" fontId="0" fillId="0" borderId="0" xfId="0" applyAlignment="1">
      <alignment horizontal="left"/>
    </xf>
    <xf numFmtId="0" fontId="20" fillId="0" borderId="0" xfId="0" applyFont="1"/>
    <xf numFmtId="0" fontId="0" fillId="14" borderId="14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0" fillId="13" borderId="15" xfId="0" applyFill="1" applyBorder="1" applyAlignment="1">
      <alignment horizontal="center"/>
    </xf>
    <xf numFmtId="49" fontId="0" fillId="10" borderId="19" xfId="0" applyNumberFormat="1" applyFill="1" applyBorder="1" applyAlignment="1">
      <alignment horizontal="center" vertical="center"/>
    </xf>
    <xf numFmtId="49" fontId="0" fillId="10" borderId="20" xfId="0" applyNumberFormat="1" applyFill="1" applyBorder="1" applyAlignment="1">
      <alignment horizontal="center" vertical="center"/>
    </xf>
    <xf numFmtId="49" fontId="0" fillId="10" borderId="21" xfId="0" applyNumberFormat="1" applyFill="1" applyBorder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9" fillId="5" borderId="14" xfId="5" applyFont="1" applyFill="1" applyBorder="1" applyAlignment="1">
      <alignment horizontal="center"/>
    </xf>
    <xf numFmtId="0" fontId="9" fillId="5" borderId="22" xfId="5" applyFont="1" applyFill="1" applyBorder="1" applyAlignment="1">
      <alignment horizontal="center"/>
    </xf>
    <xf numFmtId="0" fontId="9" fillId="5" borderId="15" xfId="5" applyFont="1" applyFill="1" applyBorder="1" applyAlignment="1">
      <alignment horizontal="center"/>
    </xf>
    <xf numFmtId="0" fontId="9" fillId="7" borderId="22" xfId="5" applyFont="1" applyFill="1" applyBorder="1" applyAlignment="1">
      <alignment horizontal="center"/>
    </xf>
    <xf numFmtId="0" fontId="9" fillId="6" borderId="14" xfId="5" applyFont="1" applyFill="1" applyBorder="1" applyAlignment="1">
      <alignment horizontal="center"/>
    </xf>
    <xf numFmtId="0" fontId="9" fillId="6" borderId="22" xfId="5" applyFont="1" applyFill="1" applyBorder="1" applyAlignment="1">
      <alignment horizontal="center"/>
    </xf>
    <xf numFmtId="0" fontId="9" fillId="6" borderId="15" xfId="5" applyFont="1" applyFill="1" applyBorder="1" applyAlignment="1">
      <alignment horizontal="center"/>
    </xf>
    <xf numFmtId="0" fontId="9" fillId="8" borderId="22" xfId="5" applyFont="1" applyFill="1" applyBorder="1" applyAlignment="1">
      <alignment horizontal="center"/>
    </xf>
    <xf numFmtId="0" fontId="9" fillId="9" borderId="14" xfId="5" applyFont="1" applyFill="1" applyBorder="1" applyAlignment="1">
      <alignment horizontal="center"/>
    </xf>
    <xf numFmtId="0" fontId="9" fillId="9" borderId="22" xfId="5" applyFont="1" applyFill="1" applyBorder="1" applyAlignment="1">
      <alignment horizontal="center"/>
    </xf>
    <xf numFmtId="0" fontId="9" fillId="9" borderId="15" xfId="5" applyFont="1" applyFill="1" applyBorder="1" applyAlignment="1">
      <alignment horizontal="center"/>
    </xf>
    <xf numFmtId="0" fontId="9" fillId="10" borderId="22" xfId="5" applyFont="1" applyFill="1" applyBorder="1" applyAlignment="1">
      <alignment horizontal="center"/>
    </xf>
    <xf numFmtId="0" fontId="14" fillId="11" borderId="14" xfId="5" applyFont="1" applyFill="1" applyBorder="1" applyAlignment="1">
      <alignment horizontal="center"/>
    </xf>
    <xf numFmtId="0" fontId="14" fillId="11" borderId="22" xfId="5" applyFont="1" applyFill="1" applyBorder="1" applyAlignment="1">
      <alignment horizontal="center"/>
    </xf>
    <xf numFmtId="0" fontId="14" fillId="11" borderId="15" xfId="5" applyFont="1" applyFill="1" applyBorder="1" applyAlignment="1">
      <alignment horizontal="center"/>
    </xf>
    <xf numFmtId="0" fontId="14" fillId="12" borderId="22" xfId="5" applyFont="1" applyFill="1" applyBorder="1" applyAlignment="1">
      <alignment horizontal="center"/>
    </xf>
    <xf numFmtId="0" fontId="14" fillId="12" borderId="15" xfId="5" applyFont="1" applyFill="1" applyBorder="1" applyAlignment="1">
      <alignment horizontal="center"/>
    </xf>
    <xf numFmtId="0" fontId="14" fillId="12" borderId="14" xfId="5" applyFont="1" applyFill="1" applyBorder="1" applyAlignment="1">
      <alignment horizontal="center"/>
    </xf>
    <xf numFmtId="0" fontId="9" fillId="8" borderId="14" xfId="5" applyFont="1" applyFill="1" applyBorder="1" applyAlignment="1">
      <alignment horizontal="center"/>
    </xf>
    <xf numFmtId="0" fontId="9" fillId="8" borderId="15" xfId="5" applyFont="1" applyFill="1" applyBorder="1" applyAlignment="1">
      <alignment horizontal="center"/>
    </xf>
    <xf numFmtId="0" fontId="18" fillId="5" borderId="8" xfId="0" applyFont="1" applyFill="1" applyBorder="1" applyAlignment="1">
      <alignment horizontal="center"/>
    </xf>
    <xf numFmtId="0" fontId="18" fillId="5" borderId="0" xfId="0" applyFont="1" applyFill="1" applyAlignment="1">
      <alignment horizontal="center"/>
    </xf>
    <xf numFmtId="0" fontId="18" fillId="5" borderId="6" xfId="0" applyFont="1" applyFill="1" applyBorder="1" applyAlignment="1">
      <alignment horizontal="center"/>
    </xf>
    <xf numFmtId="0" fontId="18" fillId="5" borderId="9" xfId="0" applyFont="1" applyFill="1" applyBorder="1" applyAlignment="1">
      <alignment horizontal="center"/>
    </xf>
    <xf numFmtId="0" fontId="18" fillId="5" borderId="16" xfId="0" applyFont="1" applyFill="1" applyBorder="1" applyAlignment="1">
      <alignment horizontal="center"/>
    </xf>
    <xf numFmtId="0" fontId="18" fillId="8" borderId="8" xfId="0" applyFont="1" applyFill="1" applyBorder="1" applyAlignment="1">
      <alignment horizontal="center"/>
    </xf>
    <xf numFmtId="0" fontId="18" fillId="8" borderId="0" xfId="0" applyFont="1" applyFill="1" applyAlignment="1">
      <alignment horizontal="center"/>
    </xf>
    <xf numFmtId="0" fontId="18" fillId="8" borderId="6" xfId="0" applyFont="1" applyFill="1" applyBorder="1" applyAlignment="1">
      <alignment horizontal="center"/>
    </xf>
    <xf numFmtId="0" fontId="18" fillId="8" borderId="9" xfId="0" applyFont="1" applyFill="1" applyBorder="1" applyAlignment="1">
      <alignment horizontal="center"/>
    </xf>
    <xf numFmtId="0" fontId="9" fillId="10" borderId="14" xfId="5" applyFont="1" applyFill="1" applyBorder="1" applyAlignment="1">
      <alignment horizontal="center"/>
    </xf>
    <xf numFmtId="0" fontId="18" fillId="8" borderId="16" xfId="0" applyFont="1" applyFill="1" applyBorder="1" applyAlignment="1">
      <alignment horizontal="center"/>
    </xf>
    <xf numFmtId="0" fontId="18" fillId="10" borderId="8" xfId="0" applyFont="1" applyFill="1" applyBorder="1" applyAlignment="1">
      <alignment horizontal="center"/>
    </xf>
    <xf numFmtId="0" fontId="18" fillId="10" borderId="0" xfId="0" applyFont="1" applyFill="1" applyAlignment="1">
      <alignment horizontal="center"/>
    </xf>
    <xf numFmtId="0" fontId="18" fillId="10" borderId="6" xfId="0" applyFont="1" applyFill="1" applyBorder="1" applyAlignment="1">
      <alignment horizontal="center"/>
    </xf>
    <xf numFmtId="0" fontId="18" fillId="10" borderId="9" xfId="0" applyFont="1" applyFill="1" applyBorder="1" applyAlignment="1">
      <alignment horizontal="center"/>
    </xf>
    <xf numFmtId="0" fontId="19" fillId="12" borderId="8" xfId="0" applyFont="1" applyFill="1" applyBorder="1" applyAlignment="1">
      <alignment horizontal="center"/>
    </xf>
    <xf numFmtId="0" fontId="19" fillId="12" borderId="0" xfId="0" applyFont="1" applyFill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2" borderId="16" xfId="0" applyFont="1" applyFill="1" applyBorder="1" applyAlignment="1">
      <alignment horizontal="center"/>
    </xf>
    <xf numFmtId="0" fontId="18" fillId="9" borderId="8" xfId="0" applyFont="1" applyFill="1" applyBorder="1" applyAlignment="1">
      <alignment horizontal="center"/>
    </xf>
    <xf numFmtId="0" fontId="18" fillId="9" borderId="0" xfId="0" applyFont="1" applyFill="1" applyAlignment="1">
      <alignment horizontal="center"/>
    </xf>
    <xf numFmtId="0" fontId="18" fillId="9" borderId="6" xfId="0" applyFont="1" applyFill="1" applyBorder="1" applyAlignment="1">
      <alignment horizontal="center"/>
    </xf>
    <xf numFmtId="0" fontId="18" fillId="9" borderId="9" xfId="0" applyFont="1" applyFill="1" applyBorder="1" applyAlignment="1">
      <alignment horizontal="center"/>
    </xf>
    <xf numFmtId="0" fontId="18" fillId="9" borderId="16" xfId="0" applyFont="1" applyFill="1" applyBorder="1" applyAlignment="1">
      <alignment horizontal="center"/>
    </xf>
    <xf numFmtId="0" fontId="8" fillId="4" borderId="0" xfId="0" applyFont="1" applyFill="1" applyAlignment="1">
      <alignment horizontal="left"/>
    </xf>
  </cellXfs>
  <cellStyles count="6">
    <cellStyle name="Normal" xfId="0" builtinId="0"/>
    <cellStyle name="Normal 13" xfId="2" xr:uid="{E6692A65-F075-4402-9A6F-B57E4190767B}"/>
    <cellStyle name="Normal 14" xfId="1" xr:uid="{FA37C22B-8F55-4F69-8985-E4067B273E13}"/>
    <cellStyle name="Normal 2" xfId="5" xr:uid="{0304A65D-09E6-4AEB-BAE0-A07DB42BF9B7}"/>
    <cellStyle name="Normal 5 2" xfId="3" xr:uid="{DD4567E6-B435-42B9-8A6F-4E0EBAD2E2FA}"/>
    <cellStyle name="Normal 9" xfId="4" xr:uid="{E8EB509E-C0B9-48A6-9348-D42A5E7DB98E}"/>
  </cellStyles>
  <dxfs count="1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color auto="1"/>
        <name val="Calibri"/>
        <family val="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color auto="1"/>
        <name val="Calibri"/>
        <family val="2"/>
      </font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color auto="1"/>
        <name val="Calibri"/>
        <family val="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color auto="1"/>
        <name val="Calibri"/>
        <family val="2"/>
      </font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</dxfs>
  <tableStyles count="0" defaultTableStyle="TableStyleMedium2" defaultPivotStyle="PivotStyleLight16"/>
  <colors>
    <mruColors>
      <color rgb="FF00CC99"/>
      <color rgb="FF0099FF"/>
      <color rgb="FF42A849"/>
      <color rgb="FF3131C5"/>
      <color rgb="FF3333FF"/>
      <color rgb="FF3366FF"/>
      <color rgb="FF70A800"/>
      <color rgb="FF669900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104587</xdr:colOff>
      <xdr:row>13</xdr:row>
      <xdr:rowOff>124510</xdr:rowOff>
    </xdr:from>
    <xdr:to>
      <xdr:col>4</xdr:col>
      <xdr:colOff>687478</xdr:colOff>
      <xdr:row>18</xdr:row>
      <xdr:rowOff>17058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595E85-1893-4D4D-869F-B7CFFBF69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2211293" y="2589804"/>
          <a:ext cx="1623045" cy="811804"/>
        </a:xfrm>
        <a:prstGeom prst="rect">
          <a:avLst/>
        </a:prstGeom>
        <a:ln w="3175"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294093</xdr:colOff>
      <xdr:row>13</xdr:row>
      <xdr:rowOff>39844</xdr:rowOff>
    </xdr:from>
    <xdr:to>
      <xdr:col>6</xdr:col>
      <xdr:colOff>916392</xdr:colOff>
      <xdr:row>17</xdr:row>
      <xdr:rowOff>103160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F90B753-EDFC-465C-A860-C3AD02B8A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427819" y="2505138"/>
          <a:ext cx="1623358" cy="7993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372080</xdr:colOff>
      <xdr:row>31</xdr:row>
      <xdr:rowOff>0</xdr:rowOff>
    </xdr:from>
    <xdr:to>
      <xdr:col>27</xdr:col>
      <xdr:colOff>296867</xdr:colOff>
      <xdr:row>40</xdr:row>
      <xdr:rowOff>131368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EB97CF-24FF-43AA-A4A8-430F66044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5938651" y="6828025"/>
          <a:ext cx="3560463" cy="18407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305556</xdr:colOff>
      <xdr:row>18</xdr:row>
      <xdr:rowOff>217714</xdr:rowOff>
    </xdr:from>
    <xdr:to>
      <xdr:col>23</xdr:col>
      <xdr:colOff>246822</xdr:colOff>
      <xdr:row>29</xdr:row>
      <xdr:rowOff>64994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81C868-011F-4954-AE13-1423B9C52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4995223" y="3435047"/>
          <a:ext cx="3561673" cy="19205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F2010-910E-4BCA-80E5-AA42856B6FE9}" name="Table1" displayName="Table1" ref="C5:G10" totalsRowShown="0">
  <autoFilter ref="C5:G10" xr:uid="{2D41BED8-A150-4F44-999E-511296804273}"/>
  <tableColumns count="5">
    <tableColumn id="2" xr3:uid="{20BE84AC-F143-4BAE-825A-2AFCC759D42A}" name="Time (min)" dataDxfId="121"/>
    <tableColumn id="3" xr3:uid="{9C805910-BED7-4CFC-88F5-38972BF01FB2}" name="Intensity" dataDxfId="120"/>
    <tableColumn id="4" xr3:uid="{C1DD5D2C-02A2-47E4-8380-6A0B8D180F38}" name="Percentage" dataDxfId="119"/>
    <tableColumn id="5" xr3:uid="{A06D137D-9388-4169-8ACB-D5FE4C4972EF}" name="m/z 437" dataDxfId="118"/>
    <tableColumn id="6" xr3:uid="{9806C32E-140B-43A8-93D3-9B71CD13C099}" name="Percentage2" dataDxfId="117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6A1285-6826-4EA6-B7C0-4EDBF19C16EE}" name="Table13245" displayName="Table13245" ref="C8:AD17" totalsRowShown="0" headerRowDxfId="116" dataDxfId="114" headerRowBorderDxfId="115" tableBorderDxfId="113" headerRowCellStyle="Normal 14" dataCellStyle="Normal 14">
  <autoFilter ref="C8:AD17" xr:uid="{00000000-0009-0000-0100-000001000000}"/>
  <tableColumns count="28">
    <tableColumn id="1" xr3:uid="{82B0CF26-8609-4F34-8874-CDCD21F01EBB}" name="Mass[1]" dataDxfId="112" dataCellStyle="Normal 14"/>
    <tableColumn id="2" xr3:uid="{CEAB0EFD-195E-4748-A24E-FBC977B9EB8F}" name="Composition[2]" dataDxfId="111" dataCellStyle="Normal 14"/>
    <tableColumn id="3" xr3:uid="{5D8E97CC-3DBB-4C47-8AF4-DA82D01B270A}" name="Putative structures [3]" dataDxfId="110"/>
    <tableColumn id="21" xr3:uid="{D11C8B39-B564-4815-BFD8-36B485190FCD}" name="Type [4]" dataDxfId="109"/>
    <tableColumn id="48" xr3:uid="{3E2400D5-0463-4F78-B416-70E94DF222B5}" name="RT" dataDxfId="108" dataCellStyle="Normal 14"/>
    <tableColumn id="49" xr3:uid="{7E3B78C5-2D14-496B-A159-86C412C739D7}" name="Intensity" dataDxfId="107" dataCellStyle="Normal 14"/>
    <tableColumn id="50" xr3:uid="{C1881926-0A4E-4BFB-B8B4-8AFD84AB49B4}" name="Percentage32" dataDxfId="106" dataCellStyle="Normal 14"/>
    <tableColumn id="27" xr3:uid="{DCA7541A-188A-412C-9EB5-60998AC17239}" name="RT2" dataDxfId="105" dataCellStyle="Normal 14"/>
    <tableColumn id="28" xr3:uid="{D3B672AE-FE7F-4581-9105-D6FA10DC14A0}" name="Intensity2" dataDxfId="104" dataCellStyle="Normal 14"/>
    <tableColumn id="29" xr3:uid="{75D37EBD-F8E5-4672-B67E-D9821AFA974C}" name="Percentage11" dataDxfId="103" dataCellStyle="Normal 14"/>
    <tableColumn id="30" xr3:uid="{F4173D56-0BF6-4E13-9EFB-694C5603E642}" name="RT3" dataDxfId="102" dataCellStyle="Normal 14"/>
    <tableColumn id="31" xr3:uid="{EB0B368C-D852-419F-B164-C9AABF251564}" name="Intensity3" dataDxfId="101" dataCellStyle="Normal 14"/>
    <tableColumn id="32" xr3:uid="{5A07D294-8BD8-44D8-8289-EEE8BD92280B}" name="Percentage14" dataDxfId="100" dataCellStyle="Normal 14"/>
    <tableColumn id="33" xr3:uid="{DD85E82A-F9E8-4AE9-8AB6-5DD087014245}" name="RT4" dataDxfId="99" dataCellStyle="Normal 14"/>
    <tableColumn id="34" xr3:uid="{B36C8B25-BDA3-4361-B813-C052B24D9F28}" name="Intensity4" dataDxfId="98" dataCellStyle="Normal 14"/>
    <tableColumn id="35" xr3:uid="{0AC5351A-91E7-4EEF-B849-E960FD9893D1}" name="Percentage17" dataDxfId="97" dataCellStyle="Normal 14"/>
    <tableColumn id="36" xr3:uid="{35DE40E1-4ABB-4CED-9F9D-4D75B3863EBD}" name="RT5" dataDxfId="96" dataCellStyle="Normal 14"/>
    <tableColumn id="37" xr3:uid="{CE941DFA-E059-4416-8421-1C1F7875E5B6}" name="Intensity5" dataDxfId="95" dataCellStyle="Normal 14"/>
    <tableColumn id="38" xr3:uid="{18725A77-B04D-4688-8717-938F97DD65B6}" name="Percentage20" dataDxfId="94" dataCellStyle="Normal 14"/>
    <tableColumn id="39" xr3:uid="{ED008AF3-C533-4675-9548-B71452877AE3}" name="RT6" dataDxfId="93" dataCellStyle="Normal 14"/>
    <tableColumn id="40" xr3:uid="{246017E7-F82C-4D90-9B88-D8B4AE7E5662}" name="Intensity6" dataDxfId="92" dataCellStyle="Normal 14"/>
    <tableColumn id="41" xr3:uid="{7DACE6F1-8968-4D37-B19B-216CC347C462}" name="Percentage23" dataDxfId="91" dataCellStyle="Normal 14"/>
    <tableColumn id="42" xr3:uid="{6FEED71E-49FF-4104-8F5A-2CB630447056}" name="RT7" dataDxfId="90" dataCellStyle="Normal 14"/>
    <tableColumn id="43" xr3:uid="{AFC150B4-0A2E-49F6-AA5B-25B05DB7EE2C}" name="Intensity7" dataDxfId="89" dataCellStyle="Normal 14"/>
    <tableColumn id="44" xr3:uid="{75619E79-299B-404F-ACC8-3C9B1AE65AC6}" name="Percentage26" dataDxfId="88" dataCellStyle="Normal 14"/>
    <tableColumn id="45" xr3:uid="{B2E8A773-CE48-4F1C-93AD-06558AFDE553}" name="RT8" dataDxfId="87" dataCellStyle="Normal 14"/>
    <tableColumn id="46" xr3:uid="{F48CFF6B-62EE-4CF5-B40D-4C4C45747402}" name="Intensity8" dataDxfId="86" dataCellStyle="Normal 14"/>
    <tableColumn id="47" xr3:uid="{730DDF48-CC6A-46B6-8E41-F93D056C8E5F}" name="Percentage29" dataDxfId="85" dataCellStyle="Normal 14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F67CA2-DF46-488F-B78A-C0FA5E6AC8AE}" name="Table132456" displayName="Table132456" ref="C24:AD27" totalsRowShown="0" headerRowDxfId="84" dataDxfId="82" headerRowBorderDxfId="83" tableBorderDxfId="81" headerRowCellStyle="Normal 14" dataCellStyle="Normal 14">
  <autoFilter ref="C24:AD27" xr:uid="{0E0989DA-5DFA-4EA4-89DD-9CBC02783C23}"/>
  <tableColumns count="28">
    <tableColumn id="1" xr3:uid="{F4CDADBD-7DBA-4941-9F6F-B0BDAC1E8775}" name="Mass[1]" dataDxfId="80" dataCellStyle="Normal 14"/>
    <tableColumn id="2" xr3:uid="{67ACD8A4-73DE-4469-B940-6B1DE3F4C072}" name="Composition[2]" dataDxfId="79" dataCellStyle="Normal 14"/>
    <tableColumn id="3" xr3:uid="{57B9D076-AB1B-4CF6-A734-97C3C516D5F0}" name="Putative structures [3]" dataDxfId="78"/>
    <tableColumn id="21" xr3:uid="{F91C4A15-CDFA-4022-BB4A-5004B8480DE9}" name="Type [4]" dataDxfId="77"/>
    <tableColumn id="48" xr3:uid="{714BB4B1-F7FA-4965-93A8-C55E3B3A2A92}" name="RT" dataDxfId="76" dataCellStyle="Normal 14"/>
    <tableColumn id="49" xr3:uid="{5052C1C6-F896-405D-8D2A-830CD29BA6F7}" name="Intensity" dataDxfId="75" dataCellStyle="Normal 14"/>
    <tableColumn id="50" xr3:uid="{497B57AF-376A-462A-8A5E-B6DB6A27E162}" name="Percentage32" dataDxfId="74" dataCellStyle="Normal 14">
      <calculatedColumnFormula>H25/$H$28*100</calculatedColumnFormula>
    </tableColumn>
    <tableColumn id="27" xr3:uid="{CD624EA4-CD59-4E6C-8C98-D980D4F73713}" name="RT2" dataDxfId="73" dataCellStyle="Normal 14"/>
    <tableColumn id="28" xr3:uid="{744BA934-826A-4DCB-BE68-AE3A7B9B37B1}" name="Intensity2" dataDxfId="72" dataCellStyle="Normal 14"/>
    <tableColumn id="29" xr3:uid="{C7218484-D870-4087-B2A9-A3B3B4D5EB30}" name="Percentage11" dataDxfId="71" dataCellStyle="Normal 14">
      <calculatedColumnFormula>K25/$K$28*100</calculatedColumnFormula>
    </tableColumn>
    <tableColumn id="30" xr3:uid="{AD8B4DFC-7551-4909-A2D7-43E9C5A747C3}" name="RT3" dataDxfId="70" dataCellStyle="Normal 14"/>
    <tableColumn id="31" xr3:uid="{87FA7EA2-F1A3-486B-BDEB-C092A1543AB5}" name="Intensity3" dataDxfId="69" dataCellStyle="Normal 14"/>
    <tableColumn id="32" xr3:uid="{103049F4-7405-4615-A018-073D9A766401}" name="Percentage14" dataDxfId="68" dataCellStyle="Normal 14">
      <calculatedColumnFormula>N25/$N$28*100</calculatedColumnFormula>
    </tableColumn>
    <tableColumn id="33" xr3:uid="{4F039ED5-406C-4E44-8D81-43D7E88A0EC1}" name="RT4" dataDxfId="67" dataCellStyle="Normal 14"/>
    <tableColumn id="34" xr3:uid="{62513AB5-793C-401C-85B1-CEC0D4C89039}" name="Intensity4" dataDxfId="66" dataCellStyle="Normal 14"/>
    <tableColumn id="35" xr3:uid="{631A8CC8-C5E1-4D76-8225-8236E638CEE6}" name="Percentage17" dataDxfId="65" dataCellStyle="Normal 14">
      <calculatedColumnFormula>Q25/$Q$28*100</calculatedColumnFormula>
    </tableColumn>
    <tableColumn id="36" xr3:uid="{20922BFF-B29A-4BBB-88E6-70E339A9B221}" name="RT5" dataDxfId="64" dataCellStyle="Normal 14"/>
    <tableColumn id="37" xr3:uid="{4B196B24-F895-4E8C-A776-A39E15B448C0}" name="Intensity5" dataDxfId="63" dataCellStyle="Normal 14"/>
    <tableColumn id="38" xr3:uid="{F6BD6708-D549-4CAE-9547-23664D55048A}" name="Percentage20" dataDxfId="62" dataCellStyle="Normal 14">
      <calculatedColumnFormula>T25/$T$28*100</calculatedColumnFormula>
    </tableColumn>
    <tableColumn id="39" xr3:uid="{6CBD74DE-EDA1-497E-86B6-FE66C20049E7}" name="RT6" dataDxfId="61" dataCellStyle="Normal 14"/>
    <tableColumn id="40" xr3:uid="{AB7D64A5-E589-43B0-BB72-78955869A173}" name="Intensity6" dataDxfId="60" dataCellStyle="Normal 14"/>
    <tableColumn id="41" xr3:uid="{F8327488-CB34-44D0-805D-A1B41AF677A7}" name="Percentage23" dataDxfId="59" dataCellStyle="Normal 14">
      <calculatedColumnFormula>W25/$W$28*100</calculatedColumnFormula>
    </tableColumn>
    <tableColumn id="42" xr3:uid="{8E855A6A-28CA-46A9-ACDB-29EDBA7E916A}" name="RT7" dataDxfId="58" dataCellStyle="Normal 14"/>
    <tableColumn id="43" xr3:uid="{8FACDDAA-CB66-45C8-B582-2FCAA0A244DF}" name="Intensity7" dataDxfId="57" dataCellStyle="Normal 14"/>
    <tableColumn id="44" xr3:uid="{59E9453D-8474-418E-BD3F-73C689382F74}" name="Percentage26" dataDxfId="56" dataCellStyle="Normal 14">
      <calculatedColumnFormula>Z25/$Z$28*100</calculatedColumnFormula>
    </tableColumn>
    <tableColumn id="45" xr3:uid="{35CAE870-EF47-4147-8A3D-EA44015CBE97}" name="RT8" dataDxfId="55" dataCellStyle="Normal 14"/>
    <tableColumn id="46" xr3:uid="{BCB978DE-A1C4-48EA-93DA-03FBE09AE225}" name="Intensity8" dataDxfId="54" dataCellStyle="Normal 14"/>
    <tableColumn id="47" xr3:uid="{CEE765C2-16A2-4CFD-84B1-92DF5F1A0631}" name="Percentage29" dataDxfId="53" dataCellStyle="Normal 14">
      <calculatedColumnFormula>AC25/$AC$28*100</calculatedColumn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2119F1-BF29-4FE6-A9C3-48AAD4969049}" name="Table15" displayName="Table15" ref="B7:AX12" totalsRowShown="0" headerRowDxfId="52" dataDxfId="50" headerRowBorderDxfId="51" tableBorderDxfId="49" headerRowCellStyle="Normal 14" dataCellStyle="Normal 14">
  <autoFilter ref="B7:AX12" xr:uid="{00000000-0009-0000-0100-000001000000}"/>
  <tableColumns count="49">
    <tableColumn id="1" xr3:uid="{B2FED6EE-37D4-4100-B436-7D202C16C3C3}" name="Mass[1]" dataDxfId="48" dataCellStyle="Normal 14"/>
    <tableColumn id="2" xr3:uid="{FBC92324-34A2-49FA-A297-B6920F9EE48E}" name="Composition[2]" dataDxfId="47" dataCellStyle="Normal 14"/>
    <tableColumn id="3" xr3:uid="{F379A96A-0A95-4A27-BF89-A62C1C37899B}" name="Putative structures [3]" dataDxfId="46"/>
    <tableColumn id="21" xr3:uid="{CED8AA3A-E91C-425F-B5A2-F7CEFF0312F6}" name="Type [4]" dataDxfId="45"/>
    <tableColumn id="42" xr3:uid="{5275ACD1-BC55-44FA-BA2A-4B9B51299392}" name="RT" dataDxfId="44" dataCellStyle="Normal 14"/>
    <tableColumn id="43" xr3:uid="{6E125218-5A5E-42DF-B57E-ED4A5008CBDC}" name="Intensity" dataDxfId="43" dataCellStyle="Normal 14"/>
    <tableColumn id="44" xr3:uid="{F94941E1-325B-4E9C-9EFB-6540C98B9F6A}" name="Percentage26" dataDxfId="42" dataCellStyle="Normal 14">
      <calculatedColumnFormula>G8/$G$13*100</calculatedColumnFormula>
    </tableColumn>
    <tableColumn id="45" xr3:uid="{8DA06BE4-5EB6-49A3-B36F-8CC4AB5B8D90}" name="RT7" dataDxfId="41" dataCellStyle="Normal 14"/>
    <tableColumn id="46" xr3:uid="{F1917CED-0C61-4B4A-96B6-51EBBD907BA3}" name="Intensity3" dataDxfId="40" dataCellStyle="Normal 14"/>
    <tableColumn id="47" xr3:uid="{D5A28F1F-7989-45E0-A6F5-BC0A331541F9}" name="Percentage29" dataDxfId="39" dataCellStyle="Normal 14">
      <calculatedColumnFormula>J8/$J$13*100</calculatedColumnFormula>
    </tableColumn>
    <tableColumn id="48" xr3:uid="{2F6F472B-765A-4CE4-8F8E-C07339C74197}" name="RT8" dataDxfId="38" dataCellStyle="Normal 14"/>
    <tableColumn id="49" xr3:uid="{CAD2B113-EA60-497C-AFC2-D07033A88FAA}" name="Intensity7" dataDxfId="37" dataCellStyle="Normal 14"/>
    <tableColumn id="50" xr3:uid="{E8B5EDDC-4D17-4C57-B250-C11D90302F6B}" name="Percentage32" dataDxfId="36" dataCellStyle="Normal 14">
      <calculatedColumnFormula>M8/$M$13*100</calculatedColumnFormula>
    </tableColumn>
    <tableColumn id="5" xr3:uid="{895D31C9-1CA4-4F8C-92C4-00302C12F8A0}" name="RT2" dataDxfId="35"/>
    <tableColumn id="6" xr3:uid="{5FBDDB49-CA5A-4D1D-B7D5-D39A9FA08C84}" name="Intensity [11]" dataDxfId="34" dataCellStyle="Normal 14"/>
    <tableColumn id="7" xr3:uid="{DD224864-9625-4D61-A740-7740EA289959}" name="Percentage" dataDxfId="33" dataCellStyle="Normal 14">
      <calculatedColumnFormula>P8/$P$13*100</calculatedColumnFormula>
    </tableColumn>
    <tableColumn id="8" xr3:uid="{FB7DE458-788E-4B2A-AEB9-A642450ED51B}" name="RT3" dataDxfId="32" dataCellStyle="Normal 14"/>
    <tableColumn id="9" xr3:uid="{C6062353-DCED-4ED4-B1B5-63358BA5072E}" name="Intensity4" dataDxfId="31" dataCellStyle="Normal 14"/>
    <tableColumn id="10" xr3:uid="{C29C97D4-69AF-422D-95CD-DA8F7663FEE8}" name="Percentage2" dataDxfId="30" dataCellStyle="Normal 14">
      <calculatedColumnFormula>S8/$S$13*100</calculatedColumnFormula>
    </tableColumn>
    <tableColumn id="11" xr3:uid="{884D9520-4400-4E5E-AFC3-C2AEF82EB6D4}" name="RT5" dataDxfId="29" dataCellStyle="Normal 14"/>
    <tableColumn id="12" xr3:uid="{1F07C708-3FFA-4C9F-B3CB-62EDB56596BC}" name="Intensity5" dataDxfId="28" dataCellStyle="Normal 14"/>
    <tableColumn id="13" xr3:uid="{F6D85A52-556E-4255-BCEB-E15C8985E067}" name="Percentages" dataDxfId="27" dataCellStyle="Normal 14">
      <calculatedColumnFormula>V8/$V$13*100</calculatedColumnFormula>
    </tableColumn>
    <tableColumn id="33" xr3:uid="{91801425-25B3-45AB-843E-DCA6864D2B40}" name="RT9" dataDxfId="26" dataCellStyle="Normal 14"/>
    <tableColumn id="34" xr3:uid="{19D1A9B9-DAD5-4511-911B-FBDFC121AE51}" name="Intensity8" dataDxfId="25" dataCellStyle="Normal 14"/>
    <tableColumn id="35" xr3:uid="{B51589CC-AA84-4E1D-BA87-488813530B4B}" name="Percentage17" dataDxfId="24" dataCellStyle="Normal 14">
      <calculatedColumnFormula>Y8/$Y$13*100</calculatedColumnFormula>
    </tableColumn>
    <tableColumn id="36" xr3:uid="{E3C83630-7688-4171-9B32-5697911157F4}" name="RT10" dataDxfId="23" dataCellStyle="Normal 14"/>
    <tableColumn id="37" xr3:uid="{AE9D2866-FAD0-4FC1-9A43-B986EC805661}" name="Intensity9" dataDxfId="22" dataCellStyle="Normal 14"/>
    <tableColumn id="38" xr3:uid="{F4F89AA9-7044-418A-8E37-AEE92B0A9701}" name="Percentage20" dataDxfId="21" dataCellStyle="Normal 14">
      <calculatedColumnFormula>AB8/$AB$13*100</calculatedColumnFormula>
    </tableColumn>
    <tableColumn id="39" xr3:uid="{0AFF2F36-3F1C-4AC8-9A56-48E54C16CFEA}" name="RT11" dataDxfId="20" dataCellStyle="Normal 14"/>
    <tableColumn id="40" xr3:uid="{E3BAD533-06CD-4759-AA96-473942124ECE}" name="Intensity10" dataDxfId="19" dataCellStyle="Normal 14"/>
    <tableColumn id="41" xr3:uid="{78659A7D-3715-42EF-95A4-8A670D3A625B}" name="Percentage23" dataDxfId="18" dataCellStyle="Normal 14">
      <calculatedColumnFormula>AE8/$AE$13*100</calculatedColumnFormula>
    </tableColumn>
    <tableColumn id="4" xr3:uid="{7F597837-D941-4932-B7B5-4807A59A3D0B}" name="RT6" dataDxfId="17" dataCellStyle="Normal 14"/>
    <tableColumn id="14" xr3:uid="{1D93679C-79ED-443C-A795-93E39EC8ABA2}" name="Intensity2" dataDxfId="16" dataCellStyle="Normal 14"/>
    <tableColumn id="15" xr3:uid="{B6A1D707-3657-47BF-B068-CA55BA1696D3}" name="Percentage3" dataDxfId="15" dataCellStyle="Normal 14">
      <calculatedColumnFormula>AH8/$AH$13*100</calculatedColumnFormula>
    </tableColumn>
    <tableColumn id="16" xr3:uid="{473305E2-2FFF-4739-9A0F-E09D4A9E366A}" name="RT4" dataDxfId="14" dataCellStyle="Normal 14"/>
    <tableColumn id="17" xr3:uid="{8B7A6F73-4FED-46E9-8540-B048BBB6C1BF}" name="Intensity6" dataDxfId="13" dataCellStyle="Normal 14"/>
    <tableColumn id="18" xr3:uid="{A37398F0-E464-43C1-B5D0-477411FE66DB}" name="Percentage37" dataDxfId="12" dataCellStyle="Normal 14">
      <calculatedColumnFormula>AK8/$AK$13*100</calculatedColumnFormula>
    </tableColumn>
    <tableColumn id="19" xr3:uid="{C667B1C6-849C-406E-802E-1E39BFF1228A}" name="RT42" dataDxfId="11" dataCellStyle="Normal 14"/>
    <tableColumn id="20" xr3:uid="{FCD6C8FE-A719-415B-B31F-86CC3FE9343B}" name="Intensity63" dataDxfId="10" dataCellStyle="Normal 14"/>
    <tableColumn id="22" xr3:uid="{5D97F1ED-86E7-48AB-B4F3-38E5A2834AE6}" name="Percentage374" dataDxfId="9" dataCellStyle="Normal 14">
      <calculatedColumnFormula>AN8/$AN$13*100</calculatedColumnFormula>
    </tableColumn>
    <tableColumn id="24" xr3:uid="{7A0F718F-EA05-46CB-AD3D-73162E606636}" name="RT12" dataDxfId="8" dataCellStyle="Normal 14"/>
    <tableColumn id="25" xr3:uid="{35FBD501-E424-4383-A8B9-283279AF2FD2}" name="Intensity11" dataDxfId="7" dataCellStyle="Normal 14"/>
    <tableColumn id="26" xr3:uid="{E01BECA1-B0F5-4778-9A70-FD38DE6E4C61}" name="Percentage8" dataDxfId="6" dataCellStyle="Normal 14">
      <calculatedColumnFormula>AQ8/$AQ$13*100</calculatedColumnFormula>
    </tableColumn>
    <tableColumn id="27" xr3:uid="{4524AAC0-14DB-4716-AB36-ECF17492B3D7}" name="RT13" dataDxfId="5" dataCellStyle="Normal 14"/>
    <tableColumn id="28" xr3:uid="{00F8117E-CDFA-48FE-843A-27B940971444}" name="Intensity12" dataDxfId="4" dataCellStyle="Normal 14"/>
    <tableColumn id="29" xr3:uid="{DAA3FCD6-0211-4BFA-A7A7-9CCF3ED7E06C}" name="Percentage11" dataDxfId="3" dataCellStyle="Normal 14">
      <calculatedColumnFormula>AT8/$AT$13*100</calculatedColumnFormula>
    </tableColumn>
    <tableColumn id="30" xr3:uid="{573E1CB5-B876-4C16-BA04-A8051B9BCF74}" name="RT14" dataDxfId="2" dataCellStyle="Normal 14"/>
    <tableColumn id="31" xr3:uid="{F97A1418-2FC9-4A7A-867E-2A117BC04EC6}" name="Instensity" dataDxfId="1" dataCellStyle="Normal 14"/>
    <tableColumn id="32" xr3:uid="{0034D0AB-6C4A-4591-84C9-10F28666ECA2}" name="Percentage14" dataDxfId="0" dataCellStyle="Normal 14">
      <calculatedColumnFormula>AW8/$AW$13*100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81089-BF8F-4E04-A241-52414333905E}">
  <dimension ref="A1:I13"/>
  <sheetViews>
    <sheetView tabSelected="1" zoomScale="85" zoomScaleNormal="85" workbookViewId="0">
      <selection sqref="A1:I1"/>
    </sheetView>
  </sheetViews>
  <sheetFormatPr defaultRowHeight="14.35"/>
  <cols>
    <col min="3" max="3" width="11.41015625" customWidth="1"/>
    <col min="4" max="4" width="14.41015625" customWidth="1"/>
    <col min="5" max="5" width="13.76171875" customWidth="1"/>
    <col min="6" max="6" width="13.87890625" customWidth="1"/>
    <col min="7" max="7" width="17.3515625" customWidth="1"/>
  </cols>
  <sheetData>
    <row r="1" spans="1:9" ht="26.35" customHeight="1">
      <c r="A1" s="172" t="s">
        <v>174</v>
      </c>
      <c r="B1" s="172"/>
      <c r="C1" s="172"/>
      <c r="D1" s="172"/>
      <c r="E1" s="172"/>
      <c r="F1" s="172"/>
      <c r="G1" s="172"/>
      <c r="H1" s="172"/>
      <c r="I1" s="172"/>
    </row>
    <row r="3" spans="1:9" ht="14.7" thickBot="1"/>
    <row r="4" spans="1:9" ht="14.7" thickBot="1">
      <c r="D4" s="119" t="s">
        <v>1</v>
      </c>
      <c r="E4" s="120"/>
      <c r="F4" s="121" t="s">
        <v>3</v>
      </c>
      <c r="G4" s="122"/>
    </row>
    <row r="5" spans="1:9">
      <c r="C5" s="23" t="s">
        <v>0</v>
      </c>
      <c r="D5" s="18" t="s">
        <v>92</v>
      </c>
      <c r="E5" s="19" t="s">
        <v>2</v>
      </c>
      <c r="F5" s="18" t="s">
        <v>3</v>
      </c>
      <c r="G5" s="19" t="s">
        <v>4</v>
      </c>
    </row>
    <row r="6" spans="1:9" ht="14.7" thickBot="1">
      <c r="C6" s="24" t="s">
        <v>122</v>
      </c>
      <c r="D6" s="18">
        <v>587212.05000000005</v>
      </c>
      <c r="E6" s="20">
        <f>D6/(D6+F6)*100</f>
        <v>100</v>
      </c>
      <c r="F6" s="18">
        <v>0</v>
      </c>
      <c r="G6" s="20">
        <f>100-E6</f>
        <v>0</v>
      </c>
    </row>
    <row r="7" spans="1:9">
      <c r="B7" s="123" t="s">
        <v>126</v>
      </c>
      <c r="C7" s="24" t="s">
        <v>5</v>
      </c>
      <c r="D7" s="18">
        <v>145910.56</v>
      </c>
      <c r="E7" s="19">
        <v>100</v>
      </c>
      <c r="F7" s="18">
        <v>0</v>
      </c>
      <c r="G7" s="19">
        <v>0</v>
      </c>
    </row>
    <row r="8" spans="1:9">
      <c r="B8" s="124"/>
      <c r="C8" s="24" t="s">
        <v>6</v>
      </c>
      <c r="D8" s="18">
        <v>133193.32</v>
      </c>
      <c r="E8" s="20">
        <f>D8/(D8+F8)*100</f>
        <v>59.589588783030536</v>
      </c>
      <c r="F8" s="18">
        <v>90324.45</v>
      </c>
      <c r="G8" s="20">
        <f>100-E8</f>
        <v>40.410411216969464</v>
      </c>
    </row>
    <row r="9" spans="1:9">
      <c r="B9" s="124"/>
      <c r="C9" s="24" t="s">
        <v>123</v>
      </c>
      <c r="D9" s="18">
        <v>63050.41</v>
      </c>
      <c r="E9" s="20">
        <f>D9/(D9+F9)*100</f>
        <v>37.70088972325275</v>
      </c>
      <c r="F9" s="18">
        <v>104188.11</v>
      </c>
      <c r="G9" s="20">
        <f>100-E9</f>
        <v>62.29911027674725</v>
      </c>
    </row>
    <row r="10" spans="1:9" ht="14.7" thickBot="1">
      <c r="B10" s="125"/>
      <c r="C10" s="25" t="s">
        <v>124</v>
      </c>
      <c r="D10" s="21">
        <v>7701.18</v>
      </c>
      <c r="E10" s="22">
        <f>D10/(D10+F10)*100</f>
        <v>9.7575333086349296</v>
      </c>
      <c r="F10" s="21">
        <v>71224.3</v>
      </c>
      <c r="G10" s="22">
        <f>100-E10</f>
        <v>90.242466691365067</v>
      </c>
    </row>
    <row r="12" spans="1:9">
      <c r="C12" t="s">
        <v>125</v>
      </c>
    </row>
    <row r="13" spans="1:9">
      <c r="C13" t="s">
        <v>83</v>
      </c>
    </row>
  </sheetData>
  <mergeCells count="4">
    <mergeCell ref="D4:E4"/>
    <mergeCell ref="F4:G4"/>
    <mergeCell ref="B7:B10"/>
    <mergeCell ref="A1:I1"/>
  </mergeCells>
  <pageMargins left="0.7" right="0.7" top="0.75" bottom="0.75" header="0.3" footer="0.3"/>
  <pageSetup paperSize="9" orientation="portrait" horizontalDpi="4294967295" verticalDpi="4294967295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74D6-3DB7-4E27-B0AF-C43405024B95}">
  <dimension ref="A1:AD43"/>
  <sheetViews>
    <sheetView topLeftCell="B1" zoomScale="70" zoomScaleNormal="70" workbookViewId="0">
      <pane xSplit="5" ySplit="8" topLeftCell="G9" activePane="bottomRight" state="frozen"/>
      <selection activeCell="B1" sqref="B1"/>
      <selection pane="topRight" activeCell="F1" sqref="F1"/>
      <selection pane="bottomLeft" activeCell="B4" sqref="B4"/>
      <selection pane="bottomRight" activeCell="B1" sqref="B1:V1"/>
    </sheetView>
  </sheetViews>
  <sheetFormatPr defaultColWidth="8.87890625" defaultRowHeight="14.35"/>
  <cols>
    <col min="2" max="2" width="9.46875" customWidth="1"/>
    <col min="3" max="3" width="8" customWidth="1"/>
    <col min="4" max="4" width="8.87890625" customWidth="1"/>
    <col min="5" max="5" width="41.64453125" style="1" customWidth="1"/>
    <col min="6" max="6" width="10.05859375" customWidth="1"/>
    <col min="7" max="7" width="7.41015625" style="11" customWidth="1"/>
    <col min="8" max="8" width="11.234375" style="11" customWidth="1"/>
    <col min="9" max="10" width="7.41015625" style="11" customWidth="1"/>
    <col min="11" max="11" width="10.87890625" style="11" customWidth="1"/>
    <col min="12" max="13" width="7.41015625" style="11" customWidth="1"/>
    <col min="14" max="14" width="11.76171875" style="11" customWidth="1"/>
    <col min="15" max="15" width="9.41015625" style="11" customWidth="1"/>
    <col min="16" max="16" width="7.41015625" style="11" customWidth="1"/>
    <col min="17" max="17" width="9.234375" style="11" customWidth="1"/>
    <col min="18" max="19" width="7.41015625" style="11" customWidth="1"/>
    <col min="20" max="20" width="10.05859375" style="11" customWidth="1"/>
    <col min="21" max="22" width="7.41015625" style="11" customWidth="1"/>
    <col min="23" max="23" width="10.3515625" style="11" customWidth="1"/>
    <col min="24" max="25" width="7.41015625" style="11" customWidth="1"/>
    <col min="26" max="26" width="10.5859375" style="11" customWidth="1"/>
    <col min="27" max="28" width="7.41015625" style="11" customWidth="1"/>
    <col min="29" max="29" width="11.1171875" style="11" customWidth="1"/>
    <col min="30" max="30" width="7.41015625" style="11" customWidth="1"/>
  </cols>
  <sheetData>
    <row r="1" spans="2:30" ht="25.35" customHeight="1">
      <c r="B1" s="172" t="s">
        <v>172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</row>
    <row r="3" spans="2:30" ht="20.7">
      <c r="C3" s="118" t="s">
        <v>173</v>
      </c>
    </row>
    <row r="5" spans="2:30" s="8" customFormat="1" ht="23.35">
      <c r="B5" s="126" t="s">
        <v>137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</row>
    <row r="6" spans="2:30" s="8" customFormat="1" ht="14.7" thickBot="1"/>
    <row r="7" spans="2:30" s="27" customFormat="1" ht="21" thickBot="1">
      <c r="E7" s="28"/>
      <c r="G7" s="127" t="s">
        <v>122</v>
      </c>
      <c r="H7" s="128"/>
      <c r="I7" s="129"/>
      <c r="J7" s="130" t="s">
        <v>7</v>
      </c>
      <c r="K7" s="130"/>
      <c r="L7" s="130"/>
      <c r="M7" s="131" t="s">
        <v>8</v>
      </c>
      <c r="N7" s="132"/>
      <c r="O7" s="133"/>
      <c r="P7" s="134" t="s">
        <v>9</v>
      </c>
      <c r="Q7" s="134"/>
      <c r="R7" s="134"/>
      <c r="S7" s="135" t="s">
        <v>10</v>
      </c>
      <c r="T7" s="136"/>
      <c r="U7" s="137"/>
      <c r="V7" s="138" t="s">
        <v>11</v>
      </c>
      <c r="W7" s="138"/>
      <c r="X7" s="138"/>
      <c r="Y7" s="139" t="s">
        <v>12</v>
      </c>
      <c r="Z7" s="140"/>
      <c r="AA7" s="141"/>
      <c r="AB7" s="142" t="s">
        <v>13</v>
      </c>
      <c r="AC7" s="142"/>
      <c r="AD7" s="143"/>
    </row>
    <row r="8" spans="2:30" s="8" customFormat="1" ht="16.7" thickBot="1">
      <c r="C8" s="37" t="s">
        <v>127</v>
      </c>
      <c r="D8" s="38" t="s">
        <v>128</v>
      </c>
      <c r="E8" s="39" t="s">
        <v>129</v>
      </c>
      <c r="F8" s="59" t="s">
        <v>130</v>
      </c>
      <c r="G8" s="37" t="s">
        <v>91</v>
      </c>
      <c r="H8" s="40" t="s">
        <v>92</v>
      </c>
      <c r="I8" s="42" t="s">
        <v>25</v>
      </c>
      <c r="J8" s="60" t="s">
        <v>84</v>
      </c>
      <c r="K8" s="41" t="s">
        <v>146</v>
      </c>
      <c r="L8" s="62" t="s">
        <v>18</v>
      </c>
      <c r="M8" s="64" t="s">
        <v>86</v>
      </c>
      <c r="N8" s="41" t="s">
        <v>147</v>
      </c>
      <c r="O8" s="42" t="s">
        <v>19</v>
      </c>
      <c r="P8" s="60" t="s">
        <v>94</v>
      </c>
      <c r="Q8" s="41" t="s">
        <v>87</v>
      </c>
      <c r="R8" s="62" t="s">
        <v>20</v>
      </c>
      <c r="S8" s="64" t="s">
        <v>88</v>
      </c>
      <c r="T8" s="41" t="s">
        <v>89</v>
      </c>
      <c r="U8" s="42" t="s">
        <v>21</v>
      </c>
      <c r="V8" s="60" t="s">
        <v>148</v>
      </c>
      <c r="W8" s="41" t="s">
        <v>95</v>
      </c>
      <c r="X8" s="62" t="s">
        <v>22</v>
      </c>
      <c r="Y8" s="64" t="s">
        <v>149</v>
      </c>
      <c r="Z8" s="41" t="s">
        <v>150</v>
      </c>
      <c r="AA8" s="42" t="s">
        <v>23</v>
      </c>
      <c r="AB8" s="60" t="s">
        <v>151</v>
      </c>
      <c r="AC8" s="41" t="s">
        <v>152</v>
      </c>
      <c r="AD8" s="42" t="s">
        <v>24</v>
      </c>
    </row>
    <row r="9" spans="2:30" s="8" customFormat="1">
      <c r="C9" s="66" t="s">
        <v>26</v>
      </c>
      <c r="D9" s="72" t="s">
        <v>27</v>
      </c>
      <c r="E9" s="30" t="s">
        <v>131</v>
      </c>
      <c r="F9" s="31" t="s">
        <v>28</v>
      </c>
      <c r="G9" s="33" t="s">
        <v>29</v>
      </c>
      <c r="H9" s="43">
        <v>2248.3000000000002</v>
      </c>
      <c r="I9" s="44">
        <f t="shared" ref="I9:I17" si="0">H9/$H$18*100</f>
        <v>13.046548725665023</v>
      </c>
      <c r="J9" s="48">
        <v>6.18</v>
      </c>
      <c r="K9" s="43">
        <v>1612.7</v>
      </c>
      <c r="L9" s="32">
        <f t="shared" ref="L9:L17" si="1">K9/$K$18*100</f>
        <v>8.7516985686438815</v>
      </c>
      <c r="M9" s="33" t="s">
        <v>29</v>
      </c>
      <c r="N9" s="43">
        <v>1308.5</v>
      </c>
      <c r="O9" s="44">
        <f t="shared" ref="O9:O17" si="2">N9/$N$18*100</f>
        <v>6.3343684874244506</v>
      </c>
      <c r="P9" s="48" t="s">
        <v>30</v>
      </c>
      <c r="Q9" s="43">
        <v>1416.8</v>
      </c>
      <c r="R9" s="32">
        <f t="shared" ref="R9:R17" si="3">Q9/$Q$18*100</f>
        <v>3.3399458036744591</v>
      </c>
      <c r="S9" s="33">
        <v>5.75</v>
      </c>
      <c r="T9" s="43">
        <v>4435.24</v>
      </c>
      <c r="U9" s="44">
        <f t="shared" ref="U9:U17" si="4">T9/$T$18*100</f>
        <v>17.824256314609428</v>
      </c>
      <c r="V9" s="48" t="s">
        <v>30</v>
      </c>
      <c r="W9" s="43">
        <v>1787.9</v>
      </c>
      <c r="X9" s="32">
        <f t="shared" ref="X9:X17" si="5">W9/$W$18*100</f>
        <v>13.466671888934414</v>
      </c>
      <c r="Y9" s="33" t="s">
        <v>31</v>
      </c>
      <c r="Z9" s="43">
        <v>1294</v>
      </c>
      <c r="AA9" s="44">
        <f t="shared" ref="AA9:AA17" si="6">Z9/$Z$18*100</f>
        <v>9.7058613951988235</v>
      </c>
      <c r="AB9" s="29">
        <v>5.94</v>
      </c>
      <c r="AC9" s="32">
        <v>2253.12</v>
      </c>
      <c r="AD9" s="44">
        <f t="shared" ref="AD9:AD17" si="7">AC9/$AC$18*100</f>
        <v>11.64542123633364</v>
      </c>
    </row>
    <row r="10" spans="2:30" s="8" customFormat="1">
      <c r="C10" s="67" t="s">
        <v>32</v>
      </c>
      <c r="D10" s="35" t="s">
        <v>27</v>
      </c>
      <c r="E10" s="73" t="s">
        <v>132</v>
      </c>
      <c r="F10" s="36" t="s">
        <v>34</v>
      </c>
      <c r="G10" s="33">
        <v>9.58</v>
      </c>
      <c r="H10" s="43">
        <v>6203.01</v>
      </c>
      <c r="I10" s="47">
        <f t="shared" si="0"/>
        <v>35.995139532441129</v>
      </c>
      <c r="J10" s="48">
        <v>9.76</v>
      </c>
      <c r="K10" s="43">
        <v>9327.9699999999993</v>
      </c>
      <c r="L10" s="43">
        <f t="shared" si="1"/>
        <v>50.620438827651185</v>
      </c>
      <c r="M10" s="33">
        <v>9.75</v>
      </c>
      <c r="N10" s="43">
        <v>8584.25</v>
      </c>
      <c r="O10" s="47">
        <f t="shared" si="2"/>
        <v>41.555829337541724</v>
      </c>
      <c r="P10" s="48" t="s">
        <v>35</v>
      </c>
      <c r="Q10" s="43">
        <v>7936.9</v>
      </c>
      <c r="R10" s="43">
        <f t="shared" si="3"/>
        <v>18.710344331722059</v>
      </c>
      <c r="S10" s="33" t="s">
        <v>36</v>
      </c>
      <c r="T10" s="43">
        <v>8005.5</v>
      </c>
      <c r="U10" s="47">
        <f t="shared" si="4"/>
        <v>32.172347815812849</v>
      </c>
      <c r="V10" s="65" t="s">
        <v>37</v>
      </c>
      <c r="W10" s="46">
        <v>0</v>
      </c>
      <c r="X10" s="46">
        <f t="shared" si="5"/>
        <v>0</v>
      </c>
      <c r="Y10" s="33" t="s">
        <v>38</v>
      </c>
      <c r="Z10" s="43">
        <v>3426.2</v>
      </c>
      <c r="AA10" s="47">
        <f t="shared" si="6"/>
        <v>25.69878076679305</v>
      </c>
      <c r="AB10" s="48">
        <v>9.6999999999999993</v>
      </c>
      <c r="AC10" s="43">
        <v>8614.4</v>
      </c>
      <c r="AD10" s="47">
        <f t="shared" si="7"/>
        <v>44.524178338602702</v>
      </c>
    </row>
    <row r="11" spans="2:30" s="8" customFormat="1">
      <c r="C11" s="67">
        <v>513</v>
      </c>
      <c r="D11" s="35" t="s">
        <v>39</v>
      </c>
      <c r="E11" s="73" t="s">
        <v>133</v>
      </c>
      <c r="F11" s="49">
        <v>0</v>
      </c>
      <c r="G11" s="33">
        <v>9.23</v>
      </c>
      <c r="H11" s="43">
        <v>4696.96</v>
      </c>
      <c r="I11" s="47">
        <f t="shared" si="0"/>
        <v>27.25575657274366</v>
      </c>
      <c r="J11" s="48">
        <v>8.8800000000000008</v>
      </c>
      <c r="K11" s="43">
        <v>3437.16</v>
      </c>
      <c r="L11" s="43">
        <f t="shared" si="1"/>
        <v>18.652562939294352</v>
      </c>
      <c r="M11" s="33">
        <v>8.8800000000000008</v>
      </c>
      <c r="N11" s="43">
        <v>5236</v>
      </c>
      <c r="O11" s="47">
        <f t="shared" si="2"/>
        <v>25.347155827401163</v>
      </c>
      <c r="P11" s="48">
        <v>8.84</v>
      </c>
      <c r="Q11" s="43">
        <v>7536.62</v>
      </c>
      <c r="R11" s="43">
        <f t="shared" si="3"/>
        <v>17.766729491028375</v>
      </c>
      <c r="S11" s="33">
        <v>9.6199999999999992</v>
      </c>
      <c r="T11" s="43">
        <v>6452.77</v>
      </c>
      <c r="U11" s="47">
        <f t="shared" si="4"/>
        <v>25.932266668595677</v>
      </c>
      <c r="V11" s="48">
        <v>9.32</v>
      </c>
      <c r="W11" s="43">
        <v>6183.2</v>
      </c>
      <c r="X11" s="43">
        <f t="shared" si="5"/>
        <v>46.572585504591572</v>
      </c>
      <c r="Y11" s="33">
        <v>9.36</v>
      </c>
      <c r="Z11" s="43">
        <v>4730.58</v>
      </c>
      <c r="AA11" s="47">
        <f t="shared" si="6"/>
        <v>35.482499071792624</v>
      </c>
      <c r="AB11" s="48">
        <v>9.2899999999999991</v>
      </c>
      <c r="AC11" s="43">
        <v>4810.12</v>
      </c>
      <c r="AD11" s="47">
        <f t="shared" si="7"/>
        <v>24.861469250334277</v>
      </c>
    </row>
    <row r="12" spans="2:30" s="8" customFormat="1">
      <c r="C12" s="67">
        <v>529</v>
      </c>
      <c r="D12" s="35" t="s">
        <v>40</v>
      </c>
      <c r="E12" s="73" t="s">
        <v>134</v>
      </c>
      <c r="F12" s="50">
        <v>0</v>
      </c>
      <c r="G12" s="33">
        <v>8.99</v>
      </c>
      <c r="H12" s="43">
        <v>1206.55</v>
      </c>
      <c r="I12" s="47">
        <f t="shared" si="0"/>
        <v>7.001429242072291</v>
      </c>
      <c r="J12" s="48">
        <v>8.64</v>
      </c>
      <c r="K12" s="43">
        <v>781.89</v>
      </c>
      <c r="L12" s="43">
        <f t="shared" si="1"/>
        <v>4.2431113002027434</v>
      </c>
      <c r="M12" s="33">
        <v>8.6999999999999993</v>
      </c>
      <c r="N12" s="43">
        <v>1464.39</v>
      </c>
      <c r="O12" s="47">
        <f t="shared" si="2"/>
        <v>7.0890224450129855</v>
      </c>
      <c r="P12" s="48" t="s">
        <v>41</v>
      </c>
      <c r="Q12" s="43">
        <v>3001.78</v>
      </c>
      <c r="R12" s="43">
        <f t="shared" si="3"/>
        <v>7.0763569413847538</v>
      </c>
      <c r="S12" s="33">
        <v>9.39</v>
      </c>
      <c r="T12" s="43">
        <v>1908.79</v>
      </c>
      <c r="U12" s="47">
        <f t="shared" si="4"/>
        <v>7.6710081553113998</v>
      </c>
      <c r="V12" s="48">
        <v>9.14</v>
      </c>
      <c r="W12" s="43">
        <v>1935.44</v>
      </c>
      <c r="X12" s="43">
        <f t="shared" si="5"/>
        <v>14.577960423244715</v>
      </c>
      <c r="Y12" s="33">
        <v>9.1300000000000008</v>
      </c>
      <c r="Z12" s="43">
        <v>1111.29</v>
      </c>
      <c r="AA12" s="47">
        <f t="shared" si="6"/>
        <v>8.3354147680606658</v>
      </c>
      <c r="AB12" s="48">
        <v>9.11</v>
      </c>
      <c r="AC12" s="43">
        <v>1244.51</v>
      </c>
      <c r="AD12" s="47">
        <f t="shared" si="7"/>
        <v>6.4323441196339202</v>
      </c>
    </row>
    <row r="13" spans="2:30" s="8" customFormat="1">
      <c r="C13" s="67" t="s">
        <v>42</v>
      </c>
      <c r="D13" s="35" t="s">
        <v>43</v>
      </c>
      <c r="E13" s="35" t="s">
        <v>44</v>
      </c>
      <c r="F13" s="36" t="s">
        <v>34</v>
      </c>
      <c r="G13" s="33" t="s">
        <v>37</v>
      </c>
      <c r="H13" s="43">
        <v>0</v>
      </c>
      <c r="I13" s="47">
        <f t="shared" si="0"/>
        <v>0</v>
      </c>
      <c r="J13" s="48" t="s">
        <v>37</v>
      </c>
      <c r="K13" s="43">
        <v>0</v>
      </c>
      <c r="L13" s="43">
        <f t="shared" si="1"/>
        <v>0</v>
      </c>
      <c r="M13" s="33" t="s">
        <v>37</v>
      </c>
      <c r="N13" s="43">
        <v>0</v>
      </c>
      <c r="O13" s="47">
        <f t="shared" si="2"/>
        <v>0</v>
      </c>
      <c r="P13" s="63">
        <v>10.67</v>
      </c>
      <c r="Q13" s="51">
        <v>1451.1</v>
      </c>
      <c r="R13" s="51">
        <f t="shared" si="3"/>
        <v>3.4208041754037319</v>
      </c>
      <c r="S13" s="33" t="s">
        <v>37</v>
      </c>
      <c r="T13" s="43">
        <v>0</v>
      </c>
      <c r="U13" s="47">
        <f t="shared" si="4"/>
        <v>0</v>
      </c>
      <c r="V13" s="48" t="s">
        <v>37</v>
      </c>
      <c r="W13" s="43">
        <v>0</v>
      </c>
      <c r="X13" s="43">
        <f t="shared" si="5"/>
        <v>0</v>
      </c>
      <c r="Y13" s="33" t="s">
        <v>37</v>
      </c>
      <c r="Z13" s="43">
        <v>0</v>
      </c>
      <c r="AA13" s="47">
        <f t="shared" si="6"/>
        <v>0</v>
      </c>
      <c r="AB13" s="48" t="s">
        <v>37</v>
      </c>
      <c r="AC13" s="43">
        <v>0</v>
      </c>
      <c r="AD13" s="47">
        <f t="shared" si="7"/>
        <v>0</v>
      </c>
    </row>
    <row r="14" spans="2:30" s="8" customFormat="1">
      <c r="C14" s="67">
        <v>628</v>
      </c>
      <c r="D14" s="35" t="s">
        <v>45</v>
      </c>
      <c r="E14" s="73" t="s">
        <v>46</v>
      </c>
      <c r="F14" s="52" t="s">
        <v>47</v>
      </c>
      <c r="G14" s="33" t="s">
        <v>53</v>
      </c>
      <c r="H14" s="43">
        <v>673.1</v>
      </c>
      <c r="I14" s="47">
        <f t="shared" si="0"/>
        <v>3.9058986555375736</v>
      </c>
      <c r="J14" s="48" t="s">
        <v>48</v>
      </c>
      <c r="K14" s="43">
        <v>587.92999999999995</v>
      </c>
      <c r="L14" s="43">
        <f t="shared" si="1"/>
        <v>3.1905414146851845</v>
      </c>
      <c r="M14" s="33" t="s">
        <v>49</v>
      </c>
      <c r="N14" s="43">
        <v>732.61</v>
      </c>
      <c r="O14" s="47">
        <f t="shared" si="2"/>
        <v>3.5465202121299404</v>
      </c>
      <c r="P14" s="48" t="s">
        <v>50</v>
      </c>
      <c r="Q14" s="43">
        <v>629.55999999999995</v>
      </c>
      <c r="R14" s="43">
        <f t="shared" si="3"/>
        <v>1.4841165162064458</v>
      </c>
      <c r="S14" s="33" t="s">
        <v>51</v>
      </c>
      <c r="T14" s="43">
        <v>721.74</v>
      </c>
      <c r="U14" s="47">
        <f t="shared" si="4"/>
        <v>2.9005146852270021</v>
      </c>
      <c r="V14" s="65" t="s">
        <v>37</v>
      </c>
      <c r="W14" s="46">
        <v>0</v>
      </c>
      <c r="X14" s="46">
        <f t="shared" si="5"/>
        <v>0</v>
      </c>
      <c r="Y14" s="33" t="s">
        <v>51</v>
      </c>
      <c r="Z14" s="43">
        <v>478.49</v>
      </c>
      <c r="AA14" s="47">
        <f t="shared" si="6"/>
        <v>3.5889935231751817</v>
      </c>
      <c r="AB14" s="48" t="s">
        <v>52</v>
      </c>
      <c r="AC14" s="43">
        <v>456.1</v>
      </c>
      <c r="AD14" s="47">
        <f t="shared" si="7"/>
        <v>2.3573873676909236</v>
      </c>
    </row>
    <row r="15" spans="2:30" s="8" customFormat="1">
      <c r="C15" s="67">
        <v>716</v>
      </c>
      <c r="D15" s="35" t="s">
        <v>54</v>
      </c>
      <c r="E15" s="73" t="s">
        <v>135</v>
      </c>
      <c r="F15" s="31" t="s">
        <v>28</v>
      </c>
      <c r="G15" s="33">
        <v>10.76</v>
      </c>
      <c r="H15" s="43">
        <v>1684.38</v>
      </c>
      <c r="I15" s="47">
        <f t="shared" si="0"/>
        <v>9.7742052851201571</v>
      </c>
      <c r="J15" s="48">
        <v>10.64</v>
      </c>
      <c r="K15" s="43">
        <v>2017.08</v>
      </c>
      <c r="L15" s="43">
        <f t="shared" si="1"/>
        <v>10.946162428746945</v>
      </c>
      <c r="M15" s="33">
        <v>10.63</v>
      </c>
      <c r="N15" s="43">
        <v>2395.9699999999998</v>
      </c>
      <c r="O15" s="47">
        <f t="shared" si="2"/>
        <v>11.598744260461872</v>
      </c>
      <c r="P15" s="48">
        <v>10.67</v>
      </c>
      <c r="Q15" s="43">
        <v>1984.99</v>
      </c>
      <c r="R15" s="43">
        <f t="shared" si="3"/>
        <v>4.6793894839326402</v>
      </c>
      <c r="S15" s="33">
        <v>10.95</v>
      </c>
      <c r="T15" s="43">
        <v>2463.63</v>
      </c>
      <c r="U15" s="47">
        <f t="shared" si="4"/>
        <v>9.9007883641835015</v>
      </c>
      <c r="V15" s="48">
        <v>10.85</v>
      </c>
      <c r="W15" s="43">
        <v>2598.11</v>
      </c>
      <c r="X15" s="43">
        <f t="shared" si="5"/>
        <v>19.56926836028827</v>
      </c>
      <c r="Y15" s="33">
        <v>10.9</v>
      </c>
      <c r="Z15" s="43">
        <v>1735.58</v>
      </c>
      <c r="AA15" s="47">
        <f t="shared" si="6"/>
        <v>13.018005347974631</v>
      </c>
      <c r="AB15" s="48">
        <v>10.82</v>
      </c>
      <c r="AC15" s="43">
        <v>1441.47</v>
      </c>
      <c r="AD15" s="47">
        <f t="shared" si="7"/>
        <v>7.4503467855852561</v>
      </c>
    </row>
    <row r="16" spans="2:30" s="8" customFormat="1">
      <c r="C16" s="68" t="s">
        <v>56</v>
      </c>
      <c r="D16" s="35" t="s">
        <v>57</v>
      </c>
      <c r="E16" s="73" t="s">
        <v>136</v>
      </c>
      <c r="F16" s="31" t="s">
        <v>28</v>
      </c>
      <c r="G16" s="33">
        <v>10.64</v>
      </c>
      <c r="H16" s="43">
        <v>520.61</v>
      </c>
      <c r="I16" s="47">
        <f t="shared" si="0"/>
        <v>3.0210219864201693</v>
      </c>
      <c r="J16" s="48" t="s">
        <v>58</v>
      </c>
      <c r="K16" s="43">
        <v>662.55</v>
      </c>
      <c r="L16" s="43">
        <f t="shared" si="1"/>
        <v>3.5954845207757193</v>
      </c>
      <c r="M16" s="33">
        <v>10.51</v>
      </c>
      <c r="N16" s="43">
        <v>935.43</v>
      </c>
      <c r="O16" s="47">
        <f t="shared" si="2"/>
        <v>4.5283594300278587</v>
      </c>
      <c r="P16" s="48" t="s">
        <v>59</v>
      </c>
      <c r="Q16" s="43">
        <v>779.87</v>
      </c>
      <c r="R16" s="43">
        <f t="shared" si="3"/>
        <v>1.8384553457874087</v>
      </c>
      <c r="S16" s="33">
        <v>10.89</v>
      </c>
      <c r="T16" s="43">
        <v>895.5</v>
      </c>
      <c r="U16" s="47">
        <f t="shared" si="4"/>
        <v>3.5988179962601223</v>
      </c>
      <c r="V16" s="48" t="s">
        <v>60</v>
      </c>
      <c r="W16" s="43">
        <v>771.83</v>
      </c>
      <c r="X16" s="43">
        <f t="shared" si="5"/>
        <v>5.8135138229410206</v>
      </c>
      <c r="Y16" s="33" t="s">
        <v>61</v>
      </c>
      <c r="Z16" s="43">
        <v>556.01</v>
      </c>
      <c r="AA16" s="47">
        <f t="shared" si="6"/>
        <v>4.1704451270050216</v>
      </c>
      <c r="AB16" s="48" t="s">
        <v>62</v>
      </c>
      <c r="AC16" s="43">
        <v>527.97</v>
      </c>
      <c r="AD16" s="47">
        <f t="shared" si="7"/>
        <v>2.7288529018192875</v>
      </c>
    </row>
    <row r="17" spans="2:30" s="8" customFormat="1">
      <c r="C17" s="67">
        <v>749</v>
      </c>
      <c r="D17" s="35" t="s">
        <v>63</v>
      </c>
      <c r="E17" s="73" t="s">
        <v>64</v>
      </c>
      <c r="F17" s="36">
        <v>0</v>
      </c>
      <c r="G17" s="33" t="s">
        <v>37</v>
      </c>
      <c r="H17" s="43">
        <v>0</v>
      </c>
      <c r="I17" s="47">
        <f t="shared" si="0"/>
        <v>0</v>
      </c>
      <c r="J17" s="48" t="s">
        <v>37</v>
      </c>
      <c r="K17" s="43">
        <v>0</v>
      </c>
      <c r="L17" s="43">
        <f t="shared" si="1"/>
        <v>0</v>
      </c>
      <c r="M17" s="33" t="s">
        <v>37</v>
      </c>
      <c r="N17" s="43">
        <v>0</v>
      </c>
      <c r="O17" s="47">
        <f t="shared" si="2"/>
        <v>0</v>
      </c>
      <c r="P17" s="63">
        <v>13.41</v>
      </c>
      <c r="Q17" s="51">
        <v>17682.23</v>
      </c>
      <c r="R17" s="51">
        <f t="shared" si="3"/>
        <v>41.683857910860127</v>
      </c>
      <c r="S17" s="33" t="s">
        <v>37</v>
      </c>
      <c r="T17" s="43">
        <v>0</v>
      </c>
      <c r="U17" s="47">
        <f t="shared" si="4"/>
        <v>0</v>
      </c>
      <c r="V17" s="48" t="s">
        <v>37</v>
      </c>
      <c r="W17" s="43">
        <v>0</v>
      </c>
      <c r="X17" s="43">
        <f t="shared" si="5"/>
        <v>0</v>
      </c>
      <c r="Y17" s="33" t="s">
        <v>37</v>
      </c>
      <c r="Z17" s="43">
        <v>0</v>
      </c>
      <c r="AA17" s="47">
        <f t="shared" si="6"/>
        <v>0</v>
      </c>
      <c r="AB17" s="48" t="s">
        <v>37</v>
      </c>
      <c r="AC17" s="43">
        <v>0</v>
      </c>
      <c r="AD17" s="47">
        <f t="shared" si="7"/>
        <v>0</v>
      </c>
    </row>
    <row r="18" spans="2:30" s="8" customFormat="1" ht="14.7" thickBot="1">
      <c r="C18" s="69" t="s">
        <v>65</v>
      </c>
      <c r="D18" s="54"/>
      <c r="E18" s="54"/>
      <c r="F18" s="55"/>
      <c r="G18" s="61"/>
      <c r="H18" s="57">
        <f>SUM(H9:H17)</f>
        <v>17232.91</v>
      </c>
      <c r="I18" s="58"/>
      <c r="J18" s="56"/>
      <c r="K18" s="57">
        <f>SUM(K9:K17)</f>
        <v>18427.28</v>
      </c>
      <c r="L18" s="56"/>
      <c r="M18" s="61"/>
      <c r="N18" s="57">
        <f>SUM(N9:N17)</f>
        <v>20657.150000000001</v>
      </c>
      <c r="O18" s="58"/>
      <c r="P18" s="56"/>
      <c r="Q18" s="57">
        <f>SUM(Q9:Q17)</f>
        <v>42419.85</v>
      </c>
      <c r="R18" s="56"/>
      <c r="S18" s="61"/>
      <c r="T18" s="57">
        <f>SUM(T9:T17)</f>
        <v>24883.170000000006</v>
      </c>
      <c r="U18" s="58"/>
      <c r="V18" s="56"/>
      <c r="W18" s="57">
        <f>SUM(W9:W17)</f>
        <v>13276.480000000001</v>
      </c>
      <c r="X18" s="56"/>
      <c r="Y18" s="61"/>
      <c r="Z18" s="57">
        <f>SUM(Z9:Z17)</f>
        <v>13332.15</v>
      </c>
      <c r="AA18" s="58"/>
      <c r="AB18" s="56"/>
      <c r="AC18" s="57">
        <f>SUM(AC9:AC17)</f>
        <v>19347.689999999999</v>
      </c>
      <c r="AD18" s="58"/>
    </row>
    <row r="19" spans="2:30" s="8" customFormat="1">
      <c r="E19" s="7"/>
    </row>
    <row r="20" spans="2:30" s="8" customFormat="1">
      <c r="E20" s="7"/>
    </row>
    <row r="21" spans="2:30" s="8" customFormat="1" ht="23.35">
      <c r="B21" s="126" t="s">
        <v>138</v>
      </c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</row>
    <row r="22" spans="2:30" s="8" customFormat="1" ht="14.7" thickBot="1"/>
    <row r="23" spans="2:30" s="8" customFormat="1" ht="21" thickBot="1">
      <c r="B23" s="27"/>
      <c r="C23" s="27"/>
      <c r="D23" s="27"/>
      <c r="E23" s="28"/>
      <c r="F23" s="27"/>
      <c r="G23" s="127" t="s">
        <v>122</v>
      </c>
      <c r="H23" s="128"/>
      <c r="I23" s="129"/>
      <c r="J23" s="130" t="s">
        <v>7</v>
      </c>
      <c r="K23" s="130"/>
      <c r="L23" s="130"/>
      <c r="M23" s="131" t="s">
        <v>8</v>
      </c>
      <c r="N23" s="132"/>
      <c r="O23" s="133"/>
      <c r="P23" s="134" t="s">
        <v>9</v>
      </c>
      <c r="Q23" s="134"/>
      <c r="R23" s="134"/>
      <c r="S23" s="135" t="s">
        <v>10</v>
      </c>
      <c r="T23" s="136"/>
      <c r="U23" s="137"/>
      <c r="V23" s="138" t="s">
        <v>11</v>
      </c>
      <c r="W23" s="138"/>
      <c r="X23" s="138"/>
      <c r="Y23" s="139" t="s">
        <v>12</v>
      </c>
      <c r="Z23" s="140"/>
      <c r="AA23" s="141"/>
      <c r="AB23" s="142" t="s">
        <v>13</v>
      </c>
      <c r="AC23" s="142"/>
      <c r="AD23" s="143"/>
    </row>
    <row r="24" spans="2:30" s="8" customFormat="1" ht="16.350000000000001">
      <c r="C24" s="37" t="s">
        <v>127</v>
      </c>
      <c r="D24" s="38" t="s">
        <v>128</v>
      </c>
      <c r="E24" s="39" t="s">
        <v>129</v>
      </c>
      <c r="F24" s="59" t="s">
        <v>130</v>
      </c>
      <c r="G24" s="37" t="s">
        <v>91</v>
      </c>
      <c r="H24" s="40" t="s">
        <v>92</v>
      </c>
      <c r="I24" s="42" t="s">
        <v>25</v>
      </c>
      <c r="J24" s="60" t="s">
        <v>84</v>
      </c>
      <c r="K24" s="41" t="s">
        <v>146</v>
      </c>
      <c r="L24" s="62" t="s">
        <v>18</v>
      </c>
      <c r="M24" s="64" t="s">
        <v>86</v>
      </c>
      <c r="N24" s="41" t="s">
        <v>147</v>
      </c>
      <c r="O24" s="42" t="s">
        <v>19</v>
      </c>
      <c r="P24" s="60" t="s">
        <v>94</v>
      </c>
      <c r="Q24" s="41" t="s">
        <v>87</v>
      </c>
      <c r="R24" s="62" t="s">
        <v>20</v>
      </c>
      <c r="S24" s="64" t="s">
        <v>88</v>
      </c>
      <c r="T24" s="41" t="s">
        <v>89</v>
      </c>
      <c r="U24" s="42" t="s">
        <v>21</v>
      </c>
      <c r="V24" s="60" t="s">
        <v>148</v>
      </c>
      <c r="W24" s="41" t="s">
        <v>95</v>
      </c>
      <c r="X24" s="62" t="s">
        <v>22</v>
      </c>
      <c r="Y24" s="64" t="s">
        <v>149</v>
      </c>
      <c r="Z24" s="41" t="s">
        <v>150</v>
      </c>
      <c r="AA24" s="42" t="s">
        <v>23</v>
      </c>
      <c r="AB24" s="60" t="s">
        <v>151</v>
      </c>
      <c r="AC24" s="41" t="s">
        <v>152</v>
      </c>
      <c r="AD24" s="42" t="s">
        <v>24</v>
      </c>
    </row>
    <row r="25" spans="2:30" s="8" customFormat="1">
      <c r="C25" s="45" t="s">
        <v>66</v>
      </c>
      <c r="D25" s="72" t="s">
        <v>67</v>
      </c>
      <c r="E25" s="70" t="s">
        <v>68</v>
      </c>
      <c r="F25" s="31" t="s">
        <v>139</v>
      </c>
      <c r="G25" s="33">
        <v>16.079999999999998</v>
      </c>
      <c r="H25" s="43">
        <v>47135.47</v>
      </c>
      <c r="I25" s="47">
        <f>H25/$H$28*100</f>
        <v>10.928783369235543</v>
      </c>
      <c r="J25" s="48">
        <v>16.440000000000001</v>
      </c>
      <c r="K25" s="43">
        <v>29703.040000000001</v>
      </c>
      <c r="L25" s="43">
        <f>K25/$K$28*100</f>
        <v>11.157960985768446</v>
      </c>
      <c r="M25" s="33">
        <v>16.399999999999999</v>
      </c>
      <c r="N25" s="43">
        <v>36810.97</v>
      </c>
      <c r="O25" s="47">
        <f>N25/$N$28*100</f>
        <v>8.2597332928128662</v>
      </c>
      <c r="P25" s="48">
        <v>16.329999999999998</v>
      </c>
      <c r="Q25" s="43">
        <v>31067.99</v>
      </c>
      <c r="R25" s="43">
        <f>Q25/$Q$28*100</f>
        <v>11.336596382519685</v>
      </c>
      <c r="S25" s="33">
        <v>16.190000000000001</v>
      </c>
      <c r="T25" s="43">
        <v>53884.62</v>
      </c>
      <c r="U25" s="47">
        <f>T25/$T$28*100</f>
        <v>10.262880143494305</v>
      </c>
      <c r="V25" s="48">
        <v>16.09</v>
      </c>
      <c r="W25" s="43">
        <v>41109.49</v>
      </c>
      <c r="X25" s="43">
        <f>W25/$W$28*100</f>
        <v>28.08123672639622</v>
      </c>
      <c r="Y25" s="33">
        <v>16.11</v>
      </c>
      <c r="Z25" s="43">
        <v>44397.53</v>
      </c>
      <c r="AA25" s="47">
        <f>Z25/$Z$28*100</f>
        <v>12.416929893190005</v>
      </c>
      <c r="AB25" s="48">
        <v>16.09</v>
      </c>
      <c r="AC25" s="43">
        <v>46089.91</v>
      </c>
      <c r="AD25" s="47">
        <f>AC25/$AC$28*100</f>
        <v>13.873022556151989</v>
      </c>
    </row>
    <row r="26" spans="2:30" s="8" customFormat="1">
      <c r="C26" s="45">
        <v>1520</v>
      </c>
      <c r="D26" s="35" t="s">
        <v>69</v>
      </c>
      <c r="E26" s="74" t="s">
        <v>70</v>
      </c>
      <c r="F26" s="31" t="s">
        <v>140</v>
      </c>
      <c r="G26" s="33">
        <v>17.14</v>
      </c>
      <c r="H26" s="43">
        <v>378583.62</v>
      </c>
      <c r="I26" s="47">
        <f>H26/$H$28*100</f>
        <v>87.778023007323114</v>
      </c>
      <c r="J26" s="48">
        <v>17.5</v>
      </c>
      <c r="K26" s="43">
        <v>232429.52</v>
      </c>
      <c r="L26" s="43">
        <f>K26/$K$28*100</f>
        <v>87.31225881596248</v>
      </c>
      <c r="M26" s="33">
        <v>17.46</v>
      </c>
      <c r="N26" s="43">
        <v>403646.15</v>
      </c>
      <c r="O26" s="47">
        <f>N26/$N$28*100</f>
        <v>90.571086381878459</v>
      </c>
      <c r="P26" s="48">
        <v>17.28</v>
      </c>
      <c r="Q26" s="43">
        <v>238072.94</v>
      </c>
      <c r="R26" s="43">
        <f>Q26/$Q$28*100</f>
        <v>86.871948599823355</v>
      </c>
      <c r="S26" s="33">
        <v>17.260000000000002</v>
      </c>
      <c r="T26" s="43">
        <v>465323.13</v>
      </c>
      <c r="U26" s="47">
        <f>T26/$T$28*100</f>
        <v>88.625576485194074</v>
      </c>
      <c r="V26" s="48">
        <v>17.18</v>
      </c>
      <c r="W26" s="43">
        <v>105285.38</v>
      </c>
      <c r="X26" s="43">
        <f>W26/$W$28*100</f>
        <v>71.918763273603787</v>
      </c>
      <c r="Y26" s="33">
        <v>17.170000000000002</v>
      </c>
      <c r="Z26" s="43">
        <v>308063.65999999997</v>
      </c>
      <c r="AA26" s="47">
        <f>Z26/$Z$28*100</f>
        <v>86.158055839131649</v>
      </c>
      <c r="AB26" s="48">
        <v>17.149999999999999</v>
      </c>
      <c r="AC26" s="43">
        <v>281424.25</v>
      </c>
      <c r="AD26" s="47">
        <f>AC26/$AC$28*100</f>
        <v>84.708452850052353</v>
      </c>
    </row>
    <row r="27" spans="2:30" s="8" customFormat="1">
      <c r="C27" s="45">
        <v>1723</v>
      </c>
      <c r="D27" s="35" t="s">
        <v>71</v>
      </c>
      <c r="E27" s="74" t="s">
        <v>72</v>
      </c>
      <c r="F27" s="31" t="s">
        <v>140</v>
      </c>
      <c r="G27" s="33">
        <v>16.79</v>
      </c>
      <c r="H27" s="43">
        <v>5577.5</v>
      </c>
      <c r="I27" s="47">
        <f>H27/$H$28*100</f>
        <v>1.2931936234413541</v>
      </c>
      <c r="J27" s="48">
        <v>17.14</v>
      </c>
      <c r="K27" s="43">
        <v>4072.35</v>
      </c>
      <c r="L27" s="43">
        <f>K27/$K$28*100</f>
        <v>1.5297801982690702</v>
      </c>
      <c r="M27" s="33">
        <v>17.11</v>
      </c>
      <c r="N27" s="43">
        <v>5210.66</v>
      </c>
      <c r="O27" s="47">
        <f>N27/$N$28*100</f>
        <v>1.1691803253086863</v>
      </c>
      <c r="P27" s="48">
        <v>16.989999999999998</v>
      </c>
      <c r="Q27" s="43">
        <v>4909.49</v>
      </c>
      <c r="R27" s="43">
        <f>Q27/$Q$28*100</f>
        <v>1.7914550176569697</v>
      </c>
      <c r="S27" s="33">
        <v>16.899999999999999</v>
      </c>
      <c r="T27" s="43">
        <v>5836.09</v>
      </c>
      <c r="U27" s="47">
        <f>T27/$T$28*100</f>
        <v>1.1115433713116223</v>
      </c>
      <c r="V27" s="65" t="s">
        <v>37</v>
      </c>
      <c r="W27" s="46">
        <v>0</v>
      </c>
      <c r="X27" s="46">
        <f>W27/$W$28*100</f>
        <v>0</v>
      </c>
      <c r="Y27" s="33">
        <v>16.82</v>
      </c>
      <c r="Z27" s="43">
        <v>5095.2299999999996</v>
      </c>
      <c r="AA27" s="47">
        <f>Z27/$Z$28*100</f>
        <v>1.425014267678371</v>
      </c>
      <c r="AB27" s="48">
        <v>16.8</v>
      </c>
      <c r="AC27" s="43">
        <v>4712.72</v>
      </c>
      <c r="AD27" s="47">
        <f>AC27/$AC$28*100</f>
        <v>1.4185245937956616</v>
      </c>
    </row>
    <row r="28" spans="2:30" s="8" customFormat="1" ht="14.7" thickBot="1">
      <c r="C28" s="53" t="s">
        <v>65</v>
      </c>
      <c r="D28" s="54"/>
      <c r="E28" s="71"/>
      <c r="F28" s="55"/>
      <c r="G28" s="61"/>
      <c r="H28" s="57">
        <f>SUM(H25:H27)</f>
        <v>431296.58999999997</v>
      </c>
      <c r="I28" s="58"/>
      <c r="J28" s="56"/>
      <c r="K28" s="57">
        <f>SUM(K25:K27)</f>
        <v>266204.90999999997</v>
      </c>
      <c r="L28" s="56"/>
      <c r="M28" s="61"/>
      <c r="N28" s="57">
        <f>SUM(N25:N27)</f>
        <v>445667.77999999997</v>
      </c>
      <c r="O28" s="58"/>
      <c r="P28" s="56"/>
      <c r="Q28" s="57">
        <f>SUM(Q25:Q27)</f>
        <v>274050.42</v>
      </c>
      <c r="R28" s="56"/>
      <c r="S28" s="61"/>
      <c r="T28" s="57">
        <f>SUM(T25:T27)</f>
        <v>525043.84</v>
      </c>
      <c r="U28" s="58"/>
      <c r="V28" s="56"/>
      <c r="W28" s="57">
        <f>SUM(W25:W27)</f>
        <v>146394.87</v>
      </c>
      <c r="X28" s="56"/>
      <c r="Y28" s="61"/>
      <c r="Z28" s="57">
        <f>SUM(Z25:Z27)</f>
        <v>357556.41999999993</v>
      </c>
      <c r="AA28" s="58"/>
      <c r="AB28" s="56"/>
      <c r="AC28" s="57">
        <f>SUM(AC25:AC27)</f>
        <v>332226.88</v>
      </c>
      <c r="AD28" s="58"/>
    </row>
    <row r="30" spans="2:30">
      <c r="E30" t="s">
        <v>142</v>
      </c>
    </row>
    <row r="31" spans="2:30">
      <c r="E31" t="s">
        <v>141</v>
      </c>
    </row>
    <row r="33" spans="1:30" s="8" customFormat="1" ht="20.7">
      <c r="C33" s="34" t="s">
        <v>73</v>
      </c>
      <c r="E33" s="7"/>
    </row>
    <row r="34" spans="1:30">
      <c r="C34" s="1" t="s">
        <v>74</v>
      </c>
      <c r="D34" t="s">
        <v>75</v>
      </c>
    </row>
    <row r="35" spans="1:30">
      <c r="C35" s="1" t="s">
        <v>76</v>
      </c>
      <c r="D35" t="s">
        <v>77</v>
      </c>
    </row>
    <row r="36" spans="1:30">
      <c r="C36" s="1" t="s">
        <v>78</v>
      </c>
      <c r="D36" t="s">
        <v>79</v>
      </c>
    </row>
    <row r="37" spans="1:30">
      <c r="D37" t="s">
        <v>80</v>
      </c>
    </row>
    <row r="38" spans="1:30">
      <c r="C38" s="1" t="s">
        <v>81</v>
      </c>
      <c r="D38" t="s">
        <v>143</v>
      </c>
    </row>
    <row r="39" spans="1:30" s="1" customFormat="1">
      <c r="A39"/>
      <c r="B39"/>
      <c r="C39" s="1" t="s">
        <v>144</v>
      </c>
      <c r="D39" t="s">
        <v>82</v>
      </c>
      <c r="F39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0" s="1" customFormat="1">
      <c r="A40"/>
      <c r="B40"/>
      <c r="C40" s="1" t="s">
        <v>145</v>
      </c>
      <c r="D40" t="s">
        <v>83</v>
      </c>
      <c r="F40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2" spans="1:30">
      <c r="C42" s="75"/>
      <c r="D42" s="76" t="s">
        <v>153</v>
      </c>
    </row>
    <row r="43" spans="1:30">
      <c r="C43" s="77"/>
      <c r="D43" s="76" t="s">
        <v>154</v>
      </c>
    </row>
  </sheetData>
  <mergeCells count="19">
    <mergeCell ref="V23:X23"/>
    <mergeCell ref="Y23:AA23"/>
    <mergeCell ref="AB23:AD23"/>
    <mergeCell ref="G23:I23"/>
    <mergeCell ref="J23:L23"/>
    <mergeCell ref="M23:O23"/>
    <mergeCell ref="P23:R23"/>
    <mergeCell ref="S23:U23"/>
    <mergeCell ref="B1:V1"/>
    <mergeCell ref="B5:AD5"/>
    <mergeCell ref="B21:AD21"/>
    <mergeCell ref="G7:I7"/>
    <mergeCell ref="J7:L7"/>
    <mergeCell ref="M7:O7"/>
    <mergeCell ref="P7:R7"/>
    <mergeCell ref="S7:U7"/>
    <mergeCell ref="V7:X7"/>
    <mergeCell ref="Y7:AA7"/>
    <mergeCell ref="AB7:AD7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654B-0785-4ADC-9C06-C6344A224E5F}">
  <dimension ref="A1:AX40"/>
  <sheetViews>
    <sheetView zoomScale="70" zoomScaleNormal="70" workbookViewId="0">
      <selection sqref="A1:S1"/>
    </sheetView>
  </sheetViews>
  <sheetFormatPr defaultRowHeight="14.35"/>
  <cols>
    <col min="2" max="2" width="12.87890625" customWidth="1"/>
    <col min="3" max="3" width="19.76171875" customWidth="1"/>
    <col min="4" max="4" width="62.52734375" style="1" customWidth="1"/>
    <col min="5" max="5" width="11.87890625" customWidth="1"/>
    <col min="6" max="6" width="7.41015625" customWidth="1"/>
    <col min="7" max="7" width="8.76171875" customWidth="1"/>
    <col min="8" max="8" width="5" customWidth="1"/>
    <col min="9" max="9" width="7.41015625" customWidth="1"/>
    <col min="10" max="10" width="10.17578125" customWidth="1"/>
    <col min="11" max="11" width="5.64453125" customWidth="1"/>
    <col min="12" max="12" width="7.41015625" customWidth="1"/>
    <col min="13" max="13" width="9" customWidth="1"/>
    <col min="14" max="14" width="5.5859375" customWidth="1"/>
    <col min="15" max="15" width="7.41015625" style="1" customWidth="1"/>
    <col min="16" max="16" width="8.52734375" customWidth="1"/>
    <col min="17" max="17" width="6.29296875" customWidth="1"/>
    <col min="18" max="18" width="7.41015625" customWidth="1"/>
    <col min="19" max="19" width="9" customWidth="1"/>
    <col min="20" max="20" width="5.8203125" customWidth="1"/>
    <col min="21" max="21" width="7.41015625" customWidth="1"/>
    <col min="22" max="22" width="9" customWidth="1"/>
    <col min="23" max="23" width="5.46875" customWidth="1"/>
    <col min="24" max="24" width="7.41015625" customWidth="1"/>
    <col min="25" max="25" width="9.234375" customWidth="1"/>
    <col min="26" max="26" width="5.703125" customWidth="1"/>
    <col min="27" max="27" width="7.41015625" customWidth="1"/>
    <col min="28" max="28" width="8.76171875" customWidth="1"/>
    <col min="29" max="29" width="6.41015625" customWidth="1"/>
    <col min="30" max="30" width="7.41015625" customWidth="1"/>
    <col min="31" max="31" width="10.17578125" customWidth="1"/>
    <col min="32" max="32" width="6.41015625" customWidth="1"/>
    <col min="33" max="33" width="7.41015625" customWidth="1"/>
    <col min="34" max="34" width="9.76171875" customWidth="1"/>
    <col min="35" max="35" width="6.05859375" customWidth="1"/>
    <col min="36" max="36" width="7.41015625" customWidth="1"/>
    <col min="37" max="37" width="10.1171875" customWidth="1"/>
    <col min="38" max="38" width="6.29296875" customWidth="1"/>
    <col min="39" max="39" width="7.41015625" customWidth="1"/>
    <col min="40" max="40" width="8.52734375" customWidth="1"/>
    <col min="41" max="41" width="5.5859375" customWidth="1"/>
    <col min="42" max="42" width="7.41015625" customWidth="1"/>
    <col min="43" max="43" width="9.64453125" customWidth="1"/>
    <col min="44" max="44" width="6.8203125" customWidth="1"/>
    <col min="45" max="45" width="7.41015625" customWidth="1"/>
    <col min="46" max="46" width="9.17578125" customWidth="1"/>
    <col min="47" max="47" width="5.46875" customWidth="1"/>
    <col min="48" max="48" width="7.41015625" customWidth="1"/>
    <col min="49" max="49" width="9.234375" customWidth="1"/>
    <col min="50" max="50" width="6.5859375" customWidth="1"/>
  </cols>
  <sheetData>
    <row r="1" spans="1:50" ht="34.700000000000003" customHeight="1">
      <c r="A1" s="172" t="s">
        <v>171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</row>
    <row r="2" spans="1:50" ht="20">
      <c r="B2" s="26"/>
    </row>
    <row r="3" spans="1:50">
      <c r="D3"/>
      <c r="E3" s="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50" ht="18.350000000000001" thickBot="1">
      <c r="A4" s="2"/>
    </row>
    <row r="5" spans="1:50" ht="20.7">
      <c r="F5" s="127" t="s">
        <v>122</v>
      </c>
      <c r="G5" s="128"/>
      <c r="H5" s="128"/>
      <c r="I5" s="128"/>
      <c r="J5" s="128"/>
      <c r="K5" s="128"/>
      <c r="L5" s="128"/>
      <c r="M5" s="128"/>
      <c r="N5" s="129"/>
      <c r="O5" s="145" t="s">
        <v>9</v>
      </c>
      <c r="P5" s="134"/>
      <c r="Q5" s="134"/>
      <c r="R5" s="134"/>
      <c r="S5" s="134"/>
      <c r="T5" s="134"/>
      <c r="U5" s="134"/>
      <c r="V5" s="134"/>
      <c r="W5" s="146"/>
      <c r="X5" s="135" t="s">
        <v>10</v>
      </c>
      <c r="Y5" s="136"/>
      <c r="Z5" s="136"/>
      <c r="AA5" s="136"/>
      <c r="AB5" s="136"/>
      <c r="AC5" s="136"/>
      <c r="AD5" s="136"/>
      <c r="AE5" s="136"/>
      <c r="AF5" s="137"/>
      <c r="AG5" s="156" t="s">
        <v>11</v>
      </c>
      <c r="AH5" s="138"/>
      <c r="AI5" s="138"/>
      <c r="AJ5" s="138"/>
      <c r="AK5" s="138"/>
      <c r="AL5" s="138"/>
      <c r="AM5" s="138"/>
      <c r="AN5" s="138"/>
      <c r="AO5" s="138"/>
      <c r="AP5" s="144" t="s">
        <v>13</v>
      </c>
      <c r="AQ5" s="142"/>
      <c r="AR5" s="142"/>
      <c r="AS5" s="142"/>
      <c r="AT5" s="142"/>
      <c r="AU5" s="142"/>
      <c r="AV5" s="142"/>
      <c r="AW5" s="142"/>
      <c r="AX5" s="143"/>
    </row>
    <row r="6" spans="1:50" s="27" customFormat="1" ht="20.7">
      <c r="D6" s="28"/>
      <c r="F6" s="147" t="s">
        <v>155</v>
      </c>
      <c r="G6" s="148"/>
      <c r="H6" s="148"/>
      <c r="I6" s="149" t="s">
        <v>156</v>
      </c>
      <c r="J6" s="148"/>
      <c r="K6" s="150"/>
      <c r="L6" s="148" t="s">
        <v>157</v>
      </c>
      <c r="M6" s="148"/>
      <c r="N6" s="151"/>
      <c r="O6" s="152" t="s">
        <v>155</v>
      </c>
      <c r="P6" s="153"/>
      <c r="Q6" s="153"/>
      <c r="R6" s="154" t="s">
        <v>156</v>
      </c>
      <c r="S6" s="153"/>
      <c r="T6" s="155"/>
      <c r="U6" s="153" t="s">
        <v>157</v>
      </c>
      <c r="V6" s="153"/>
      <c r="W6" s="157"/>
      <c r="X6" s="167" t="s">
        <v>155</v>
      </c>
      <c r="Y6" s="168"/>
      <c r="Z6" s="168"/>
      <c r="AA6" s="169" t="s">
        <v>156</v>
      </c>
      <c r="AB6" s="168"/>
      <c r="AC6" s="170"/>
      <c r="AD6" s="168" t="s">
        <v>157</v>
      </c>
      <c r="AE6" s="168"/>
      <c r="AF6" s="171"/>
      <c r="AG6" s="158" t="s">
        <v>155</v>
      </c>
      <c r="AH6" s="159"/>
      <c r="AI6" s="159"/>
      <c r="AJ6" s="160" t="s">
        <v>156</v>
      </c>
      <c r="AK6" s="159"/>
      <c r="AL6" s="161"/>
      <c r="AM6" s="159" t="s">
        <v>157</v>
      </c>
      <c r="AN6" s="159"/>
      <c r="AO6" s="159"/>
      <c r="AP6" s="162" t="s">
        <v>155</v>
      </c>
      <c r="AQ6" s="163"/>
      <c r="AR6" s="163"/>
      <c r="AS6" s="164" t="s">
        <v>156</v>
      </c>
      <c r="AT6" s="163"/>
      <c r="AU6" s="165"/>
      <c r="AV6" s="163" t="s">
        <v>157</v>
      </c>
      <c r="AW6" s="163"/>
      <c r="AX6" s="166"/>
    </row>
    <row r="7" spans="1:50" ht="16.350000000000001">
      <c r="B7" s="100" t="s">
        <v>14</v>
      </c>
      <c r="C7" s="4" t="s">
        <v>15</v>
      </c>
      <c r="D7" s="4" t="s">
        <v>16</v>
      </c>
      <c r="E7" s="79" t="s">
        <v>17</v>
      </c>
      <c r="F7" s="81" t="s">
        <v>91</v>
      </c>
      <c r="G7" s="12" t="s">
        <v>92</v>
      </c>
      <c r="H7" s="94" t="s">
        <v>23</v>
      </c>
      <c r="I7" s="12" t="s">
        <v>149</v>
      </c>
      <c r="J7" s="12" t="s">
        <v>147</v>
      </c>
      <c r="K7" s="12" t="s">
        <v>24</v>
      </c>
      <c r="L7" s="100" t="s">
        <v>151</v>
      </c>
      <c r="M7" s="3" t="s">
        <v>150</v>
      </c>
      <c r="N7" s="82" t="s">
        <v>25</v>
      </c>
      <c r="O7" s="88" t="s">
        <v>84</v>
      </c>
      <c r="P7" s="12" t="s">
        <v>85</v>
      </c>
      <c r="Q7" s="99" t="s">
        <v>2</v>
      </c>
      <c r="R7" s="3" t="s">
        <v>86</v>
      </c>
      <c r="S7" s="12" t="s">
        <v>87</v>
      </c>
      <c r="T7" s="12" t="s">
        <v>4</v>
      </c>
      <c r="U7" s="87" t="s">
        <v>88</v>
      </c>
      <c r="V7" s="12" t="s">
        <v>89</v>
      </c>
      <c r="W7" s="82" t="s">
        <v>90</v>
      </c>
      <c r="X7" s="81" t="s">
        <v>160</v>
      </c>
      <c r="Y7" s="12" t="s">
        <v>152</v>
      </c>
      <c r="Z7" s="94" t="s">
        <v>20</v>
      </c>
      <c r="AA7" s="12" t="s">
        <v>161</v>
      </c>
      <c r="AB7" s="12" t="s">
        <v>162</v>
      </c>
      <c r="AC7" s="12" t="s">
        <v>21</v>
      </c>
      <c r="AD7" s="87" t="s">
        <v>163</v>
      </c>
      <c r="AE7" s="12" t="s">
        <v>164</v>
      </c>
      <c r="AF7" s="82" t="s">
        <v>22</v>
      </c>
      <c r="AG7" s="81" t="s">
        <v>148</v>
      </c>
      <c r="AH7" s="12" t="s">
        <v>146</v>
      </c>
      <c r="AI7" s="94" t="s">
        <v>93</v>
      </c>
      <c r="AJ7" s="12" t="s">
        <v>94</v>
      </c>
      <c r="AK7" s="12" t="s">
        <v>95</v>
      </c>
      <c r="AL7" s="12" t="s">
        <v>96</v>
      </c>
      <c r="AM7" s="87" t="s">
        <v>97</v>
      </c>
      <c r="AN7" s="12" t="s">
        <v>98</v>
      </c>
      <c r="AO7" s="94" t="s">
        <v>99</v>
      </c>
      <c r="AP7" s="81" t="s">
        <v>165</v>
      </c>
      <c r="AQ7" s="12" t="s">
        <v>166</v>
      </c>
      <c r="AR7" s="94" t="s">
        <v>100</v>
      </c>
      <c r="AS7" s="12" t="s">
        <v>167</v>
      </c>
      <c r="AT7" s="12" t="s">
        <v>168</v>
      </c>
      <c r="AU7" s="12" t="s">
        <v>18</v>
      </c>
      <c r="AV7" s="87" t="s">
        <v>169</v>
      </c>
      <c r="AW7" s="12" t="s">
        <v>170</v>
      </c>
      <c r="AX7" s="94" t="s">
        <v>19</v>
      </c>
    </row>
    <row r="8" spans="1:50">
      <c r="B8" s="112" t="s">
        <v>32</v>
      </c>
      <c r="C8" s="115" t="s">
        <v>27</v>
      </c>
      <c r="D8" s="5" t="s">
        <v>33</v>
      </c>
      <c r="E8" s="109" t="s">
        <v>34</v>
      </c>
      <c r="F8" s="6" t="s">
        <v>109</v>
      </c>
      <c r="G8" s="80">
        <v>12046</v>
      </c>
      <c r="H8" s="78">
        <f>G8/$G$13*100</f>
        <v>2.2675350664622504</v>
      </c>
      <c r="I8" s="13" t="s">
        <v>110</v>
      </c>
      <c r="J8" s="80">
        <v>13018.1</v>
      </c>
      <c r="K8" s="14">
        <f>J8/$J$13*100</f>
        <v>2.6690222551445122</v>
      </c>
      <c r="L8" s="80" t="s">
        <v>110</v>
      </c>
      <c r="M8" s="80">
        <v>9152.9</v>
      </c>
      <c r="N8" s="83">
        <f>M8/$M$13*100</f>
        <v>2.2120522614596521</v>
      </c>
      <c r="O8" s="6" t="s">
        <v>101</v>
      </c>
      <c r="P8" s="78">
        <v>19091.400000000001</v>
      </c>
      <c r="Q8" s="78">
        <f>P8/$P$13*100</f>
        <v>5.3164030334413148</v>
      </c>
      <c r="R8" s="16">
        <v>10.16</v>
      </c>
      <c r="S8" s="78">
        <v>14599.77</v>
      </c>
      <c r="T8" s="14">
        <f>S8/$S$13*100</f>
        <v>1.6521046062126268</v>
      </c>
      <c r="U8" s="80" t="s">
        <v>102</v>
      </c>
      <c r="V8" s="78">
        <v>12847.5</v>
      </c>
      <c r="W8" s="83">
        <f>V8/$V$13*100</f>
        <v>1.5391286209086492</v>
      </c>
      <c r="X8" s="6" t="s">
        <v>106</v>
      </c>
      <c r="Y8" s="80">
        <v>7642.6</v>
      </c>
      <c r="Z8" s="78">
        <f>Y8/$Y$13*100</f>
        <v>1.8087719594290361</v>
      </c>
      <c r="AA8" s="13" t="s">
        <v>107</v>
      </c>
      <c r="AB8" s="80">
        <v>8170.5</v>
      </c>
      <c r="AC8" s="14">
        <f>AB8/$AB$13*100</f>
        <v>1.461822703350935</v>
      </c>
      <c r="AD8" s="80" t="s">
        <v>108</v>
      </c>
      <c r="AE8" s="80">
        <v>7864.5</v>
      </c>
      <c r="AF8" s="83">
        <f>AE8/$AE$13*100</f>
        <v>1.3533944438808525</v>
      </c>
      <c r="AG8" s="103" t="s">
        <v>37</v>
      </c>
      <c r="AH8" s="104">
        <v>0</v>
      </c>
      <c r="AI8" s="104">
        <f>AH8/$AH$13*100</f>
        <v>0</v>
      </c>
      <c r="AJ8" s="105" t="s">
        <v>37</v>
      </c>
      <c r="AK8" s="104">
        <v>0</v>
      </c>
      <c r="AL8" s="106">
        <f>AK8/$AK$13*100</f>
        <v>0</v>
      </c>
      <c r="AM8" s="107" t="s">
        <v>37</v>
      </c>
      <c r="AN8" s="104">
        <v>0</v>
      </c>
      <c r="AO8" s="104">
        <f>AN8/$AN$13*100</f>
        <v>0</v>
      </c>
      <c r="AP8" s="6" t="s">
        <v>103</v>
      </c>
      <c r="AQ8" s="78">
        <v>10440.5</v>
      </c>
      <c r="AR8" s="78">
        <f>AQ8/$AQ$13*100</f>
        <v>1.6959958643074657</v>
      </c>
      <c r="AS8" s="13" t="s">
        <v>104</v>
      </c>
      <c r="AT8" s="78">
        <v>8728.9</v>
      </c>
      <c r="AU8" s="14">
        <f>AT8/$AT$13*100</f>
        <v>1.435255969711329</v>
      </c>
      <c r="AV8" s="80" t="s">
        <v>105</v>
      </c>
      <c r="AW8" s="78">
        <v>16149.1</v>
      </c>
      <c r="AX8" s="78">
        <f>AW8/$AW$13*100</f>
        <v>5.0702235267464015</v>
      </c>
    </row>
    <row r="9" spans="1:50">
      <c r="B9" s="112">
        <v>628</v>
      </c>
      <c r="C9" s="116" t="s">
        <v>45</v>
      </c>
      <c r="D9" s="15" t="s">
        <v>111</v>
      </c>
      <c r="E9" s="110" t="s">
        <v>47</v>
      </c>
      <c r="F9" s="6">
        <v>11.6</v>
      </c>
      <c r="G9" s="80">
        <v>8266.1</v>
      </c>
      <c r="H9" s="78">
        <f>G9/$G$13*100</f>
        <v>1.5560079373139311</v>
      </c>
      <c r="I9" s="13" t="s">
        <v>121</v>
      </c>
      <c r="J9" s="80">
        <v>6384.6</v>
      </c>
      <c r="K9" s="14">
        <f>J9/$J$13*100</f>
        <v>1.3089958972657803</v>
      </c>
      <c r="L9" s="80" t="s">
        <v>120</v>
      </c>
      <c r="M9" s="80">
        <v>2552.4</v>
      </c>
      <c r="N9" s="83">
        <f>M9/$M$13*100</f>
        <v>0.61685828449448976</v>
      </c>
      <c r="O9" s="6" t="s">
        <v>112</v>
      </c>
      <c r="P9" s="78">
        <v>7222.6</v>
      </c>
      <c r="Q9" s="78">
        <f>P9/$P$13*100</f>
        <v>2.0112853195330485</v>
      </c>
      <c r="R9" s="16" t="s">
        <v>113</v>
      </c>
      <c r="S9" s="78">
        <v>6063.5</v>
      </c>
      <c r="T9" s="14">
        <f>S9/$S$13*100</f>
        <v>0.68614343101091746</v>
      </c>
      <c r="U9" s="80" t="s">
        <v>114</v>
      </c>
      <c r="V9" s="78">
        <v>6951.7</v>
      </c>
      <c r="W9" s="83">
        <f>V9/$V$13*100</f>
        <v>0.83281264323570003</v>
      </c>
      <c r="X9" s="6" t="s">
        <v>118</v>
      </c>
      <c r="Y9" s="80">
        <v>3170.4</v>
      </c>
      <c r="Z9" s="78">
        <f>Y9/$Y$13*100</f>
        <v>0.75033766259830637</v>
      </c>
      <c r="AA9" s="13" t="s">
        <v>119</v>
      </c>
      <c r="AB9" s="80">
        <v>5073.3999999999996</v>
      </c>
      <c r="AC9" s="14">
        <f>AB9/$AB$13*100</f>
        <v>0.90770593025893542</v>
      </c>
      <c r="AD9" s="80" t="s">
        <v>120</v>
      </c>
      <c r="AE9" s="80">
        <v>4290.5</v>
      </c>
      <c r="AF9" s="83">
        <f>AE9/$AE$13*100</f>
        <v>0.73834812912083381</v>
      </c>
      <c r="AG9" s="103" t="s">
        <v>37</v>
      </c>
      <c r="AH9" s="104">
        <v>0</v>
      </c>
      <c r="AI9" s="104">
        <f>AH9/$AH$13*100</f>
        <v>0</v>
      </c>
      <c r="AJ9" s="105" t="s">
        <v>37</v>
      </c>
      <c r="AK9" s="104">
        <v>0</v>
      </c>
      <c r="AL9" s="106">
        <f>AK9/$AK$13*100</f>
        <v>0</v>
      </c>
      <c r="AM9" s="107" t="s">
        <v>37</v>
      </c>
      <c r="AN9" s="104">
        <v>0</v>
      </c>
      <c r="AO9" s="104">
        <f>AN9/$AN$13*100</f>
        <v>0</v>
      </c>
      <c r="AP9" s="6" t="s">
        <v>115</v>
      </c>
      <c r="AQ9" s="78">
        <v>4558.8999999999996</v>
      </c>
      <c r="AR9" s="78">
        <f>AQ9/$AQ$13*100</f>
        <v>0.74056563821572763</v>
      </c>
      <c r="AS9" s="13" t="s">
        <v>116</v>
      </c>
      <c r="AT9" s="78">
        <v>5140.1000000000004</v>
      </c>
      <c r="AU9" s="14">
        <f>AT9/$AT$13*100</f>
        <v>0.84516482144522254</v>
      </c>
      <c r="AV9" s="80" t="s">
        <v>117</v>
      </c>
      <c r="AW9" s="78">
        <v>6575.5</v>
      </c>
      <c r="AX9" s="78">
        <f>AW9/$AW$13*100</f>
        <v>2.0644651900180793</v>
      </c>
    </row>
    <row r="10" spans="1:50">
      <c r="B10" s="112">
        <v>716</v>
      </c>
      <c r="C10" s="116" t="s">
        <v>54</v>
      </c>
      <c r="D10" s="15" t="s">
        <v>55</v>
      </c>
      <c r="E10" s="109" t="s">
        <v>28</v>
      </c>
      <c r="F10" s="6" t="s">
        <v>37</v>
      </c>
      <c r="G10" s="78">
        <v>0</v>
      </c>
      <c r="H10" s="78">
        <f>G10/$G$13*100</f>
        <v>0</v>
      </c>
      <c r="I10" s="13" t="s">
        <v>37</v>
      </c>
      <c r="J10" s="78">
        <v>0</v>
      </c>
      <c r="K10" s="14">
        <f>J10/$J$13*100</f>
        <v>0</v>
      </c>
      <c r="L10" s="80" t="s">
        <v>37</v>
      </c>
      <c r="M10" s="78">
        <v>0</v>
      </c>
      <c r="N10" s="83">
        <f>M10/$M$13*100</f>
        <v>0</v>
      </c>
      <c r="O10" s="6" t="s">
        <v>37</v>
      </c>
      <c r="P10" s="78">
        <v>0</v>
      </c>
      <c r="Q10" s="78">
        <f>P10/$P$13*100</f>
        <v>0</v>
      </c>
      <c r="R10" s="108">
        <v>12.07</v>
      </c>
      <c r="S10" s="101">
        <v>3812.03</v>
      </c>
      <c r="T10" s="102">
        <f>S10/$S$13*100</f>
        <v>0.43136791346854919</v>
      </c>
      <c r="U10" s="80" t="s">
        <v>37</v>
      </c>
      <c r="V10" s="78">
        <v>0</v>
      </c>
      <c r="W10" s="83">
        <f>V10/$V$13*100</f>
        <v>0</v>
      </c>
      <c r="X10" s="6" t="s">
        <v>37</v>
      </c>
      <c r="Y10" s="78">
        <v>0</v>
      </c>
      <c r="Z10" s="78">
        <f>Y10/$Y$13*100</f>
        <v>0</v>
      </c>
      <c r="AA10" s="13" t="s">
        <v>37</v>
      </c>
      <c r="AB10" s="78">
        <v>0</v>
      </c>
      <c r="AC10" s="14">
        <f>AB10/$AB$13*100</f>
        <v>0</v>
      </c>
      <c r="AD10" s="80" t="s">
        <v>37</v>
      </c>
      <c r="AE10" s="78">
        <v>0</v>
      </c>
      <c r="AF10" s="83">
        <f>AE10/$AE$13*100</f>
        <v>0</v>
      </c>
      <c r="AG10" s="6" t="s">
        <v>37</v>
      </c>
      <c r="AH10" s="78">
        <v>0</v>
      </c>
      <c r="AI10" s="78">
        <f>AH10/$AH$13*100</f>
        <v>0</v>
      </c>
      <c r="AJ10" s="13" t="s">
        <v>37</v>
      </c>
      <c r="AK10" s="78">
        <v>0</v>
      </c>
      <c r="AL10" s="14">
        <f>AK10/$AK$13*100</f>
        <v>0</v>
      </c>
      <c r="AM10" s="80" t="s">
        <v>37</v>
      </c>
      <c r="AN10" s="78">
        <v>0</v>
      </c>
      <c r="AO10" s="78">
        <f>AN10/$AN$13*100</f>
        <v>0</v>
      </c>
      <c r="AP10" s="6" t="s">
        <v>37</v>
      </c>
      <c r="AQ10" s="78">
        <v>0</v>
      </c>
      <c r="AR10" s="78">
        <f>AQ10/$AQ$13*100</f>
        <v>0</v>
      </c>
      <c r="AS10" s="13" t="s">
        <v>37</v>
      </c>
      <c r="AT10" s="78">
        <v>0</v>
      </c>
      <c r="AU10" s="14">
        <f>AT10/$AT$13*100</f>
        <v>0</v>
      </c>
      <c r="AV10" s="80" t="s">
        <v>37</v>
      </c>
      <c r="AW10" s="78">
        <v>0</v>
      </c>
      <c r="AX10" s="78">
        <f>AW10/$AW$13*100</f>
        <v>0</v>
      </c>
    </row>
    <row r="11" spans="1:50">
      <c r="B11" s="113" t="s">
        <v>66</v>
      </c>
      <c r="C11" s="116" t="s">
        <v>67</v>
      </c>
      <c r="D11" s="15" t="s">
        <v>68</v>
      </c>
      <c r="E11" s="109" t="s">
        <v>139</v>
      </c>
      <c r="F11" s="6">
        <v>16.62</v>
      </c>
      <c r="G11" s="80">
        <v>49764.25</v>
      </c>
      <c r="H11" s="78">
        <f>G11/$G$13*100</f>
        <v>9.3676060045819405</v>
      </c>
      <c r="I11" s="13">
        <v>16.579999999999998</v>
      </c>
      <c r="J11" s="80">
        <v>35162.019999999997</v>
      </c>
      <c r="K11" s="14">
        <f>J11/$J$13*100</f>
        <v>7.2090561538040445</v>
      </c>
      <c r="L11" s="80">
        <v>16.47</v>
      </c>
      <c r="M11" s="80">
        <v>28125.05</v>
      </c>
      <c r="N11" s="83">
        <f>M11/$M$13*100</f>
        <v>6.7971987518891037</v>
      </c>
      <c r="O11" s="6">
        <v>18.670000000000002</v>
      </c>
      <c r="P11" s="78">
        <v>47904.08</v>
      </c>
      <c r="Q11" s="78">
        <f>P11/$P$13*100</f>
        <v>13.33990153819078</v>
      </c>
      <c r="R11" s="16">
        <v>18.18</v>
      </c>
      <c r="S11" s="78">
        <v>60407.81</v>
      </c>
      <c r="T11" s="14">
        <f>S11/$S$13*100</f>
        <v>6.835725573225961</v>
      </c>
      <c r="U11" s="80">
        <v>18</v>
      </c>
      <c r="V11" s="78">
        <v>41842.74</v>
      </c>
      <c r="W11" s="83">
        <f>V11/$V$13*100</f>
        <v>5.0127541320287348</v>
      </c>
      <c r="X11" s="6">
        <v>16.7</v>
      </c>
      <c r="Y11" s="80">
        <v>45983.53</v>
      </c>
      <c r="Z11" s="78">
        <f>Y11/$Y$13*100</f>
        <v>10.882908913140014</v>
      </c>
      <c r="AA11" s="13">
        <v>16.8</v>
      </c>
      <c r="AB11" s="80">
        <v>51201.65</v>
      </c>
      <c r="AC11" s="14">
        <f>AB11/$AB$13*100</f>
        <v>9.1607287704581601</v>
      </c>
      <c r="AD11" s="80">
        <v>16.71</v>
      </c>
      <c r="AE11" s="80">
        <v>39265.300000000003</v>
      </c>
      <c r="AF11" s="83">
        <f>AE11/$AE$13*100</f>
        <v>6.7571287249430787</v>
      </c>
      <c r="AG11" s="6">
        <v>17.75</v>
      </c>
      <c r="AH11" s="78">
        <v>41108.82</v>
      </c>
      <c r="AI11" s="78">
        <f>AH11/$AH$13*100</f>
        <v>21.904366234039017</v>
      </c>
      <c r="AJ11" s="13">
        <v>17.47</v>
      </c>
      <c r="AK11" s="78">
        <v>45420.32</v>
      </c>
      <c r="AL11" s="14">
        <f>AK11/$AK$13*100</f>
        <v>22.298514920532277</v>
      </c>
      <c r="AM11" s="80">
        <v>17.3</v>
      </c>
      <c r="AN11" s="78">
        <v>44637.38</v>
      </c>
      <c r="AO11" s="78">
        <f>AN11/$AN$13*100</f>
        <v>20.127045000067859</v>
      </c>
      <c r="AP11" s="6">
        <v>17.149999999999999</v>
      </c>
      <c r="AQ11" s="80">
        <v>54417.3</v>
      </c>
      <c r="AR11" s="78">
        <f>AQ11/$AQ$13*100</f>
        <v>8.8397601404893109</v>
      </c>
      <c r="AS11" s="13">
        <v>17.03</v>
      </c>
      <c r="AT11" s="80">
        <v>65280.82</v>
      </c>
      <c r="AU11" s="14">
        <f>AT11/$AT$13*100</f>
        <v>10.733848092274023</v>
      </c>
      <c r="AV11" s="80">
        <v>16.97</v>
      </c>
      <c r="AW11" s="80">
        <v>30079.01</v>
      </c>
      <c r="AX11" s="78">
        <f>AW11/$AW$13*100</f>
        <v>9.4437030028447566</v>
      </c>
    </row>
    <row r="12" spans="1:50">
      <c r="B12" s="112">
        <v>1520</v>
      </c>
      <c r="C12" s="116" t="s">
        <v>69</v>
      </c>
      <c r="D12" s="15" t="s">
        <v>70</v>
      </c>
      <c r="E12" s="109" t="s">
        <v>139</v>
      </c>
      <c r="F12" s="6">
        <v>17.75</v>
      </c>
      <c r="G12" s="80">
        <v>461161.3</v>
      </c>
      <c r="H12" s="78">
        <f>G12/$G$13*100</f>
        <v>86.808850991641876</v>
      </c>
      <c r="I12" s="13">
        <v>17.71</v>
      </c>
      <c r="J12" s="80">
        <v>433183.18</v>
      </c>
      <c r="K12" s="14">
        <f>J12/$J$13*100</f>
        <v>88.812925693785658</v>
      </c>
      <c r="L12" s="80">
        <v>17.63</v>
      </c>
      <c r="M12" s="80">
        <v>373943.78</v>
      </c>
      <c r="N12" s="83">
        <f>M12/$M$13*100</f>
        <v>90.373890702156757</v>
      </c>
      <c r="O12" s="6">
        <v>19.899999999999999</v>
      </c>
      <c r="P12" s="78">
        <v>284885.62</v>
      </c>
      <c r="Q12" s="78">
        <f>P12/$P$13*100</f>
        <v>79.33241010883485</v>
      </c>
      <c r="R12" s="16">
        <v>19.420000000000002</v>
      </c>
      <c r="S12" s="78">
        <v>798824.25</v>
      </c>
      <c r="T12" s="14">
        <f>S12/$S$13*100</f>
        <v>90.394658476081943</v>
      </c>
      <c r="U12" s="80">
        <v>19.239999999999998</v>
      </c>
      <c r="V12" s="78">
        <v>773083.62</v>
      </c>
      <c r="W12" s="83">
        <f>V12/$V$13*100</f>
        <v>92.615304603826914</v>
      </c>
      <c r="X12" s="6">
        <v>17.82</v>
      </c>
      <c r="Y12" s="80">
        <v>365733.24</v>
      </c>
      <c r="Z12" s="78">
        <f>Y12/$Y$13*100</f>
        <v>86.557981464832636</v>
      </c>
      <c r="AA12" s="13">
        <v>17.87</v>
      </c>
      <c r="AB12" s="80">
        <v>494479.96</v>
      </c>
      <c r="AC12" s="14">
        <f>AB12/$AB$13*100</f>
        <v>88.469742595931976</v>
      </c>
      <c r="AD12" s="80">
        <v>17.89</v>
      </c>
      <c r="AE12" s="80">
        <v>529674.15</v>
      </c>
      <c r="AF12" s="83">
        <f>AE12/$AE$13*100</f>
        <v>91.151128702055232</v>
      </c>
      <c r="AG12" s="111">
        <v>18.97</v>
      </c>
      <c r="AH12" s="78">
        <v>146565.26999999999</v>
      </c>
      <c r="AI12" s="78">
        <f>AH12/$AH$13*100</f>
        <v>78.095633765960983</v>
      </c>
      <c r="AJ12" s="16">
        <v>18.75</v>
      </c>
      <c r="AK12" s="78">
        <v>158271.81</v>
      </c>
      <c r="AL12" s="14">
        <f>AK12/$AK$13*100</f>
        <v>77.70148507946773</v>
      </c>
      <c r="AM12" s="78">
        <v>18.510000000000002</v>
      </c>
      <c r="AN12" s="78">
        <v>177140.73</v>
      </c>
      <c r="AO12" s="78">
        <f>AN12/$AN$13*100</f>
        <v>79.872954999932148</v>
      </c>
      <c r="AP12" s="6">
        <v>18.36</v>
      </c>
      <c r="AQ12" s="80">
        <v>546180.31999999995</v>
      </c>
      <c r="AR12" s="78">
        <f>AQ12/$AQ$13*100</f>
        <v>88.723678356987506</v>
      </c>
      <c r="AS12" s="13">
        <v>18.18</v>
      </c>
      <c r="AT12" s="80">
        <v>529027.41</v>
      </c>
      <c r="AU12" s="14">
        <f>AT12/$AT$13*100</f>
        <v>86.985731116569426</v>
      </c>
      <c r="AV12" s="80">
        <v>17.98</v>
      </c>
      <c r="AW12" s="80">
        <v>265705.03000000003</v>
      </c>
      <c r="AX12" s="78">
        <f>AW12/$AW$13*100</f>
        <v>83.421608280390771</v>
      </c>
    </row>
    <row r="13" spans="1:50" ht="14.7" thickBot="1">
      <c r="B13" s="114" t="s">
        <v>65</v>
      </c>
      <c r="C13" s="9"/>
      <c r="D13" s="9"/>
      <c r="E13" s="10"/>
      <c r="F13" s="21"/>
      <c r="G13" s="84">
        <f>SUM(G8:G12)</f>
        <v>531237.65</v>
      </c>
      <c r="H13" s="85"/>
      <c r="I13" s="95"/>
      <c r="J13" s="84">
        <f>SUM(J8:J12)</f>
        <v>487747.9</v>
      </c>
      <c r="K13" s="91"/>
      <c r="L13" s="85"/>
      <c r="M13" s="84">
        <f>SUM(M8:M12)</f>
        <v>413774.13</v>
      </c>
      <c r="N13" s="86"/>
      <c r="O13" s="89"/>
      <c r="P13" s="84">
        <f>SUM(P8:P12)</f>
        <v>359103.7</v>
      </c>
      <c r="Q13" s="84"/>
      <c r="R13" s="93"/>
      <c r="S13" s="84">
        <f>SUM(S8:S12)</f>
        <v>883707.36</v>
      </c>
      <c r="T13" s="92"/>
      <c r="U13" s="98"/>
      <c r="V13" s="84">
        <f>SUM(V8:V12)</f>
        <v>834725.56</v>
      </c>
      <c r="W13" s="90"/>
      <c r="X13" s="21"/>
      <c r="Y13" s="84">
        <f>SUM(Y8:Y12)</f>
        <v>422529.77</v>
      </c>
      <c r="Z13" s="85"/>
      <c r="AA13" s="95"/>
      <c r="AB13" s="84">
        <f>SUM(AB8:AB12)</f>
        <v>558925.51</v>
      </c>
      <c r="AC13" s="91"/>
      <c r="AD13" s="85"/>
      <c r="AE13" s="84">
        <f>SUM(AE8:AE12)</f>
        <v>581094.45000000007</v>
      </c>
      <c r="AF13" s="86"/>
      <c r="AG13" s="17"/>
      <c r="AH13" s="17">
        <f>SUM(AH8:AH12)</f>
        <v>187674.09</v>
      </c>
      <c r="AI13" s="17"/>
      <c r="AJ13" s="97"/>
      <c r="AK13" s="17">
        <f>SUM(AK8:AK12)</f>
        <v>203692.13</v>
      </c>
      <c r="AL13" s="96"/>
      <c r="AM13" s="17"/>
      <c r="AN13" s="17">
        <f>SUM(AN8:AN12)</f>
        <v>221778.11000000002</v>
      </c>
      <c r="AO13" s="17"/>
      <c r="AP13" s="21"/>
      <c r="AQ13" s="84">
        <f>SUM(AQ8:AQ12)</f>
        <v>615597.0199999999</v>
      </c>
      <c r="AR13" s="85"/>
      <c r="AS13" s="95"/>
      <c r="AT13" s="84">
        <f>SUM(AT8:AT12)</f>
        <v>608177.23</v>
      </c>
      <c r="AU13" s="91"/>
      <c r="AV13" s="85"/>
      <c r="AW13" s="84">
        <f>SUM(AW8:AW12)</f>
        <v>318508.64</v>
      </c>
      <c r="AX13" s="86"/>
    </row>
    <row r="14" spans="1:50">
      <c r="D14" s="117" t="s">
        <v>158</v>
      </c>
    </row>
    <row r="15" spans="1:50">
      <c r="D15" s="117" t="s">
        <v>159</v>
      </c>
    </row>
    <row r="16" spans="1:50">
      <c r="B16" s="1"/>
      <c r="D16" t="s">
        <v>142</v>
      </c>
    </row>
    <row r="17" spans="1:30">
      <c r="D17" t="s">
        <v>141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>
      <c r="D18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ht="20.7">
      <c r="B19" s="34" t="s">
        <v>73</v>
      </c>
      <c r="C19" s="8"/>
      <c r="D19"/>
      <c r="E19" s="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s="8" customFormat="1">
      <c r="B20" s="1" t="s">
        <v>74</v>
      </c>
      <c r="C20" t="s">
        <v>75</v>
      </c>
      <c r="E20" s="7"/>
    </row>
    <row r="21" spans="1:30">
      <c r="B21" s="1" t="s">
        <v>76</v>
      </c>
      <c r="C21" t="s">
        <v>77</v>
      </c>
      <c r="E21" s="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>
      <c r="B22" s="1" t="s">
        <v>78</v>
      </c>
      <c r="C22" t="s">
        <v>79</v>
      </c>
      <c r="E22" s="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>
      <c r="C23" t="s">
        <v>80</v>
      </c>
      <c r="E23" s="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>
      <c r="B24" s="1" t="s">
        <v>81</v>
      </c>
      <c r="C24" t="s">
        <v>143</v>
      </c>
      <c r="E24" s="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>
      <c r="B25" s="1" t="s">
        <v>144</v>
      </c>
      <c r="C25" t="s">
        <v>82</v>
      </c>
      <c r="E25" s="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s="1" customFormat="1">
      <c r="A26"/>
      <c r="B26" s="1" t="s">
        <v>145</v>
      </c>
      <c r="C26" t="s">
        <v>83</v>
      </c>
      <c r="F26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1:30" s="1" customFormat="1">
      <c r="A27"/>
      <c r="B27"/>
      <c r="C27"/>
      <c r="F27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1:30">
      <c r="B28" s="75"/>
      <c r="C28" s="76" t="s">
        <v>153</v>
      </c>
      <c r="E28" s="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spans="1:30">
      <c r="B29" s="77"/>
      <c r="C29" s="76" t="s">
        <v>154</v>
      </c>
      <c r="E29" s="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1:30">
      <c r="E30" s="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1:30">
      <c r="D31"/>
      <c r="E31" s="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1:30">
      <c r="D32"/>
      <c r="E32" s="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4:30">
      <c r="D33"/>
      <c r="E33" s="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4:30">
      <c r="D34"/>
      <c r="E34" s="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spans="4:30">
      <c r="D35"/>
      <c r="E35" s="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4:30">
      <c r="D36"/>
      <c r="E36" s="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40" spans="4:30">
      <c r="D40"/>
    </row>
  </sheetData>
  <mergeCells count="21">
    <mergeCell ref="AS6:AU6"/>
    <mergeCell ref="AV6:AX6"/>
    <mergeCell ref="X6:Z6"/>
    <mergeCell ref="AA6:AC6"/>
    <mergeCell ref="AD6:AF6"/>
    <mergeCell ref="A1:S1"/>
    <mergeCell ref="AP5:AX5"/>
    <mergeCell ref="X5:AF5"/>
    <mergeCell ref="O5:W5"/>
    <mergeCell ref="F6:H6"/>
    <mergeCell ref="I6:K6"/>
    <mergeCell ref="L6:N6"/>
    <mergeCell ref="O6:Q6"/>
    <mergeCell ref="R6:T6"/>
    <mergeCell ref="F5:N5"/>
    <mergeCell ref="AG5:AO5"/>
    <mergeCell ref="U6:W6"/>
    <mergeCell ref="AG6:AI6"/>
    <mergeCell ref="AJ6:AL6"/>
    <mergeCell ref="AM6:AO6"/>
    <mergeCell ref="AP6:AR6"/>
  </mergeCells>
  <phoneticPr fontId="17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S10A</vt:lpstr>
      <vt:lpstr>Table S10B</vt:lpstr>
      <vt:lpstr>Table S10C</vt:lpstr>
    </vt:vector>
  </TitlesOfParts>
  <Company>Gothenburg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Chunsheng</dc:creator>
  <cp:lastModifiedBy>Ana Sofia de Jesus Vaz Luis</cp:lastModifiedBy>
  <dcterms:created xsi:type="dcterms:W3CDTF">2023-03-03T11:27:55Z</dcterms:created>
  <dcterms:modified xsi:type="dcterms:W3CDTF">2025-11-20T15:56:53Z</dcterms:modified>
</cp:coreProperties>
</file>