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ana_luis_medkem_gu_se/Documents/Dokument/MyPapers/Enzyme paper/X_First submission_Cell/"/>
    </mc:Choice>
  </mc:AlternateContent>
  <xr:revisionPtr revIDLastSave="94" documentId="8_{1DBC361D-6499-4FE8-AC75-98DB47ADDA89}" xr6:coauthVersionLast="47" xr6:coauthVersionMax="47" xr10:uidLastSave="{DF3E506C-6D4A-4E7A-99E9-E6DF22DF04BC}"/>
  <bookViews>
    <workbookView xWindow="-93" yWindow="-93" windowWidth="25786" windowHeight="15466" xr2:uid="{00000000-000D-0000-FFFF-FFFF00000000}"/>
  </bookViews>
  <sheets>
    <sheet name="Table S9A" sheetId="6" r:id="rId1"/>
    <sheet name="Table S9B" sheetId="7" r:id="rId2"/>
    <sheet name="Table S9C" sheetId="8" r:id="rId3"/>
    <sheet name="Table S9D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6" i="9" l="1"/>
  <c r="X29" i="9" s="1"/>
  <c r="T36" i="9"/>
  <c r="U31" i="9" s="1"/>
  <c r="Q36" i="9"/>
  <c r="R33" i="9" s="1"/>
  <c r="N36" i="9"/>
  <c r="O32" i="9" s="1"/>
  <c r="K36" i="9"/>
  <c r="L32" i="9" s="1"/>
  <c r="H36" i="9"/>
  <c r="I30" i="9" s="1"/>
  <c r="T21" i="9"/>
  <c r="U16" i="9" s="1"/>
  <c r="N21" i="9"/>
  <c r="O16" i="9" s="1"/>
  <c r="W21" i="9"/>
  <c r="X13" i="9" s="1"/>
  <c r="Q21" i="9"/>
  <c r="R16" i="9" s="1"/>
  <c r="K21" i="9"/>
  <c r="L16" i="9" s="1"/>
  <c r="H21" i="9"/>
  <c r="I17" i="9" s="1"/>
  <c r="X20" i="9" l="1"/>
  <c r="AB78" i="8" l="1"/>
  <c r="AC76" i="8" s="1"/>
  <c r="Y78" i="8"/>
  <c r="Z76" i="8" s="1"/>
  <c r="V78" i="8"/>
  <c r="W76" i="8" s="1"/>
  <c r="S78" i="8"/>
  <c r="T75" i="8" s="1"/>
  <c r="P78" i="8"/>
  <c r="Q75" i="8" s="1"/>
  <c r="M78" i="8"/>
  <c r="N75" i="8" s="1"/>
  <c r="J78" i="8"/>
  <c r="K75" i="8" s="1"/>
  <c r="AB66" i="8"/>
  <c r="Y66" i="8"/>
  <c r="V66" i="8"/>
  <c r="W51" i="8" s="1"/>
  <c r="S66" i="8"/>
  <c r="T55" i="8" s="1"/>
  <c r="P66" i="8"/>
  <c r="Q53" i="8" s="1"/>
  <c r="M66" i="8"/>
  <c r="N53" i="8" s="1"/>
  <c r="J66" i="8"/>
  <c r="K54" i="8" s="1"/>
  <c r="X27" i="9"/>
  <c r="L30" i="9"/>
  <c r="I27" i="9"/>
  <c r="L27" i="9"/>
  <c r="O29" i="9"/>
  <c r="R29" i="9"/>
  <c r="X31" i="9"/>
  <c r="Z36" i="9"/>
  <c r="AA33" i="9" s="1"/>
  <c r="R34" i="9" l="1"/>
  <c r="AA29" i="9"/>
  <c r="X34" i="9"/>
  <c r="R32" i="9"/>
  <c r="AA27" i="9"/>
  <c r="X33" i="9"/>
  <c r="L29" i="9"/>
  <c r="AA35" i="9"/>
  <c r="O31" i="9"/>
  <c r="X35" i="9"/>
  <c r="AA28" i="9"/>
  <c r="AA36" i="9" s="1"/>
  <c r="R31" i="9"/>
  <c r="U33" i="9"/>
  <c r="I29" i="9"/>
  <c r="L31" i="9"/>
  <c r="U35" i="9"/>
  <c r="O33" i="9"/>
  <c r="I31" i="9"/>
  <c r="X28" i="9"/>
  <c r="O35" i="9"/>
  <c r="I33" i="9"/>
  <c r="X30" i="9"/>
  <c r="R28" i="9"/>
  <c r="R35" i="9"/>
  <c r="L33" i="9"/>
  <c r="AA30" i="9"/>
  <c r="U28" i="9"/>
  <c r="L35" i="9"/>
  <c r="AA32" i="9"/>
  <c r="U30" i="9"/>
  <c r="O28" i="9"/>
  <c r="U34" i="9"/>
  <c r="I35" i="9"/>
  <c r="X32" i="9"/>
  <c r="R30" i="9"/>
  <c r="L28" i="9"/>
  <c r="AA34" i="9"/>
  <c r="U32" i="9"/>
  <c r="O30" i="9"/>
  <c r="I28" i="9"/>
  <c r="O34" i="9"/>
  <c r="I32" i="9"/>
  <c r="R27" i="9"/>
  <c r="L34" i="9"/>
  <c r="AA31" i="9"/>
  <c r="U29" i="9"/>
  <c r="O27" i="9"/>
  <c r="U27" i="9"/>
  <c r="I34" i="9"/>
  <c r="AC77" i="8" l="1"/>
  <c r="Z75" i="8"/>
  <c r="W75" i="8"/>
  <c r="T73" i="8"/>
  <c r="N73" i="8"/>
  <c r="AC63" i="8"/>
  <c r="Q55" i="8"/>
  <c r="N55" i="8"/>
  <c r="T76" i="8"/>
  <c r="K73" i="8"/>
  <c r="K77" i="8" l="1"/>
  <c r="K74" i="8"/>
  <c r="T74" i="8"/>
  <c r="Q73" i="8"/>
  <c r="N74" i="8"/>
  <c r="N77" i="8"/>
  <c r="W77" i="8"/>
  <c r="T77" i="8"/>
  <c r="Z77" i="8"/>
  <c r="Q77" i="8"/>
  <c r="AC74" i="8"/>
  <c r="W74" i="8"/>
  <c r="Q74" i="8"/>
  <c r="N76" i="8"/>
  <c r="AC73" i="8"/>
  <c r="Z74" i="8"/>
  <c r="K76" i="8"/>
  <c r="Z73" i="8"/>
  <c r="AC75" i="8"/>
  <c r="W73" i="8"/>
  <c r="Q76" i="8"/>
  <c r="Y24" i="6"/>
  <c r="V24" i="6"/>
  <c r="S24" i="6"/>
  <c r="P24" i="6"/>
  <c r="M24" i="6"/>
  <c r="J24" i="6"/>
  <c r="G24" i="6"/>
  <c r="I9" i="9"/>
  <c r="Z21" i="9"/>
  <c r="AA13" i="9" s="1"/>
  <c r="X14" i="9"/>
  <c r="U9" i="9"/>
  <c r="R9" i="9"/>
  <c r="O10" i="9"/>
  <c r="L19" i="9"/>
  <c r="R13" i="9" l="1"/>
  <c r="U20" i="9"/>
  <c r="AA14" i="9"/>
  <c r="U13" i="9"/>
  <c r="U15" i="9"/>
  <c r="U14" i="9"/>
  <c r="U17" i="9"/>
  <c r="AA20" i="9"/>
  <c r="AA9" i="9"/>
  <c r="U10" i="9"/>
  <c r="I11" i="9"/>
  <c r="O14" i="9"/>
  <c r="X9" i="9"/>
  <c r="R15" i="9"/>
  <c r="X15" i="9"/>
  <c r="X10" i="9"/>
  <c r="AA10" i="9"/>
  <c r="U12" i="9"/>
  <c r="R12" i="9"/>
  <c r="X17" i="9"/>
  <c r="AA12" i="9"/>
  <c r="X19" i="9"/>
  <c r="X11" i="9"/>
  <c r="X16" i="9"/>
  <c r="X18" i="9"/>
  <c r="O13" i="9"/>
  <c r="O20" i="9"/>
  <c r="AA16" i="9"/>
  <c r="AA19" i="9"/>
  <c r="O15" i="9"/>
  <c r="O12" i="9"/>
  <c r="X12" i="9"/>
  <c r="AA15" i="9"/>
  <c r="AA17" i="9"/>
  <c r="O11" i="9"/>
  <c r="R14" i="9"/>
  <c r="AA11" i="9"/>
  <c r="AA18" i="9"/>
  <c r="L18" i="9"/>
  <c r="R20" i="9"/>
  <c r="R19" i="9"/>
  <c r="O17" i="9"/>
  <c r="R18" i="9"/>
  <c r="U19" i="9"/>
  <c r="I10" i="9"/>
  <c r="L20" i="9"/>
  <c r="O19" i="9"/>
  <c r="L17" i="9"/>
  <c r="O18" i="9"/>
  <c r="L15" i="9"/>
  <c r="R17" i="9"/>
  <c r="U18" i="9"/>
  <c r="L12" i="9"/>
  <c r="I18" i="9"/>
  <c r="L11" i="9"/>
  <c r="L14" i="9"/>
  <c r="I19" i="9"/>
  <c r="I20" i="9"/>
  <c r="L10" i="9"/>
  <c r="L9" i="9"/>
  <c r="R11" i="9"/>
  <c r="I15" i="9"/>
  <c r="O9" i="9"/>
  <c r="R10" i="9"/>
  <c r="U11" i="9"/>
  <c r="I14" i="9"/>
  <c r="L13" i="9"/>
  <c r="I16" i="9"/>
  <c r="I13" i="9"/>
  <c r="I12" i="9"/>
  <c r="K65" i="8"/>
  <c r="AC54" i="8"/>
  <c r="Z63" i="8"/>
  <c r="Q65" i="8"/>
  <c r="N58" i="8"/>
  <c r="Q58" i="8"/>
  <c r="W57" i="8"/>
  <c r="W49" i="8"/>
  <c r="Q48" i="8"/>
  <c r="Q31" i="8"/>
  <c r="Q29" i="8"/>
  <c r="T65" i="8" l="1"/>
  <c r="T54" i="8"/>
  <c r="W58" i="8"/>
  <c r="W20" i="8"/>
  <c r="W21" i="8"/>
  <c r="W27" i="8"/>
  <c r="AC50" i="8"/>
  <c r="AC10" i="8"/>
  <c r="Q11" i="8"/>
  <c r="N25" i="8"/>
  <c r="W11" i="8"/>
  <c r="N32" i="8"/>
  <c r="Q35" i="8"/>
  <c r="Q16" i="8"/>
  <c r="Q13" i="8"/>
  <c r="W37" i="8"/>
  <c r="N16" i="8"/>
  <c r="AC37" i="8"/>
  <c r="N38" i="8"/>
  <c r="W17" i="8"/>
  <c r="Q38" i="8"/>
  <c r="Q18" i="8"/>
  <c r="N22" i="8"/>
  <c r="W34" i="8"/>
  <c r="W13" i="8"/>
  <c r="W38" i="8"/>
  <c r="Q19" i="8"/>
  <c r="W44" i="8"/>
  <c r="Z27" i="8"/>
  <c r="AC28" i="8"/>
  <c r="AC53" i="8"/>
  <c r="AC55" i="8"/>
  <c r="Z21" i="8"/>
  <c r="AC21" i="8"/>
  <c r="AC42" i="8"/>
  <c r="Q22" i="8"/>
  <c r="AC31" i="8"/>
  <c r="Q43" i="8"/>
  <c r="Z59" i="8"/>
  <c r="Z13" i="8"/>
  <c r="Q23" i="8"/>
  <c r="AC43" i="8"/>
  <c r="AC59" i="8"/>
  <c r="AC15" i="8"/>
  <c r="Z11" i="8"/>
  <c r="AC11" i="8"/>
  <c r="AC12" i="8"/>
  <c r="Z30" i="8"/>
  <c r="AC39" i="8"/>
  <c r="AC13" i="8"/>
  <c r="Z23" i="8"/>
  <c r="Q32" i="8"/>
  <c r="AC60" i="8"/>
  <c r="Z14" i="8"/>
  <c r="AC23" i="8"/>
  <c r="AC32" i="8"/>
  <c r="Z45" i="8"/>
  <c r="AC62" i="8"/>
  <c r="Q34" i="8"/>
  <c r="AC45" i="8"/>
  <c r="Q26" i="8"/>
  <c r="Z46" i="8"/>
  <c r="AC27" i="8"/>
  <c r="Z53" i="8"/>
  <c r="AC26" i="8"/>
  <c r="AC16" i="8"/>
  <c r="Q27" i="8"/>
  <c r="AC48" i="8"/>
  <c r="Q9" i="8"/>
  <c r="Z37" i="8"/>
  <c r="Z29" i="8"/>
  <c r="Z39" i="8"/>
  <c r="W48" i="8"/>
  <c r="W62" i="8"/>
  <c r="W15" i="8"/>
  <c r="N9" i="8"/>
  <c r="W22" i="8"/>
  <c r="W30" i="8"/>
  <c r="W16" i="8"/>
  <c r="W31" i="8"/>
  <c r="W10" i="8"/>
  <c r="W50" i="8"/>
  <c r="W24" i="8"/>
  <c r="N41" i="8"/>
  <c r="W53" i="8"/>
  <c r="N18" i="8"/>
  <c r="W26" i="8"/>
  <c r="W32" i="8"/>
  <c r="W43" i="8"/>
  <c r="W12" i="8"/>
  <c r="W18" i="8"/>
  <c r="Z43" i="8"/>
  <c r="W56" i="8"/>
  <c r="Q57" i="8"/>
  <c r="Q63" i="8"/>
  <c r="W63" i="8"/>
  <c r="Q64" i="8"/>
  <c r="Q39" i="8"/>
  <c r="AC44" i="8"/>
  <c r="W52" i="8"/>
  <c r="AC58" i="8"/>
  <c r="W64" i="8"/>
  <c r="W23" i="8"/>
  <c r="W28" i="8"/>
  <c r="W33" i="8"/>
  <c r="W39" i="8"/>
  <c r="W45" i="8"/>
  <c r="AC52" i="8"/>
  <c r="W59" i="8"/>
  <c r="W65" i="8"/>
  <c r="AC18" i="8"/>
  <c r="Q24" i="8"/>
  <c r="W29" i="8"/>
  <c r="AC34" i="8"/>
  <c r="W40" i="8"/>
  <c r="W46" i="8"/>
  <c r="W60" i="8"/>
  <c r="W14" i="8"/>
  <c r="W19" i="8"/>
  <c r="AC24" i="8"/>
  <c r="AC29" i="8"/>
  <c r="W35" i="8"/>
  <c r="Q41" i="8"/>
  <c r="AC46" i="8"/>
  <c r="Q54" i="8"/>
  <c r="Q61" i="8"/>
  <c r="W61" i="8"/>
  <c r="W36" i="8"/>
  <c r="W41" i="8"/>
  <c r="Q47" i="8"/>
  <c r="W54" i="8"/>
  <c r="W9" i="8"/>
  <c r="AC14" i="8"/>
  <c r="AC20" i="8"/>
  <c r="Q25" i="8"/>
  <c r="AC36" i="8"/>
  <c r="Q42" i="8"/>
  <c r="W47" i="8"/>
  <c r="Z61" i="8"/>
  <c r="Q10" i="8"/>
  <c r="Q15" i="8"/>
  <c r="Q21" i="8"/>
  <c r="W25" i="8"/>
  <c r="AC30" i="8"/>
  <c r="Q37" i="8"/>
  <c r="W42" i="8"/>
  <c r="AC47" i="8"/>
  <c r="W55" i="8"/>
  <c r="AC61" i="8"/>
  <c r="N64" i="8"/>
  <c r="N54" i="8"/>
  <c r="N48" i="8"/>
  <c r="N34" i="8"/>
  <c r="N24" i="8"/>
  <c r="Q50" i="8"/>
  <c r="N56" i="8"/>
  <c r="Q45" i="8"/>
  <c r="Q56" i="8"/>
  <c r="N40" i="8"/>
  <c r="Q40" i="8"/>
  <c r="N57" i="8"/>
  <c r="Z62" i="8"/>
  <c r="N12" i="8"/>
  <c r="N28" i="8"/>
  <c r="Z33" i="8"/>
  <c r="AC40" i="8"/>
  <c r="N44" i="8"/>
  <c r="Z49" i="8"/>
  <c r="Q51" i="8"/>
  <c r="AC56" i="8"/>
  <c r="N60" i="8"/>
  <c r="Z65" i="8"/>
  <c r="N19" i="8"/>
  <c r="Z24" i="8"/>
  <c r="N35" i="8"/>
  <c r="Z40" i="8"/>
  <c r="N51" i="8"/>
  <c r="Z56" i="8"/>
  <c r="Z17" i="8"/>
  <c r="Z10" i="8"/>
  <c r="Q12" i="8"/>
  <c r="AC17" i="8"/>
  <c r="N21" i="8"/>
  <c r="Z26" i="8"/>
  <c r="Q28" i="8"/>
  <c r="AC33" i="8"/>
  <c r="N37" i="8"/>
  <c r="Z42" i="8"/>
  <c r="Q44" i="8"/>
  <c r="AC49" i="8"/>
  <c r="Z58" i="8"/>
  <c r="Q60" i="8"/>
  <c r="AC65" i="8"/>
  <c r="N14" i="8"/>
  <c r="Z19" i="8"/>
  <c r="N30" i="8"/>
  <c r="Z35" i="8"/>
  <c r="N46" i="8"/>
  <c r="Z51" i="8"/>
  <c r="N62" i="8"/>
  <c r="Z12" i="8"/>
  <c r="Q14" i="8"/>
  <c r="AC19" i="8"/>
  <c r="N23" i="8"/>
  <c r="Z28" i="8"/>
  <c r="Q30" i="8"/>
  <c r="AC35" i="8"/>
  <c r="N39" i="8"/>
  <c r="Z44" i="8"/>
  <c r="Q46" i="8"/>
  <c r="AC51" i="8"/>
  <c r="Z60" i="8"/>
  <c r="Q62" i="8"/>
  <c r="N27" i="8"/>
  <c r="N43" i="8"/>
  <c r="N59" i="8"/>
  <c r="Z64" i="8"/>
  <c r="Z32" i="8"/>
  <c r="Z41" i="8"/>
  <c r="N52" i="8"/>
  <c r="Z57" i="8"/>
  <c r="Q59" i="8"/>
  <c r="AC64" i="8"/>
  <c r="N50" i="8"/>
  <c r="Z55" i="8"/>
  <c r="N11" i="8"/>
  <c r="Z16" i="8"/>
  <c r="Z48" i="8"/>
  <c r="Z9" i="8"/>
  <c r="N20" i="8"/>
  <c r="Z25" i="8"/>
  <c r="N36" i="8"/>
  <c r="AC9" i="8"/>
  <c r="N13" i="8"/>
  <c r="Z18" i="8"/>
  <c r="Q20" i="8"/>
  <c r="AC25" i="8"/>
  <c r="N29" i="8"/>
  <c r="Z34" i="8"/>
  <c r="Q36" i="8"/>
  <c r="AC41" i="8"/>
  <c r="N45" i="8"/>
  <c r="Z50" i="8"/>
  <c r="Q52" i="8"/>
  <c r="AC57" i="8"/>
  <c r="N61" i="8"/>
  <c r="N15" i="8"/>
  <c r="Z20" i="8"/>
  <c r="N31" i="8"/>
  <c r="Z36" i="8"/>
  <c r="N47" i="8"/>
  <c r="Z52" i="8"/>
  <c r="N63" i="8"/>
  <c r="N17" i="8"/>
  <c r="Z22" i="8"/>
  <c r="N33" i="8"/>
  <c r="Z38" i="8"/>
  <c r="N49" i="8"/>
  <c r="Z54" i="8"/>
  <c r="N65" i="8"/>
  <c r="N10" i="8"/>
  <c r="Z15" i="8"/>
  <c r="Q17" i="8"/>
  <c r="AC22" i="8"/>
  <c r="N26" i="8"/>
  <c r="Z31" i="8"/>
  <c r="Q33" i="8"/>
  <c r="AC38" i="8"/>
  <c r="N42" i="8"/>
  <c r="Z47" i="8"/>
  <c r="Q49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5" i="8"/>
  <c r="K56" i="8"/>
  <c r="K57" i="8"/>
  <c r="K58" i="8"/>
  <c r="K59" i="8"/>
  <c r="K60" i="8"/>
  <c r="K61" i="8"/>
  <c r="K62" i="8"/>
  <c r="K63" i="8"/>
  <c r="K64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6" i="8"/>
  <c r="T57" i="8"/>
  <c r="T58" i="8"/>
  <c r="T59" i="8"/>
  <c r="T60" i="8"/>
  <c r="T61" i="8"/>
  <c r="T62" i="8"/>
  <c r="T63" i="8"/>
  <c r="T64" i="8"/>
  <c r="J61" i="7" l="1"/>
  <c r="K45" i="7" s="1"/>
  <c r="AB61" i="7"/>
  <c r="AC50" i="7" s="1"/>
  <c r="Y61" i="7"/>
  <c r="Z52" i="7" s="1"/>
  <c r="V61" i="7"/>
  <c r="W53" i="7" s="1"/>
  <c r="S61" i="7"/>
  <c r="T60" i="7" s="1"/>
  <c r="P61" i="7"/>
  <c r="Q60" i="7" s="1"/>
  <c r="M61" i="7"/>
  <c r="N57" i="7" s="1"/>
  <c r="AC16" i="7" l="1"/>
  <c r="AC22" i="7"/>
  <c r="N23" i="7"/>
  <c r="AC23" i="7"/>
  <c r="AC31" i="7"/>
  <c r="AC5" i="7"/>
  <c r="N9" i="7"/>
  <c r="AC29" i="7"/>
  <c r="N10" i="7"/>
  <c r="AC42" i="7"/>
  <c r="N17" i="7"/>
  <c r="N21" i="7"/>
  <c r="AC6" i="7"/>
  <c r="AC9" i="7"/>
  <c r="AC11" i="7"/>
  <c r="AC43" i="7"/>
  <c r="N16" i="7"/>
  <c r="AC18" i="7"/>
  <c r="K9" i="7"/>
  <c r="AC12" i="7"/>
  <c r="AC56" i="7"/>
  <c r="N15" i="7"/>
  <c r="AC13" i="7"/>
  <c r="AC15" i="7"/>
  <c r="T29" i="7"/>
  <c r="N5" i="7"/>
  <c r="N11" i="7"/>
  <c r="T23" i="7"/>
  <c r="N34" i="7"/>
  <c r="T24" i="7"/>
  <c r="N6" i="7"/>
  <c r="N12" i="7"/>
  <c r="N18" i="7"/>
  <c r="W24" i="7"/>
  <c r="T37" i="7"/>
  <c r="T20" i="7"/>
  <c r="T10" i="7"/>
  <c r="T35" i="7"/>
  <c r="T17" i="7"/>
  <c r="N37" i="7"/>
  <c r="T6" i="7"/>
  <c r="T12" i="7"/>
  <c r="T18" i="7"/>
  <c r="N25" i="7"/>
  <c r="AC38" i="7"/>
  <c r="T22" i="7"/>
  <c r="T16" i="7"/>
  <c r="T11" i="7"/>
  <c r="T7" i="7"/>
  <c r="T13" i="7"/>
  <c r="T19" i="7"/>
  <c r="T27" i="7"/>
  <c r="AC46" i="7"/>
  <c r="T32" i="7"/>
  <c r="T33" i="7"/>
  <c r="N7" i="7"/>
  <c r="N13" i="7"/>
  <c r="T26" i="7"/>
  <c r="N8" i="7"/>
  <c r="AC19" i="7"/>
  <c r="T28" i="7"/>
  <c r="AC48" i="7"/>
  <c r="T5" i="7"/>
  <c r="T25" i="7"/>
  <c r="N19" i="7"/>
  <c r="T8" i="7"/>
  <c r="N14" i="7"/>
  <c r="K19" i="7"/>
  <c r="AC28" i="7"/>
  <c r="K49" i="7"/>
  <c r="T14" i="7"/>
  <c r="T9" i="7"/>
  <c r="T15" i="7"/>
  <c r="T21" i="7"/>
  <c r="T31" i="7"/>
  <c r="Z14" i="7"/>
  <c r="Z20" i="7"/>
  <c r="Z16" i="7"/>
  <c r="Z25" i="7"/>
  <c r="Z31" i="7"/>
  <c r="Z33" i="7"/>
  <c r="Z7" i="7"/>
  <c r="N29" i="7"/>
  <c r="Z13" i="7"/>
  <c r="Z26" i="7"/>
  <c r="Z32" i="7"/>
  <c r="Z42" i="7"/>
  <c r="Z24" i="7"/>
  <c r="Z6" i="7"/>
  <c r="Z30" i="7"/>
  <c r="Z10" i="7"/>
  <c r="Z12" i="7"/>
  <c r="N31" i="7"/>
  <c r="Z44" i="7"/>
  <c r="N44" i="7"/>
  <c r="N47" i="7"/>
  <c r="T57" i="7"/>
  <c r="N35" i="7"/>
  <c r="W42" i="7"/>
  <c r="T45" i="7"/>
  <c r="N51" i="7"/>
  <c r="N27" i="7"/>
  <c r="N48" i="7"/>
  <c r="N30" i="7"/>
  <c r="AC58" i="7"/>
  <c r="T39" i="7"/>
  <c r="AC59" i="7"/>
  <c r="N46" i="7"/>
  <c r="N54" i="7"/>
  <c r="N55" i="7"/>
  <c r="W31" i="7"/>
  <c r="N33" i="7"/>
  <c r="N40" i="7"/>
  <c r="N45" i="7"/>
  <c r="T47" i="7"/>
  <c r="N49" i="7"/>
  <c r="N52" i="7"/>
  <c r="Z55" i="7"/>
  <c r="W25" i="7"/>
  <c r="N59" i="7"/>
  <c r="W13" i="7"/>
  <c r="N38" i="7"/>
  <c r="Z45" i="7"/>
  <c r="N56" i="7"/>
  <c r="N43" i="7"/>
  <c r="N53" i="7"/>
  <c r="N22" i="7"/>
  <c r="N24" i="7"/>
  <c r="N36" i="7"/>
  <c r="T41" i="7"/>
  <c r="N20" i="7"/>
  <c r="N28" i="7"/>
  <c r="Z41" i="7"/>
  <c r="N60" i="7"/>
  <c r="N26" i="7"/>
  <c r="T30" i="7"/>
  <c r="N32" i="7"/>
  <c r="T34" i="7"/>
  <c r="N39" i="7"/>
  <c r="Z48" i="7"/>
  <c r="K52" i="7"/>
  <c r="W57" i="7"/>
  <c r="K31" i="7"/>
  <c r="K32" i="7"/>
  <c r="K41" i="7"/>
  <c r="K42" i="7"/>
  <c r="W49" i="7"/>
  <c r="AC57" i="7"/>
  <c r="K25" i="7"/>
  <c r="K30" i="7"/>
  <c r="K7" i="7"/>
  <c r="K8" i="7"/>
  <c r="AC10" i="7"/>
  <c r="K16" i="7"/>
  <c r="AC20" i="7"/>
  <c r="W21" i="7"/>
  <c r="K33" i="7"/>
  <c r="K34" i="7"/>
  <c r="K36" i="7"/>
  <c r="K40" i="7"/>
  <c r="Z49" i="7"/>
  <c r="W10" i="7"/>
  <c r="W20" i="7"/>
  <c r="AC54" i="7"/>
  <c r="W11" i="7"/>
  <c r="K17" i="7"/>
  <c r="K18" i="7"/>
  <c r="Z21" i="7"/>
  <c r="W22" i="7"/>
  <c r="W23" i="7"/>
  <c r="K35" i="7"/>
  <c r="K38" i="7"/>
  <c r="K39" i="7"/>
  <c r="W47" i="7"/>
  <c r="AC49" i="7"/>
  <c r="Z53" i="7"/>
  <c r="W56" i="7"/>
  <c r="K6" i="7"/>
  <c r="K60" i="7"/>
  <c r="Z11" i="7"/>
  <c r="W12" i="7"/>
  <c r="AC21" i="7"/>
  <c r="Z22" i="7"/>
  <c r="Z23" i="7"/>
  <c r="K37" i="7"/>
  <c r="Z46" i="7"/>
  <c r="AC47" i="7"/>
  <c r="W48" i="7"/>
  <c r="AC53" i="7"/>
  <c r="Z56" i="7"/>
  <c r="AC52" i="7"/>
  <c r="K59" i="7"/>
  <c r="AC25" i="7"/>
  <c r="W27" i="7"/>
  <c r="W14" i="7"/>
  <c r="K21" i="7"/>
  <c r="K22" i="7"/>
  <c r="AC26" i="7"/>
  <c r="Z27" i="7"/>
  <c r="W44" i="7"/>
  <c r="AC45" i="7"/>
  <c r="K20" i="7"/>
  <c r="W26" i="7"/>
  <c r="K56" i="7"/>
  <c r="W5" i="7"/>
  <c r="K11" i="7"/>
  <c r="W15" i="7"/>
  <c r="AC27" i="7"/>
  <c r="W28" i="7"/>
  <c r="W29" i="7"/>
  <c r="K46" i="7"/>
  <c r="K10" i="7"/>
  <c r="W45" i="7"/>
  <c r="W52" i="7"/>
  <c r="AC24" i="7"/>
  <c r="K12" i="7"/>
  <c r="Z5" i="7"/>
  <c r="W6" i="7"/>
  <c r="AC14" i="7"/>
  <c r="Z15" i="7"/>
  <c r="W16" i="7"/>
  <c r="K23" i="7"/>
  <c r="K24" i="7"/>
  <c r="Z28" i="7"/>
  <c r="Z29" i="7"/>
  <c r="W30" i="7"/>
  <c r="N41" i="7"/>
  <c r="N42" i="7"/>
  <c r="Z43" i="7"/>
  <c r="AC44" i="7"/>
  <c r="K47" i="7"/>
  <c r="AC51" i="7"/>
  <c r="W55" i="7"/>
  <c r="N58" i="7"/>
  <c r="W7" i="7"/>
  <c r="K13" i="7"/>
  <c r="K26" i="7"/>
  <c r="AC30" i="7"/>
  <c r="W32" i="7"/>
  <c r="W33" i="7"/>
  <c r="W41" i="7"/>
  <c r="K44" i="7"/>
  <c r="AC55" i="7"/>
  <c r="K14" i="7"/>
  <c r="W17" i="7"/>
  <c r="K27" i="7"/>
  <c r="W34" i="7"/>
  <c r="W36" i="7"/>
  <c r="W39" i="7"/>
  <c r="AC7" i="7"/>
  <c r="Z8" i="7"/>
  <c r="W9" i="7"/>
  <c r="Z17" i="7"/>
  <c r="W18" i="7"/>
  <c r="W19" i="7"/>
  <c r="K28" i="7"/>
  <c r="AC32" i="7"/>
  <c r="AC33" i="7"/>
  <c r="Z34" i="7"/>
  <c r="Z35" i="7"/>
  <c r="Z36" i="7"/>
  <c r="Z37" i="7"/>
  <c r="W38" i="7"/>
  <c r="Z39" i="7"/>
  <c r="Z40" i="7"/>
  <c r="AC41" i="7"/>
  <c r="N50" i="7"/>
  <c r="W54" i="7"/>
  <c r="AC60" i="7"/>
  <c r="W8" i="7"/>
  <c r="W35" i="7"/>
  <c r="W37" i="7"/>
  <c r="W40" i="7"/>
  <c r="K55" i="7"/>
  <c r="K5" i="7"/>
  <c r="AC8" i="7"/>
  <c r="Z9" i="7"/>
  <c r="K15" i="7"/>
  <c r="AC17" i="7"/>
  <c r="Z18" i="7"/>
  <c r="Z19" i="7"/>
  <c r="K29" i="7"/>
  <c r="AC34" i="7"/>
  <c r="AC35" i="7"/>
  <c r="AC36" i="7"/>
  <c r="AC37" i="7"/>
  <c r="Z38" i="7"/>
  <c r="AC39" i="7"/>
  <c r="AC40" i="7"/>
  <c r="Z54" i="7"/>
  <c r="T49" i="7"/>
  <c r="K51" i="7"/>
  <c r="T55" i="7"/>
  <c r="W50" i="7"/>
  <c r="Z57" i="7"/>
  <c r="W58" i="7"/>
  <c r="K43" i="7"/>
  <c r="K48" i="7"/>
  <c r="Z50" i="7"/>
  <c r="T51" i="7"/>
  <c r="K53" i="7"/>
  <c r="K54" i="7"/>
  <c r="Z58" i="7"/>
  <c r="T59" i="7"/>
  <c r="W51" i="7"/>
  <c r="W59" i="7"/>
  <c r="W60" i="7"/>
  <c r="W46" i="7"/>
  <c r="Z51" i="7"/>
  <c r="Z59" i="7"/>
  <c r="Z60" i="7"/>
  <c r="T43" i="7"/>
  <c r="Z47" i="7"/>
  <c r="K50" i="7"/>
  <c r="T53" i="7"/>
  <c r="K57" i="7"/>
  <c r="K58" i="7"/>
  <c r="W43" i="7"/>
  <c r="Q5" i="7"/>
  <c r="Q7" i="7"/>
  <c r="Q9" i="7"/>
  <c r="Q11" i="7"/>
  <c r="Q13" i="7"/>
  <c r="Q15" i="7"/>
  <c r="Q17" i="7"/>
  <c r="Q19" i="7"/>
  <c r="Q21" i="7"/>
  <c r="Q23" i="7"/>
  <c r="Q25" i="7"/>
  <c r="Q27" i="7"/>
  <c r="Q29" i="7"/>
  <c r="Q31" i="7"/>
  <c r="Q33" i="7"/>
  <c r="Q35" i="7"/>
  <c r="Q37" i="7"/>
  <c r="Q39" i="7"/>
  <c r="Q41" i="7"/>
  <c r="Q43" i="7"/>
  <c r="Q45" i="7"/>
  <c r="Q47" i="7"/>
  <c r="Q49" i="7"/>
  <c r="Q51" i="7"/>
  <c r="Q53" i="7"/>
  <c r="Q55" i="7"/>
  <c r="Q57" i="7"/>
  <c r="Q59" i="7"/>
  <c r="Q6" i="7"/>
  <c r="Q8" i="7"/>
  <c r="Q10" i="7"/>
  <c r="Q12" i="7"/>
  <c r="Q14" i="7"/>
  <c r="Q16" i="7"/>
  <c r="Q18" i="7"/>
  <c r="Q20" i="7"/>
  <c r="Q22" i="7"/>
  <c r="Q24" i="7"/>
  <c r="Q26" i="7"/>
  <c r="Q28" i="7"/>
  <c r="Q30" i="7"/>
  <c r="Q32" i="7"/>
  <c r="Q34" i="7"/>
  <c r="Q36" i="7"/>
  <c r="Q38" i="7"/>
  <c r="Q40" i="7"/>
  <c r="Q42" i="7"/>
  <c r="Q44" i="7"/>
  <c r="Q46" i="7"/>
  <c r="Q48" i="7"/>
  <c r="Q50" i="7"/>
  <c r="Q52" i="7"/>
  <c r="Q54" i="7"/>
  <c r="Q56" i="7"/>
  <c r="Q58" i="7"/>
  <c r="T36" i="7"/>
  <c r="T38" i="7"/>
  <c r="T40" i="7"/>
  <c r="T42" i="7"/>
  <c r="T44" i="7"/>
  <c r="T46" i="7"/>
  <c r="T48" i="7"/>
  <c r="T50" i="7"/>
  <c r="T52" i="7"/>
  <c r="T54" i="7"/>
  <c r="T56" i="7"/>
  <c r="T58" i="7"/>
  <c r="AC61" i="7" l="1"/>
  <c r="N61" i="7"/>
  <c r="K61" i="7"/>
  <c r="Z61" i="7"/>
  <c r="W61" i="7"/>
  <c r="T61" i="7"/>
  <c r="Q61" i="7"/>
  <c r="H12" i="6"/>
  <c r="Z11" i="6"/>
  <c r="W13" i="6"/>
  <c r="T15" i="6"/>
  <c r="Q7" i="6"/>
  <c r="N7" i="6"/>
  <c r="K7" i="6"/>
  <c r="T9" i="6" l="1"/>
  <c r="W8" i="6"/>
  <c r="T10" i="6"/>
  <c r="T13" i="6"/>
  <c r="T14" i="6"/>
  <c r="T12" i="6"/>
  <c r="T11" i="6"/>
  <c r="T7" i="6"/>
  <c r="T8" i="6"/>
  <c r="T23" i="6"/>
  <c r="T22" i="6"/>
  <c r="T21" i="6"/>
  <c r="T20" i="6"/>
  <c r="T19" i="6"/>
  <c r="T18" i="6"/>
  <c r="T17" i="6"/>
  <c r="T16" i="6"/>
  <c r="K9" i="6" l="1"/>
  <c r="Z7" i="6"/>
  <c r="Z8" i="6"/>
  <c r="Z9" i="6"/>
  <c r="Z10" i="6"/>
  <c r="Z18" i="6"/>
  <c r="Z12" i="6"/>
  <c r="K14" i="6"/>
  <c r="K12" i="6"/>
  <c r="K18" i="6"/>
  <c r="Z15" i="6"/>
  <c r="K16" i="6"/>
  <c r="Z16" i="6"/>
  <c r="Z17" i="6"/>
  <c r="Z14" i="6"/>
  <c r="Z21" i="6"/>
  <c r="K23" i="6"/>
  <c r="Z23" i="6"/>
  <c r="Z13" i="6"/>
  <c r="Z19" i="6"/>
  <c r="Z22" i="6"/>
  <c r="Z20" i="6"/>
  <c r="Q21" i="6"/>
  <c r="W11" i="6"/>
  <c r="W15" i="6"/>
  <c r="W21" i="6"/>
  <c r="N9" i="6"/>
  <c r="Q18" i="6"/>
  <c r="N23" i="6"/>
  <c r="H10" i="6"/>
  <c r="N21" i="6"/>
  <c r="W22" i="6"/>
  <c r="Q9" i="6"/>
  <c r="N16" i="6"/>
  <c r="H21" i="6"/>
  <c r="W18" i="6"/>
  <c r="H17" i="6"/>
  <c r="H8" i="6"/>
  <c r="N18" i="6"/>
  <c r="W9" i="6"/>
  <c r="N14" i="6"/>
  <c r="W23" i="6"/>
  <c r="W12" i="6"/>
  <c r="Q14" i="6"/>
  <c r="W16" i="6"/>
  <c r="H18" i="6"/>
  <c r="K20" i="6"/>
  <c r="W7" i="6"/>
  <c r="H9" i="6"/>
  <c r="K13" i="6"/>
  <c r="K19" i="6"/>
  <c r="N20" i="6"/>
  <c r="H23" i="6"/>
  <c r="H22" i="6"/>
  <c r="N12" i="6"/>
  <c r="Q23" i="6"/>
  <c r="K10" i="6"/>
  <c r="H16" i="6"/>
  <c r="N19" i="6"/>
  <c r="Q20" i="6"/>
  <c r="H7" i="6"/>
  <c r="N10" i="6"/>
  <c r="Q13" i="6"/>
  <c r="K17" i="6"/>
  <c r="Q19" i="6"/>
  <c r="K8" i="6"/>
  <c r="Q10" i="6"/>
  <c r="H14" i="6"/>
  <c r="N17" i="6"/>
  <c r="W20" i="6"/>
  <c r="H15" i="6"/>
  <c r="W14" i="6"/>
  <c r="N8" i="6"/>
  <c r="Q17" i="6"/>
  <c r="W10" i="6"/>
  <c r="N22" i="6"/>
  <c r="H11" i="6"/>
  <c r="Q12" i="6"/>
  <c r="Q16" i="6"/>
  <c r="N13" i="6"/>
  <c r="K11" i="6"/>
  <c r="K15" i="6"/>
  <c r="W19" i="6"/>
  <c r="K22" i="6"/>
  <c r="Q8" i="6"/>
  <c r="N11" i="6"/>
  <c r="N15" i="6"/>
  <c r="H20" i="6"/>
  <c r="Q11" i="6"/>
  <c r="H13" i="6"/>
  <c r="Q15" i="6"/>
  <c r="W17" i="6"/>
  <c r="H19" i="6"/>
  <c r="K21" i="6"/>
  <c r="Q22" i="6"/>
</calcChain>
</file>

<file path=xl/sharedStrings.xml><?xml version="1.0" encoding="utf-8"?>
<sst xmlns="http://schemas.openxmlformats.org/spreadsheetml/2006/main" count="1262" uniqueCount="534">
  <si>
    <t>BT1626</t>
  </si>
  <si>
    <t>BT4241</t>
  </si>
  <si>
    <t>BT4050</t>
  </si>
  <si>
    <t>nd</t>
  </si>
  <si>
    <t>Hex4HexNAc2</t>
  </si>
  <si>
    <t>Hex1HexNAc1deHex1</t>
  </si>
  <si>
    <t>RT2</t>
  </si>
  <si>
    <t>Intensity</t>
  </si>
  <si>
    <t>RT</t>
  </si>
  <si>
    <r>
      <t xml:space="preserve">Putative structures </t>
    </r>
    <r>
      <rPr>
        <vertAlign val="superscript"/>
        <sz val="11"/>
        <color theme="1"/>
        <rFont val="Calibri"/>
        <family val="2"/>
      </rPr>
      <t>[3]</t>
    </r>
  </si>
  <si>
    <r>
      <t>Composition</t>
    </r>
    <r>
      <rPr>
        <vertAlign val="superscript"/>
        <sz val="11"/>
        <color theme="1"/>
        <rFont val="Calibri"/>
        <family val="2"/>
      </rPr>
      <t>[2]</t>
    </r>
  </si>
  <si>
    <r>
      <t>Mass</t>
    </r>
    <r>
      <rPr>
        <vertAlign val="superscript"/>
        <sz val="11"/>
        <color theme="1"/>
        <rFont val="Calibri"/>
        <family val="2"/>
      </rPr>
      <t>[1]</t>
    </r>
  </si>
  <si>
    <r>
      <t>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-3GlcNAc-Fucol</t>
    </r>
  </si>
  <si>
    <t>546-1</t>
  </si>
  <si>
    <t>Hex2HexNAc1</t>
  </si>
  <si>
    <t>GlcNAcβ1-6Galβ1-4Glcol</t>
  </si>
  <si>
    <t>546-2</t>
  </si>
  <si>
    <t>GlcNAcβ1-3Galβ1-4Glcol</t>
  </si>
  <si>
    <t>Hex1HexNAc2</t>
  </si>
  <si>
    <t>GlcNAcβ1-3(GlcNAcβ1-6)Galol</t>
  </si>
  <si>
    <t>708-1</t>
  </si>
  <si>
    <t>Hex3HexNAc1</t>
  </si>
  <si>
    <r>
      <t>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-4GlcNAcβ1-6Galβ1-4Glcol</t>
    </r>
  </si>
  <si>
    <t>708-2</t>
  </si>
  <si>
    <t>Galβ1-3GlcNAcβ1-3Galβ1-4Glcol</t>
  </si>
  <si>
    <t>Hex2HexNAc2</t>
  </si>
  <si>
    <t>GlcNAcβ1-3(GlcNAcβ1-6)Galβ1-4Glcol</t>
  </si>
  <si>
    <t>20.37*</t>
  </si>
  <si>
    <t>911-1</t>
  </si>
  <si>
    <t>Hex3HexNAc2</t>
  </si>
  <si>
    <t>GlcNAcβ1-3(Galβ1-4GlcNAcβ1-6)Galβ1-4Glcol</t>
  </si>
  <si>
    <t>25.74*</t>
  </si>
  <si>
    <t>911-2</t>
  </si>
  <si>
    <t>Galβ1-3GlcNAcβ1-3(Galβ1-4GlcNAcβ1-6)Galol</t>
  </si>
  <si>
    <t>911-3</t>
  </si>
  <si>
    <t>Galβ1-3GlcNAcβ1-3(GlcNAcβ1-6)Galβ1-4Glcol</t>
  </si>
  <si>
    <t>911-4</t>
  </si>
  <si>
    <t>GlcNAcβ1-3Galβ1-4GlcNAcββ1-6Galβ1-4Glcol</t>
  </si>
  <si>
    <t>30.34*</t>
  </si>
  <si>
    <t>911-5</t>
  </si>
  <si>
    <r>
      <t>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-3GlcNAcβ1-3Galβ1-4GlcNAcβ1-3Galol</t>
    </r>
  </si>
  <si>
    <t>911-6</t>
  </si>
  <si>
    <r>
      <t>GlcNAcβ1-3Gal</t>
    </r>
    <r>
      <rPr>
        <sz val="11"/>
        <color theme="1"/>
        <rFont val="Calibri"/>
        <family val="2"/>
      </rPr>
      <t>β1-</t>
    </r>
    <r>
      <rPr>
        <sz val="11"/>
        <color theme="1"/>
        <rFont val="Calibri"/>
        <family val="2"/>
        <scheme val="minor"/>
      </rPr>
      <t>4GlcNAcββ1-3Galβ1-4Glcol</t>
    </r>
  </si>
  <si>
    <t>1073-1</t>
  </si>
  <si>
    <t>Galβ1-3GlcNAcβ1-3(Galβ1-4GlcNAcβ1-6)Galβ1-4Glcol</t>
  </si>
  <si>
    <t>1073-2</t>
  </si>
  <si>
    <t>Galβ1-3GlcNAcβ1-3Galβ1-4GlcNAcβ1-6Galβ1-4Glcol</t>
  </si>
  <si>
    <t>1073-4</t>
  </si>
  <si>
    <t>Galβ1-3GlcNAcβ1-3Galβ1-4GlcNAcβ1-3Galβ1-4Glcol</t>
  </si>
  <si>
    <t>Hex5HexNAc2</t>
  </si>
  <si>
    <r>
      <t>Galβ1-3GlcNAcβ1-3(Galα1-3Gal</t>
    </r>
    <r>
      <rPr>
        <sz val="11"/>
        <color theme="1"/>
        <rFont val="Calibri"/>
        <family val="2"/>
      </rPr>
      <t>β1-4</t>
    </r>
    <r>
      <rPr>
        <sz val="11"/>
        <color theme="1"/>
        <rFont val="Calibri"/>
        <family val="2"/>
        <scheme val="minor"/>
      </rPr>
      <t>GlcNAcβ1-6)Galβ1-4Glcol</t>
    </r>
  </si>
  <si>
    <t>BT3179</t>
  </si>
  <si>
    <t>BT3340</t>
  </si>
  <si>
    <t>BT4684</t>
  </si>
  <si>
    <t>Sul</t>
  </si>
  <si>
    <t>RT34</t>
  </si>
  <si>
    <t>Intensity33</t>
  </si>
  <si>
    <t>Perecentage</t>
  </si>
  <si>
    <t>RT35</t>
  </si>
  <si>
    <t>Intensity34</t>
  </si>
  <si>
    <t>Percentage5</t>
  </si>
  <si>
    <t>RT36</t>
  </si>
  <si>
    <t>Intensity35</t>
  </si>
  <si>
    <t>Percentage6</t>
  </si>
  <si>
    <t>RT37</t>
  </si>
  <si>
    <t>Intensity36</t>
  </si>
  <si>
    <t>Percentage11</t>
  </si>
  <si>
    <t>RT38</t>
  </si>
  <si>
    <t>Intensity39</t>
  </si>
  <si>
    <t>Percentage1340</t>
  </si>
  <si>
    <t>RT46</t>
  </si>
  <si>
    <t>Intensity45</t>
  </si>
  <si>
    <t>Percentage19</t>
  </si>
  <si>
    <t>Percentage13</t>
  </si>
  <si>
    <t>Percentage8</t>
  </si>
  <si>
    <t>RT4</t>
  </si>
  <si>
    <t>Intensity4</t>
  </si>
  <si>
    <t>Percentage2</t>
  </si>
  <si>
    <t>RT5</t>
  </si>
  <si>
    <t>Intensity5</t>
  </si>
  <si>
    <t>Percentages</t>
  </si>
  <si>
    <t>RT6</t>
  </si>
  <si>
    <t>Intensity6</t>
  </si>
  <si>
    <t>Percentage3</t>
  </si>
  <si>
    <t>RT7</t>
  </si>
  <si>
    <t>Intensity7</t>
  </si>
  <si>
    <t>Percentage4</t>
  </si>
  <si>
    <t>RT3</t>
  </si>
  <si>
    <t>Intensity3</t>
  </si>
  <si>
    <t>Percentage7</t>
  </si>
  <si>
    <t>587-2</t>
  </si>
  <si>
    <t>425-1</t>
  </si>
  <si>
    <t>HexNAc2</t>
  </si>
  <si>
    <r>
      <t>GlcNAc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1-3GalNAcol</t>
    </r>
  </si>
  <si>
    <t>425-2</t>
  </si>
  <si>
    <r>
      <t>GalNAc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1-3GalNAcol</t>
    </r>
  </si>
  <si>
    <t>11.02*</t>
  </si>
  <si>
    <t>10.68*</t>
  </si>
  <si>
    <t>10.38*</t>
  </si>
  <si>
    <t>Hex1HexNAc1Sul1</t>
  </si>
  <si>
    <t>SGal-HexNAcol</t>
  </si>
  <si>
    <t>9.52*</t>
  </si>
  <si>
    <t>NeuAc1HexNAc1</t>
  </si>
  <si>
    <r>
      <t>NeuAc</t>
    </r>
    <r>
      <rPr>
        <sz val="11"/>
        <color theme="1"/>
        <rFont val="Calibri"/>
        <family val="2"/>
      </rPr>
      <t>α2-6GalNAcol</t>
    </r>
  </si>
  <si>
    <t>NeuGc1HexNAc1</t>
  </si>
  <si>
    <t>NeuGcα2-6GalNAcol</t>
  </si>
  <si>
    <t>530-3</t>
  </si>
  <si>
    <t>Fucα1-2Galβ1-3GalNAcol</t>
  </si>
  <si>
    <t>H</t>
  </si>
  <si>
    <t>587-1</t>
  </si>
  <si>
    <t>Galβ1-3(GlcNAcβ1-6)GalNAcol</t>
  </si>
  <si>
    <r>
      <t>Gal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1-4GlcNAc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1-3GalNAcol</t>
    </r>
  </si>
  <si>
    <t>type 2</t>
  </si>
  <si>
    <t>628-1</t>
  </si>
  <si>
    <t>HexNAc3</t>
  </si>
  <si>
    <r>
      <t>GalNAc</t>
    </r>
    <r>
      <rPr>
        <sz val="11"/>
        <color theme="1"/>
        <rFont val="Calibri"/>
        <family val="2"/>
      </rPr>
      <t>α1-3GlcNAcβ1-6GalNAcol</t>
    </r>
  </si>
  <si>
    <t>11.40*</t>
  </si>
  <si>
    <t>628-3</t>
  </si>
  <si>
    <r>
      <t>GlcNAc</t>
    </r>
    <r>
      <rPr>
        <sz val="11"/>
        <color theme="1"/>
        <rFont val="Calibri"/>
        <family val="2"/>
      </rPr>
      <t>β1-3(GlcNAcβ1-6)GalNAcol</t>
    </r>
  </si>
  <si>
    <t>667-3</t>
  </si>
  <si>
    <t>Hex1HexNAc2Sul1</t>
  </si>
  <si>
    <t>6SGalβ1-4GlcNAcβ1-3GalNAcol</t>
  </si>
  <si>
    <t>675-1</t>
  </si>
  <si>
    <t>NeuAc1Hex1HexNAc1</t>
  </si>
  <si>
    <t>Galβ1-3(NeuAcα2-6)GalNAcol</t>
  </si>
  <si>
    <t>675-2</t>
  </si>
  <si>
    <t>NeuAcα2-3Galβ1-3GalNAcol</t>
  </si>
  <si>
    <t>691-2</t>
  </si>
  <si>
    <t>NeuGc1Hex1HexNAc1</t>
  </si>
  <si>
    <r>
      <t>NeuGc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2-3Gal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1-3GalNAcol</t>
    </r>
  </si>
  <si>
    <t>14.17*</t>
  </si>
  <si>
    <t>HexNAc3Sul1</t>
  </si>
  <si>
    <r>
      <t>GlcNAc</t>
    </r>
    <r>
      <rPr>
        <sz val="11"/>
        <color theme="1"/>
        <rFont val="Calibri"/>
        <family val="2"/>
      </rPr>
      <t>β1-3(6SGlcNAcβ1-6)GalNAcol</t>
    </r>
  </si>
  <si>
    <t>14.95*</t>
  </si>
  <si>
    <t>14.66*</t>
  </si>
  <si>
    <t>14.48*</t>
  </si>
  <si>
    <t>14.30*</t>
  </si>
  <si>
    <t>14.14*</t>
  </si>
  <si>
    <t>14.06*</t>
  </si>
  <si>
    <t>13.65*</t>
  </si>
  <si>
    <t>716-1</t>
  </si>
  <si>
    <t>NeuAc1HexNAc2</t>
  </si>
  <si>
    <t>GlcNAcβ1-3(NeuAcα2-6)GalNAcol</t>
  </si>
  <si>
    <t>716-2</t>
  </si>
  <si>
    <r>
      <t>GalNAcα1-3</t>
    </r>
    <r>
      <rPr>
        <sz val="11"/>
        <color theme="1"/>
        <rFont val="Calibri"/>
        <family val="2"/>
      </rPr>
      <t>(NeuAcα2-6)</t>
    </r>
    <r>
      <rPr>
        <sz val="11"/>
        <color theme="1"/>
        <rFont val="Calibri"/>
        <family val="2"/>
        <scheme val="minor"/>
      </rPr>
      <t>GalNAcol</t>
    </r>
  </si>
  <si>
    <t>732-1</t>
  </si>
  <si>
    <t>NeuGc1HexNAc2</t>
  </si>
  <si>
    <t>GlcNAcβ1-3(NeuGcα2-6)GalNAcol</t>
  </si>
  <si>
    <t>732-2</t>
  </si>
  <si>
    <r>
      <t>GalNAcα1-3</t>
    </r>
    <r>
      <rPr>
        <sz val="11"/>
        <color theme="1"/>
        <rFont val="Calibri"/>
        <family val="2"/>
      </rPr>
      <t>(NeuGcα2-6)</t>
    </r>
    <r>
      <rPr>
        <sz val="11"/>
        <color theme="1"/>
        <rFont val="Calibri"/>
        <family val="2"/>
        <scheme val="minor"/>
      </rPr>
      <t>GalNAcol</t>
    </r>
  </si>
  <si>
    <t>733-1</t>
  </si>
  <si>
    <t>Hex1HexNAc2deHex1</t>
  </si>
  <si>
    <r>
      <t>Gal</t>
    </r>
    <r>
      <rPr>
        <sz val="11"/>
        <color theme="1"/>
        <rFont val="Calibri"/>
        <family val="2"/>
      </rPr>
      <t>β1-4</t>
    </r>
    <r>
      <rPr>
        <sz val="11"/>
        <color theme="1"/>
        <rFont val="Calibri"/>
        <family val="2"/>
        <scheme val="minor"/>
      </rPr>
      <t>(Fucα1-3)GlcNAcβ1-3GalNAcol</t>
    </r>
  </si>
  <si>
    <t>x</t>
  </si>
  <si>
    <t>10.10*</t>
  </si>
  <si>
    <t>10.09*</t>
  </si>
  <si>
    <t>733-3</t>
  </si>
  <si>
    <t>Fucα1-2(GalNAcα1-3)Galβ1-3GalNAcol</t>
  </si>
  <si>
    <t>A</t>
  </si>
  <si>
    <t>16.18*</t>
  </si>
  <si>
    <t>15.97*</t>
  </si>
  <si>
    <t>15.82*</t>
  </si>
  <si>
    <t>15.64*</t>
  </si>
  <si>
    <t>15.32*</t>
  </si>
  <si>
    <t>15.04*</t>
  </si>
  <si>
    <t>733-4</t>
  </si>
  <si>
    <r>
      <t>Fuc</t>
    </r>
    <r>
      <rPr>
        <sz val="11"/>
        <color theme="1"/>
        <rFont val="Calibri"/>
        <family val="2"/>
      </rPr>
      <t>α1-2Galβ1-4GlcNAcβ1-3GalNAcol</t>
    </r>
  </si>
  <si>
    <t>733-5</t>
  </si>
  <si>
    <t>Fucα1-2Galβ1-3(GlcNAcβ1-6)GalNAcol</t>
  </si>
  <si>
    <t>790-1</t>
  </si>
  <si>
    <t>Hex1HexNAc3</t>
  </si>
  <si>
    <r>
      <t>GlcNAc</t>
    </r>
    <r>
      <rPr>
        <sz val="11"/>
        <color theme="1"/>
        <rFont val="Calibri"/>
        <family val="2"/>
      </rPr>
      <t>β1-3(Galβ1-4GlcNAcβ1-6)GalNAcol</t>
    </r>
  </si>
  <si>
    <t>813-1</t>
  </si>
  <si>
    <t>Hex1HexNAc2eHex1Sul1</t>
  </si>
  <si>
    <t>SGalβ1-4(Fucα1-3)GlcNAcβ1-3GalNAcol</t>
  </si>
  <si>
    <t>14.72*</t>
  </si>
  <si>
    <t>14.60*</t>
  </si>
  <si>
    <t>14.44*</t>
  </si>
  <si>
    <t>14.31*</t>
  </si>
  <si>
    <t>13.89*</t>
  </si>
  <si>
    <t>NeuAc1Hex1HexNAc1deHex1</t>
  </si>
  <si>
    <r>
      <t>Fuc</t>
    </r>
    <r>
      <rPr>
        <sz val="11"/>
        <color theme="1"/>
        <rFont val="Calibri"/>
        <family val="2"/>
      </rPr>
      <t>α1-2Galβ1-3(NeuAcα2-6)GalNAcol</t>
    </r>
  </si>
  <si>
    <t>Hex2HexNAc2Sul1</t>
  </si>
  <si>
    <r>
      <t>Gal</t>
    </r>
    <r>
      <rPr>
        <sz val="11"/>
        <color theme="1"/>
        <rFont val="Calibri"/>
        <family val="2"/>
      </rPr>
      <t>β1-3(3SGalβ1-4GlcNAcβ1-6)GalNAcol</t>
    </r>
  </si>
  <si>
    <t>NeuGc1Hex1HexNAc1deHex1</t>
  </si>
  <si>
    <r>
      <t>Fuc</t>
    </r>
    <r>
      <rPr>
        <sz val="11"/>
        <color theme="1"/>
        <rFont val="Calibri"/>
        <family val="2"/>
      </rPr>
      <t>α1-2Galβ1-3(NeuGcα2-6)GalNAcol</t>
    </r>
  </si>
  <si>
    <t>26.54*</t>
  </si>
  <si>
    <t>Hex1HexNAc3Sul1</t>
  </si>
  <si>
    <t>GlcNAcβ1-3(SGalβ1-4GlcNAcβ1-6)GalNAcol</t>
  </si>
  <si>
    <t>NeuAc1Hex1HexNAc2</t>
  </si>
  <si>
    <r>
      <t>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</t>
    </r>
    <r>
      <rPr>
        <sz val="11"/>
        <color theme="1"/>
        <rFont val="Calibri"/>
        <family val="2"/>
      </rPr>
      <t>β1-3(NeuAcα2-6)GalNAcol</t>
    </r>
  </si>
  <si>
    <t>14.56*</t>
  </si>
  <si>
    <t>14.22*</t>
  </si>
  <si>
    <t>Hex1HexNAc2deHex2</t>
  </si>
  <si>
    <t>Fucα1-2Galβ1-3(Fucα1-4)GlcNAcβ1-3GalNAcol</t>
  </si>
  <si>
    <t>17.16*</t>
  </si>
  <si>
    <t>NeuGc1Hex1HexNAc2</t>
  </si>
  <si>
    <r>
      <t>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</t>
    </r>
    <r>
      <rPr>
        <sz val="11"/>
        <color theme="1"/>
        <rFont val="Calibri"/>
        <family val="2"/>
      </rPr>
      <t>β1-3(NeuGcα2-6)GalNAcol</t>
    </r>
  </si>
  <si>
    <t>13.98*</t>
  </si>
  <si>
    <t>Hex2HexNAc2deHex1</t>
  </si>
  <si>
    <t>Fucα1-2Galβ1-3(Galβ1-4GlcNAcβ1-6)GalNAcol</t>
  </si>
  <si>
    <t>Hex2HexNAc2Sul2</t>
  </si>
  <si>
    <t>SGalβ1-3(SGalβ-GlcNAcβ1-6)GalNAcol</t>
  </si>
  <si>
    <t>936-1</t>
  </si>
  <si>
    <t>Hex1HexNAc3deHex1</t>
  </si>
  <si>
    <t>936-3</t>
  </si>
  <si>
    <t>Fucα1-2Galβ1-3GlcNAcβ1-3(GlcNAcβ1-6)GalNAcol</t>
  </si>
  <si>
    <t>17.40*</t>
  </si>
  <si>
    <t>936-4</t>
  </si>
  <si>
    <r>
      <t>GlcNAc</t>
    </r>
    <r>
      <rPr>
        <sz val="11"/>
        <color theme="1"/>
        <rFont val="Calibri"/>
        <family val="2"/>
      </rPr>
      <t>β1-3(Fucα1-2Galβ1-4GlcNAcβ1-6)GalNAcol</t>
    </r>
  </si>
  <si>
    <t>Hex2HexNAc3</t>
  </si>
  <si>
    <t>Galβ1-4GlcNAcβ1-3(Galβ1-4GlcNAcβ1-6)GalNAcol</t>
  </si>
  <si>
    <t>16.86*</t>
  </si>
  <si>
    <t>NeuAc2Hex1HexNAc1</t>
  </si>
  <si>
    <t>NeuAcα2-3Galβ1-3(NeuAcα2-6)GalNAcol</t>
  </si>
  <si>
    <t>975-2</t>
  </si>
  <si>
    <t>Hex2HexNAc2deHex1Sul1</t>
  </si>
  <si>
    <t>Fucα1-2Galβ1-3[(6S)Galβ1-4GlcNAcβ1-6]GalNAcol</t>
  </si>
  <si>
    <t>26.42*</t>
  </si>
  <si>
    <t>1016-1</t>
  </si>
  <si>
    <t>Hex1HexNAc3deHex1Sul1</t>
  </si>
  <si>
    <t>GlcNAcβ1-3[SGalβ1-4(Fucα1-3)GlcNAcβ1-6]GalNAcol</t>
  </si>
  <si>
    <t>Lewis</t>
  </si>
  <si>
    <t>1024-1</t>
  </si>
  <si>
    <t>NeuAc1Hex1HexNAc2deHex1</t>
  </si>
  <si>
    <r>
      <t>Gal</t>
    </r>
    <r>
      <rPr>
        <sz val="11"/>
        <color theme="1"/>
        <rFont val="Calibri"/>
        <family val="2"/>
      </rPr>
      <t>β1-3</t>
    </r>
    <r>
      <rPr>
        <sz val="11"/>
        <color theme="1"/>
        <rFont val="Calibri"/>
        <family val="2"/>
        <scheme val="minor"/>
      </rPr>
      <t>(Fuc</t>
    </r>
    <r>
      <rPr>
        <sz val="11"/>
        <color theme="1"/>
        <rFont val="Calibri"/>
        <family val="2"/>
      </rPr>
      <t>α1-4</t>
    </r>
    <r>
      <rPr>
        <sz val="11"/>
        <color theme="1"/>
        <rFont val="Calibri"/>
        <family val="2"/>
        <scheme val="minor"/>
      </rPr>
      <t>)GlcNAcβ1-3(NeuAcα2-6)GalNAcol</t>
    </r>
  </si>
  <si>
    <t>1024-2</t>
  </si>
  <si>
    <t>Fucα1-2Galβ1-4GlcNAcβ1-3(NeuAcα2-6)GalNAcol</t>
  </si>
  <si>
    <t>Hex2HexNAc3Sul1</t>
  </si>
  <si>
    <r>
      <t>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</t>
    </r>
    <r>
      <rPr>
        <sz val="11"/>
        <color theme="1"/>
        <rFont val="Calibri"/>
        <family val="2"/>
      </rPr>
      <t>β1-3[(S)Gal-GlcNAcβ1-6]GalNAcol</t>
    </r>
  </si>
  <si>
    <t>19.76*</t>
  </si>
  <si>
    <t>1040-1</t>
  </si>
  <si>
    <t>NeuGc1Hex1HexNAc2deHex1</t>
  </si>
  <si>
    <t>Gal-(Fuc)GlcNAcβ1-3(NeuGcα2-6)GalNAcol</t>
  </si>
  <si>
    <t>13.16*</t>
  </si>
  <si>
    <t>1040-2</t>
  </si>
  <si>
    <t>Fucα1-2Galβ1-4GlcNAcβ1-3(NeuGcα2-6)GalNAcol</t>
  </si>
  <si>
    <t>1041-1</t>
  </si>
  <si>
    <t>Hex2HexNAc2deHex2</t>
  </si>
  <si>
    <r>
      <t>Fuc</t>
    </r>
    <r>
      <rPr>
        <sz val="11"/>
        <color theme="1"/>
        <rFont val="Calibri"/>
        <family val="2"/>
      </rPr>
      <t>α1-2Galβ1-3[Gal(Fuc)GlcNAcβ1-6]GalNAcol</t>
    </r>
  </si>
  <si>
    <t>24.15*</t>
  </si>
  <si>
    <t>1041-2</t>
  </si>
  <si>
    <r>
      <t>Fucα1-2Galβ1-3</t>
    </r>
    <r>
      <rPr>
        <sz val="11"/>
        <color theme="1"/>
        <rFont val="Calibri"/>
        <family val="2"/>
      </rPr>
      <t>(Fucα1-2Galβ1-4GlcNAcβ1-6)</t>
    </r>
    <r>
      <rPr>
        <sz val="11"/>
        <color theme="1"/>
        <rFont val="Calibri"/>
        <family val="2"/>
        <scheme val="minor"/>
      </rPr>
      <t>GalNAcol</t>
    </r>
  </si>
  <si>
    <t>Hex2HexNAc2deHex1Sul2</t>
  </si>
  <si>
    <r>
      <t>SGalβ1-3[SGal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-4(Fuc</t>
    </r>
    <r>
      <rPr>
        <sz val="11"/>
        <color theme="1"/>
        <rFont val="Calibri"/>
        <family val="2"/>
      </rPr>
      <t>α1-3</t>
    </r>
    <r>
      <rPr>
        <sz val="11"/>
        <color theme="1"/>
        <rFont val="Calibri"/>
        <family val="2"/>
        <scheme val="minor"/>
      </rPr>
      <t>)GlcNAcβ1-6]GalNAcol</t>
    </r>
  </si>
  <si>
    <t>17.94*</t>
  </si>
  <si>
    <t>Hex1HexNAc3deHex2</t>
  </si>
  <si>
    <t>GlcNAcβ1-3[Fucα1-2Gal-(Fuc)GlcNAcβ1-6]GalNAcol</t>
  </si>
  <si>
    <t>19.96*</t>
  </si>
  <si>
    <t>Hex2HexNAc2deHex2Sul1</t>
  </si>
  <si>
    <t>Fucα1-2Galβ1-3[Fucα1-2Galβ1-4(6S)GlcNAcβ1-6]GalNAcol</t>
  </si>
  <si>
    <t>26.27*</t>
  </si>
  <si>
    <t>NeuAc2Hex1HexNAc2</t>
  </si>
  <si>
    <t>NeuAcα2-3Galβ1-4GlcNAcβ1-3(NeuAcα2-6)GalNAcol</t>
  </si>
  <si>
    <t>21.43*</t>
  </si>
  <si>
    <t>20.88*</t>
  </si>
  <si>
    <t>NeuAc1Hex1HexNAc2deHex2</t>
  </si>
  <si>
    <r>
      <t>Fuc</t>
    </r>
    <r>
      <rPr>
        <sz val="11"/>
        <color theme="1"/>
        <rFont val="Calibri"/>
        <family val="2"/>
      </rPr>
      <t>α1-2Gal(Fuc)GlcNAcβ1-3(NeuAcα2-6)GalNAcol</t>
    </r>
  </si>
  <si>
    <t>17.45*</t>
  </si>
  <si>
    <t>NeuGc1Hex1HexNAc2deHex2</t>
  </si>
  <si>
    <t>Fucα1-2Gal(Fuc)GlcNAcβ1-3(NeuGcα2-6)GalNAcol</t>
  </si>
  <si>
    <t>17.35*</t>
  </si>
  <si>
    <t>Hex2HexNAc2deHex3</t>
  </si>
  <si>
    <t>Fucα1-2Galβ1-3[Fucα1-2Gal(Fuc)GlcNAcβ1-6]GalNAcol</t>
  </si>
  <si>
    <t>26.14*</t>
  </si>
  <si>
    <t>23.67*</t>
  </si>
  <si>
    <t>Hex1HexNAc4deHex1Sul1</t>
  </si>
  <si>
    <t>GlcNAcβ1-3[GalNAcα1-3(Fucα1-2)Galβ1-(6S)GlcNAcβ1-6]GalNAcol</t>
  </si>
  <si>
    <t>18.84*</t>
  </si>
  <si>
    <t>18.46*</t>
  </si>
  <si>
    <t>17.61*</t>
  </si>
  <si>
    <t>17.08*</t>
  </si>
  <si>
    <t>Footnote:</t>
  </si>
  <si>
    <t>RT59</t>
  </si>
  <si>
    <t>Intensity57</t>
  </si>
  <si>
    <t>Percentage28</t>
  </si>
  <si>
    <t>RT58</t>
  </si>
  <si>
    <t>Intenstity</t>
  </si>
  <si>
    <t>Percentage27</t>
  </si>
  <si>
    <t>Percentage</t>
  </si>
  <si>
    <t>RT60</t>
  </si>
  <si>
    <t>Intensity58</t>
  </si>
  <si>
    <t>Percentage29</t>
  </si>
  <si>
    <t>RT61</t>
  </si>
  <si>
    <t>Intensity59</t>
  </si>
  <si>
    <t>Percentage30</t>
  </si>
  <si>
    <t>RT62</t>
  </si>
  <si>
    <t>Intensity60</t>
  </si>
  <si>
    <t>Percentage33</t>
  </si>
  <si>
    <t>RT63</t>
  </si>
  <si>
    <t>Intensity61</t>
  </si>
  <si>
    <t>Percentage31</t>
  </si>
  <si>
    <t>Percentage323</t>
  </si>
  <si>
    <t>Percentage326</t>
  </si>
  <si>
    <t>Percentage329</t>
  </si>
  <si>
    <t>Percentage332</t>
  </si>
  <si>
    <t>Percentage335</t>
  </si>
  <si>
    <t>Percentage338</t>
  </si>
  <si>
    <t>Percentage341</t>
  </si>
  <si>
    <t>Percentage344</t>
  </si>
  <si>
    <t>Percentage347</t>
  </si>
  <si>
    <t>11.06*</t>
  </si>
  <si>
    <t>3SGalβ1-3GalNAcol</t>
  </si>
  <si>
    <t>505-2</t>
  </si>
  <si>
    <t>HexNAc2Sul1</t>
  </si>
  <si>
    <t>6SGlcNAcβ1-6GalNAcol</t>
  </si>
  <si>
    <t>32.20*</t>
  </si>
  <si>
    <t>38.54*</t>
  </si>
  <si>
    <t>587-4</t>
  </si>
  <si>
    <t>Galβ1-4GlcNAcβ1-6GalNAcol</t>
  </si>
  <si>
    <t>GlcNAcβ1-3GlcNAcβ1-6GalNAcol</t>
  </si>
  <si>
    <t>628-4</t>
  </si>
  <si>
    <r>
      <t>GalNAc</t>
    </r>
    <r>
      <rPr>
        <sz val="11"/>
        <color theme="1"/>
        <rFont val="Calibri"/>
        <family val="2"/>
      </rPr>
      <t>β1-4GlcNAcβ1-6GalNAcol</t>
    </r>
  </si>
  <si>
    <t>667-1</t>
  </si>
  <si>
    <t>Galβ1-3(6SGlcNAcβ1-6)GalNAcol</t>
  </si>
  <si>
    <t>667-2</t>
  </si>
  <si>
    <t>3SGalβ1-3(GlcNAcβ1-6)GalNAcol</t>
  </si>
  <si>
    <t>667-5</t>
  </si>
  <si>
    <t>3SGalβ1-4GlcNAcβ1-3GalNAcol</t>
  </si>
  <si>
    <t>25.98*</t>
  </si>
  <si>
    <t>691-1</t>
  </si>
  <si>
    <t>Galβ1-3(NeuGcα2-6)GalNAcol</t>
  </si>
  <si>
    <r>
      <t>6SGalNAc</t>
    </r>
    <r>
      <rPr>
        <sz val="11"/>
        <color theme="1"/>
        <rFont val="Calibri"/>
        <family val="2"/>
      </rPr>
      <t>β1-4GlcNAcβ1-3GalNAcol</t>
    </r>
  </si>
  <si>
    <t>18.37*</t>
  </si>
  <si>
    <t>20.42*</t>
  </si>
  <si>
    <t>21.31*</t>
  </si>
  <si>
    <t>20.61*</t>
  </si>
  <si>
    <t>19.52*</t>
  </si>
  <si>
    <t>18.38*</t>
  </si>
  <si>
    <t>21.76*</t>
  </si>
  <si>
    <t>20.55*</t>
  </si>
  <si>
    <t>19.17*</t>
  </si>
  <si>
    <t>38.45*</t>
  </si>
  <si>
    <t>Galβ1-3(Galβ1-4GlcNAcβ1-6)GalNAcol</t>
  </si>
  <si>
    <r>
      <t>GlcNAc</t>
    </r>
    <r>
      <rPr>
        <sz val="11"/>
        <color theme="1"/>
        <rFont val="Calibri"/>
        <family val="2"/>
      </rPr>
      <t>β1-3(Galβ1-3GlcNAcβ1-6)GalNAcol</t>
    </r>
  </si>
  <si>
    <t>952-1</t>
  </si>
  <si>
    <t>790-2</t>
  </si>
  <si>
    <t>952-3</t>
  </si>
  <si>
    <t>790-3</t>
  </si>
  <si>
    <t>GlcNAcβ1-3Galβ1-4GlcNAcβ1-3GalNAcol</t>
  </si>
  <si>
    <t>27.47*</t>
  </si>
  <si>
    <t>790-4</t>
  </si>
  <si>
    <t>GlcNAcβ1-3Galβ1-4GlcNAcβ1-6GalNAcol</t>
  </si>
  <si>
    <t>43.29*</t>
  </si>
  <si>
    <t>41.85*</t>
  </si>
  <si>
    <t>829-1</t>
  </si>
  <si>
    <t>Galβ1-3[Galβ1-4(6S)GlcNAcβ1-6]GalNAcol</t>
  </si>
  <si>
    <t>829-2</t>
  </si>
  <si>
    <t>HexNAc4</t>
  </si>
  <si>
    <t>GlcNAcβ1-3(GalNAcβ1-4GlcNAcβ1-6)GalNAcol</t>
  </si>
  <si>
    <t>22.41*</t>
  </si>
  <si>
    <t>23.47*</t>
  </si>
  <si>
    <t>23.08*</t>
  </si>
  <si>
    <t>22.00*</t>
  </si>
  <si>
    <t>20.25*</t>
  </si>
  <si>
    <t>870-1</t>
  </si>
  <si>
    <t>870-2</t>
  </si>
  <si>
    <t>GlcNAcβ1-3(3SGalβ1-4GlcNAcβ1-6)GalNAcol</t>
  </si>
  <si>
    <t>878-1</t>
  </si>
  <si>
    <t>878-3</t>
  </si>
  <si>
    <t>NeuAcα2-3Galβ1-3(GlcNAcβ1-6)GlcNAcol</t>
  </si>
  <si>
    <t>31.59*</t>
  </si>
  <si>
    <t>37.27*</t>
  </si>
  <si>
    <t>33.77*</t>
  </si>
  <si>
    <t>31.07*</t>
  </si>
  <si>
    <t>894-1</t>
  </si>
  <si>
    <t>895-3</t>
  </si>
  <si>
    <t>40.02*</t>
  </si>
  <si>
    <t>Galβ1-3(Galα1-3Galβ1-4GlcNAcβ1-6)GalNAcol</t>
  </si>
  <si>
    <t>24.64*</t>
  </si>
  <si>
    <t>29.69*</t>
  </si>
  <si>
    <t>936-5</t>
  </si>
  <si>
    <t>25.31*</t>
  </si>
  <si>
    <t>23.71*</t>
  </si>
  <si>
    <t>Galβ1-4GlcNAcβ1-3Galβ1-4GlcNAcβ1-3GalNAcol</t>
  </si>
  <si>
    <t>33.00*</t>
  </si>
  <si>
    <r>
      <t>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</t>
    </r>
    <r>
      <rPr>
        <sz val="11"/>
        <color theme="1"/>
        <rFont val="Calibri"/>
        <family val="2"/>
      </rPr>
      <t>β1-3[3SGalβ1-4GlcNAcβ1-6]GalNAcol</t>
    </r>
  </si>
  <si>
    <t>NeuAc1Hex2HexNAc2</t>
  </si>
  <si>
    <t>Galβ1-3(NeuAcα2-3Galβ1-4GlcNAcβ1-6)GalNAcol</t>
  </si>
  <si>
    <t>NeuGc1Hex2HexNAc2</t>
  </si>
  <si>
    <t>NeuGcα2-3Galβ1-3(Galβ1-4GlcNAcβ1-6)GalNAcol</t>
  </si>
  <si>
    <t>34.36*</t>
  </si>
  <si>
    <t>32.34*</t>
  </si>
  <si>
    <t>1081-1</t>
  </si>
  <si>
    <t>NeuAc1Hex1HexNAc3</t>
  </si>
  <si>
    <t>GlcNAcβ1-3Galβ1-4GlcNAcβ1-3(NeuAcα2-6)GalNAcol</t>
  </si>
  <si>
    <t>28.72*</t>
  </si>
  <si>
    <t>1081-2</t>
  </si>
  <si>
    <t>GlcNAcβ1-3(NeuAcα2-3Galβ1-4GlcNAcβ1-6)GalNAcol</t>
  </si>
  <si>
    <t>37.04*</t>
  </si>
  <si>
    <t>Hex2HexNAc3deHex1</t>
  </si>
  <si>
    <t>Fucα1-2(GalNAcα1-3)Galβ1-3(Galβ1-4GlcNAcβ1-6)GalNAcol</t>
  </si>
  <si>
    <t>27.31*</t>
  </si>
  <si>
    <t>32.75*</t>
  </si>
  <si>
    <t>Hex3HexNAc4</t>
  </si>
  <si>
    <t>GlcNAcβ1-2Manα1-3(GlcNAcβ1-2Manα1-6)Manβ1-4GlcNAcβ1-4GlcNAcol</t>
  </si>
  <si>
    <t>28.28*</t>
  </si>
  <si>
    <t>27.73*</t>
  </si>
  <si>
    <t>25.83*</t>
  </si>
  <si>
    <t>Hex3HexNAc4deHex1</t>
  </si>
  <si>
    <t>GlcNAcβ1-2Manα1-3(GlcNAcβ1-2Manα1-6)Manβ1-4GlcNAcβ1-4(Fucα1-6)GlcNAcol</t>
  </si>
  <si>
    <t>Hex5HexNAc4Sul1</t>
  </si>
  <si>
    <t>4SGalNAcβ1-4GlcNAcβ1-2Manα1-3[Manα1-3(Manα1-6)Manα1-6]Manβ1-4GlcNAcβ1-4GlcNAcol</t>
  </si>
  <si>
    <t>Hex3HexNAc6Sul2</t>
  </si>
  <si>
    <t>4SGalNAcβ1-4GlcNAcβ1-2Manα1-3(4SGalNAcβ1-4GlcNAcβ1-2Manα1-6)Manβ1-4GlcNAcβ1-4GlcNAcol</t>
  </si>
  <si>
    <t>4SGalNAc</t>
  </si>
  <si>
    <t>Hex3HexNAc6deHex1Sul2</t>
  </si>
  <si>
    <r>
      <t>Intensity</t>
    </r>
    <r>
      <rPr>
        <vertAlign val="superscript"/>
        <sz val="11"/>
        <color theme="1"/>
        <rFont val="Calibri"/>
        <family val="2"/>
      </rPr>
      <t xml:space="preserve"> [11]</t>
    </r>
  </si>
  <si>
    <t>7.52*</t>
  </si>
  <si>
    <t>7.41*</t>
  </si>
  <si>
    <t>6.36*</t>
  </si>
  <si>
    <r>
      <t>GlcNAc</t>
    </r>
    <r>
      <rPr>
        <sz val="11"/>
        <color theme="1"/>
        <rFont val="Calibri"/>
        <family val="2"/>
      </rPr>
      <t>β1-6GalNAcol</t>
    </r>
  </si>
  <si>
    <t>11.31*</t>
  </si>
  <si>
    <r>
      <rPr>
        <sz val="11"/>
        <color theme="1"/>
        <rFont val="Calibri"/>
        <family val="2"/>
      </rPr>
      <t>NeuAcα2-6</t>
    </r>
    <r>
      <rPr>
        <sz val="11"/>
        <color theme="1"/>
        <rFont val="Calibri"/>
        <family val="2"/>
        <scheme val="minor"/>
      </rPr>
      <t>GalNAcol</t>
    </r>
  </si>
  <si>
    <r>
      <rPr>
        <sz val="11"/>
        <color theme="1"/>
        <rFont val="Calibri"/>
        <family val="2"/>
      </rPr>
      <t>NeuGcα2-6</t>
    </r>
    <r>
      <rPr>
        <sz val="11"/>
        <color theme="1"/>
        <rFont val="Calibri"/>
        <family val="2"/>
        <scheme val="minor"/>
      </rPr>
      <t>GalNAcol</t>
    </r>
  </si>
  <si>
    <t>9.05*</t>
  </si>
  <si>
    <t>9.29*</t>
  </si>
  <si>
    <t>11.03*</t>
  </si>
  <si>
    <t>Galβ1-4GlcNAcβ1-3GalNAcol</t>
  </si>
  <si>
    <t>587-3</t>
  </si>
  <si>
    <r>
      <t>GlcNAc</t>
    </r>
    <r>
      <rPr>
        <sz val="11"/>
        <rFont val="Calibri"/>
        <family val="2"/>
      </rPr>
      <t>β1-3(GlcNAcβ1-6)GalNAcol</t>
    </r>
  </si>
  <si>
    <t>13.32*</t>
  </si>
  <si>
    <t>12.06*</t>
  </si>
  <si>
    <t>11.94*</t>
  </si>
  <si>
    <t>11.8*</t>
  </si>
  <si>
    <r>
      <t>GlcNAcβ1-3</t>
    </r>
    <r>
      <rPr>
        <sz val="11"/>
        <color theme="1"/>
        <rFont val="Calibri"/>
        <family val="2"/>
      </rPr>
      <t>(NeuAcα2-6)</t>
    </r>
    <r>
      <rPr>
        <sz val="11"/>
        <color theme="1"/>
        <rFont val="Calibri"/>
        <family val="2"/>
        <scheme val="minor"/>
      </rPr>
      <t>GalNAcol</t>
    </r>
  </si>
  <si>
    <t>13.69*</t>
  </si>
  <si>
    <t>732</t>
  </si>
  <si>
    <r>
      <t>GlcNAcβ1-3</t>
    </r>
    <r>
      <rPr>
        <sz val="11"/>
        <color theme="1"/>
        <rFont val="Calibri"/>
        <family val="2"/>
      </rPr>
      <t>(NeuGcα2-6)</t>
    </r>
    <r>
      <rPr>
        <sz val="11"/>
        <color theme="1"/>
        <rFont val="Calibri"/>
        <family val="2"/>
        <scheme val="minor"/>
      </rPr>
      <t>GalNAcol</t>
    </r>
  </si>
  <si>
    <t>12.73*</t>
  </si>
  <si>
    <t>13.46*</t>
  </si>
  <si>
    <t>16.99*</t>
  </si>
  <si>
    <t>16.76*</t>
  </si>
  <si>
    <t>Sum</t>
  </si>
  <si>
    <t>1317-1</t>
  </si>
  <si>
    <t>16.93*</t>
  </si>
  <si>
    <t>Hex4HexNAc4</t>
  </si>
  <si>
    <t>Galβ1-4GlcNAcβ1-2Manα1-3(GlcNAcβ1-2Manα1-6)Manβ1-4GlcNAcβ1-4GlcNAcol</t>
  </si>
  <si>
    <t>Hex3HexNAc5</t>
  </si>
  <si>
    <t>GlcNAcβ1-2(GlcNAcβ1-4)Manα1-3(GlcNAcβ1-2Manα1-6)Manβ1-4GlcNAcβ1-4GlcNAcol</t>
  </si>
  <si>
    <t>Hex5HexNAc4</t>
  </si>
  <si>
    <t>Galβ1-4GlcNAcβ1-2Manα1-3(Galβ1-4GlcNAcβ1-2Manα1-6)Manβ1-4GlcNAcβ1-4GlcNAcol</t>
  </si>
  <si>
    <t>18.45*</t>
  </si>
  <si>
    <t>1682-1</t>
  </si>
  <si>
    <t>Hex4HexNAc5</t>
  </si>
  <si>
    <t>GlcNAcβ1-2(GlcNAcβ1-4)Manα1-3(Galβ1-4GlcNAcβ1-2Manα1-6)Manβ1-4GlcNAcβ1-4GlcNAcol</t>
  </si>
  <si>
    <t>25.04*</t>
  </si>
  <si>
    <t>19.70*</t>
  </si>
  <si>
    <t>1682-2</t>
  </si>
  <si>
    <t>Galβ1-4GlcNAcβ1-2(GlcNAcβ1-4)Manα1-3(GlcNAcβ1-2Manα1-6)Manβ1-4GlcNAcβ1-4GlcNAcol</t>
  </si>
  <si>
    <t>Hex3HexNAc6</t>
  </si>
  <si>
    <t>GlcNAcβ1-2(GlcNAcβ1-4)Manα1-3[GlcNAcβ1-2(GlcNAcβ1-6)Manα1-6]Manβ1-4GlcNAcβ1-4GlcNAcol</t>
  </si>
  <si>
    <t>Hex5HexNAc5</t>
  </si>
  <si>
    <t>GlcNAcβ1-2(Galβ1-4GlcNAcβ1-4)Manα1-3(Galβ1-4GlcNAcβ1-2Manα1-6)Manβ1-4GlcNAcβ1-4GlcNAcol</t>
  </si>
  <si>
    <t>Hex6HexNAc5</t>
  </si>
  <si>
    <t>Galβ1-4GlcNAcβ1-2(Galβ1-4GlcNAcβ1-4)Manα1-3(Galβ1-4GlcNAcβ1-2Manα1-6)Manβ1-4GlcNAcβ1-4GlcNAcol</t>
  </si>
  <si>
    <t>20.28*</t>
  </si>
  <si>
    <t>[3]</t>
  </si>
  <si>
    <t>The cartoon figure is described as "NeuAcα2-6Galβ1-4GlcNAcβ1-2(Galβ1-4GlcNAcβ1-4)Manα1-3(GlcNAcβ1-4)(Galβ1-4GlcNAcβ1-2Manα1-6)Manβ1-4GlcNAcβ1-4(Fucα1-6)GlcNAcol"</t>
  </si>
  <si>
    <t>[4]</t>
  </si>
  <si>
    <t>[5]</t>
  </si>
  <si>
    <t>[6]</t>
  </si>
  <si>
    <t>Retention time (RT) of selected structure on LC;</t>
  </si>
  <si>
    <t>The intensity is area-under-the-curves (AUCs) of each glycan. For comparsion of glycan abundances between samples, the intensity is normalised to total AUC (summed AUCs of all glycans in a sample) and expressed as a percentage.</t>
  </si>
  <si>
    <t>Control</t>
  </si>
  <si>
    <r>
      <t>Reactions with DFLNHa [Fuc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1-2Galβ1-3GlcNAcβ1-3[Galβ1-4(Fucα1-3)GlcNAcβ1-6]Galβ1-4Glcol</t>
    </r>
    <r>
      <rPr>
        <sz val="11"/>
        <color theme="1"/>
        <rFont val="Calibri"/>
        <family val="2"/>
        <scheme val="minor"/>
      </rPr>
      <t>] incubated with fucosidases generates the main product with m/z 1073_1 [Galβ1-3GlcNAcβ1-3(Galβ1-4GlcNAcβ1-6)Galβ1-4Glcol]</t>
    </r>
  </si>
  <si>
    <t>Control reactions performed in the same conditions as GH2 enzymes by adding enzyme buffer instead of active enzyme</t>
  </si>
  <si>
    <t>Gal [4]</t>
  </si>
  <si>
    <t>Intensity2</t>
  </si>
  <si>
    <t>β1-3</t>
  </si>
  <si>
    <t>β1-4</t>
  </si>
  <si>
    <t>β1-3/β1-4</t>
  </si>
  <si>
    <t xml:space="preserve">RT*=manual calculation of intensity for glycan with MS2; </t>
  </si>
  <si>
    <t>[1]</t>
  </si>
  <si>
    <t>mass of strucutre in negative ion mode; mass with hyphens indicates the isomeric structures;</t>
  </si>
  <si>
    <t>[2]</t>
  </si>
  <si>
    <r>
      <t xml:space="preserve">(Hex) hexose; (HexNAc)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-acetylhexosamine; (deHex) fucose; (NeuAc)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-acetylneuraminic acid; (NeuGc) N-acetyl glycolylneuraminic acid; (S) sulfate</t>
    </r>
  </si>
  <si>
    <t>Structures are given in the text according following rules: the structure is described clockwise and left-to-right where reducing end locates righmost side (as shown in cartoon figure); "-" is used for uncertain location</t>
  </si>
  <si>
    <t>[RT]</t>
  </si>
  <si>
    <t>[Intensity]</t>
  </si>
  <si>
    <t>Main glycan detected in control sample</t>
  </si>
  <si>
    <t>Main glycan detected after incubation with GH2 enzymes</t>
  </si>
  <si>
    <t>Supplementary Table 9B. LC-MS analysis of activity of GH2 on bovine submaxillary mucin (BSM)</t>
  </si>
  <si>
    <t>core 2</t>
  </si>
  <si>
    <t>core 1</t>
  </si>
  <si>
    <t>type 1</t>
  </si>
  <si>
    <t>core2/type 2</t>
  </si>
  <si>
    <r>
      <t>GlcNAcβ1-3[Gal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-4(Fuc</t>
    </r>
    <r>
      <rPr>
        <sz val="11"/>
        <color theme="1"/>
        <rFont val="Calibri"/>
        <family val="2"/>
      </rPr>
      <t>α1-3</t>
    </r>
    <r>
      <rPr>
        <sz val="11"/>
        <color theme="1"/>
        <rFont val="Calibri"/>
        <family val="2"/>
        <scheme val="minor"/>
      </rPr>
      <t>)GlcNAcβ1-6]GalNAcol</t>
    </r>
  </si>
  <si>
    <t>H/Lewis</t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</si>
  <si>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-galactosamine; (NA) not assigned; (nd) not detected;  type 1 or type 2</t>
    </r>
  </si>
  <si>
    <t>Terminal galactose linkage; No terminal galactose (0)</t>
  </si>
  <si>
    <t>Sialylation [5]</t>
  </si>
  <si>
    <t>Sul [5]</t>
  </si>
  <si>
    <t>Fuc [6]</t>
  </si>
  <si>
    <t>Terminal galactose linkage; Non-reducing end galactose present (1) or absent (0)</t>
  </si>
  <si>
    <t>Sialylation/sulfation present (1) or absent (0)</t>
  </si>
  <si>
    <t>Supplementary Table 9C. LC-MS analysis of activity of GH2 on bovine submaxillary mucin (BSM) treated with sialidase and fucosidases</t>
  </si>
  <si>
    <t>Percentage32</t>
  </si>
  <si>
    <t>Percentage322</t>
  </si>
  <si>
    <t>Percentage324</t>
  </si>
  <si>
    <t>Percentage325</t>
  </si>
  <si>
    <t>Percentage327</t>
  </si>
  <si>
    <t>Percentage328</t>
  </si>
  <si>
    <t>Percentage330</t>
  </si>
  <si>
    <t>Percentage331</t>
  </si>
  <si>
    <t>Percentage333</t>
  </si>
  <si>
    <t>Percentage334</t>
  </si>
  <si>
    <t>Percentage336</t>
  </si>
  <si>
    <t>Percentage337</t>
  </si>
  <si>
    <t>Percentage339</t>
  </si>
  <si>
    <t>Percentage340</t>
  </si>
  <si>
    <t>Percentage342</t>
  </si>
  <si>
    <t>Percentage343</t>
  </si>
  <si>
    <t>Percentage345</t>
  </si>
  <si>
    <t>Percentage346</t>
  </si>
  <si>
    <r>
      <t>4SGalNAcβ1-4GlcNAcβ1-2Manα1-3(4SGalNAcβ1-4GlcNAcβ1-2Manα1-6)Manβ1-4GlcNAcβ1-4(Fuc</t>
    </r>
    <r>
      <rPr>
        <sz val="11"/>
        <rFont val="Calibri"/>
        <family val="2"/>
      </rPr>
      <t>α</t>
    </r>
    <r>
      <rPr>
        <sz val="8.8000000000000007"/>
        <rFont val="Calibri"/>
        <family val="2"/>
      </rPr>
      <t>1-6)</t>
    </r>
    <r>
      <rPr>
        <sz val="11"/>
        <rFont val="Calibri"/>
        <family val="2"/>
        <scheme val="minor"/>
      </rPr>
      <t>GlcNAcol</t>
    </r>
  </si>
  <si>
    <r>
      <rPr>
        <b/>
        <i/>
        <sz val="18"/>
        <color theme="1"/>
        <rFont val="Calibri"/>
        <family val="2"/>
        <scheme val="minor"/>
      </rPr>
      <t>O</t>
    </r>
    <r>
      <rPr>
        <b/>
        <sz val="18"/>
        <color theme="1"/>
        <rFont val="Calibri"/>
        <family val="2"/>
        <scheme val="minor"/>
      </rPr>
      <t xml:space="preserve">-glycans </t>
    </r>
  </si>
  <si>
    <r>
      <rPr>
        <b/>
        <i/>
        <sz val="18"/>
        <color theme="1"/>
        <rFont val="Calibri"/>
        <family val="2"/>
        <scheme val="minor"/>
      </rPr>
      <t>N</t>
    </r>
    <r>
      <rPr>
        <b/>
        <sz val="18"/>
        <color theme="1"/>
        <rFont val="Calibri"/>
        <family val="2"/>
        <scheme val="minor"/>
      </rPr>
      <t xml:space="preserve">-glycans </t>
    </r>
  </si>
  <si>
    <t>Types of fucose modifications</t>
  </si>
  <si>
    <t>core 3</t>
  </si>
  <si>
    <t>core 1/type 2</t>
  </si>
  <si>
    <t>core 1/type 1/2</t>
  </si>
  <si>
    <t>Not detected after incubation with galactosidase</t>
  </si>
  <si>
    <t xml:space="preserve">Glycans not detected in one or more samples due to low intensity </t>
  </si>
  <si>
    <r>
      <t>Gal</t>
    </r>
    <r>
      <rPr>
        <vertAlign val="superscript"/>
        <sz val="11"/>
        <color theme="1"/>
        <rFont val="Calibri"/>
        <family val="2"/>
      </rPr>
      <t xml:space="preserve"> [4]</t>
    </r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</si>
  <si>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-galactosamine; (S) sulfation; (NA) not assigned; (nd) not detected; </t>
    </r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</si>
  <si>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-galactosamine; (S) sulfation; (Man) mannose (NA) not assigned; (nd) not detected; </t>
    </r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</si>
  <si>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-galactosamine; (Man) mannose; (NA) not assigned; (nd) not detected; </t>
    </r>
  </si>
  <si>
    <t>Only detected after incubation with galactosidase</t>
  </si>
  <si>
    <t>Supplementary Table 9C. LC-MS analysis of activity of GH2 on P selectin glycoprotein ligand-1 (PSGL-1) expressing core 4</t>
  </si>
  <si>
    <t>Supplementary Table 9A. LC-MS analysis of activity of GH2 on complex human milk oligosaccharide structure</t>
  </si>
  <si>
    <t>Substrate incubated with BT1625 (1,3/1,4-fucosidase) + BT3173 (1,2-fucosidase)</t>
  </si>
  <si>
    <t>Substrate incubated with BT0455 (sialidase) + BT1625 (1,3/1,4-fucosidase) + BT3173 (1,2-fucosidase)</t>
  </si>
  <si>
    <t>Substrate incubated with BT0455 (sialidase)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</si>
</sst>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vertAlign val="superscript"/>
      <sz val="11"/>
      <color theme="1"/>
      <name val="Calibri"/>
      <family val="2"/>
    </font>
    <font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rgb="FF00B05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Arial Bold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.8000000000000007"/>
      <name val="Calibri"/>
      <family val="2"/>
    </font>
    <font>
      <b/>
      <i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DBD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35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4" xfId="1" applyFont="1" applyBorder="1"/>
    <xf numFmtId="0" fontId="0" fillId="0" borderId="0" xfId="1" applyFont="1"/>
    <xf numFmtId="0" fontId="2" fillId="0" borderId="2" xfId="3" applyBorder="1" applyAlignment="1">
      <alignment horizontal="right" vertical="center"/>
    </xf>
    <xf numFmtId="2" fontId="1" fillId="0" borderId="0" xfId="1" applyNumberFormat="1" applyFont="1"/>
    <xf numFmtId="0" fontId="2" fillId="0" borderId="2" xfId="3" applyBorder="1" applyAlignment="1">
      <alignment horizontal="center" vertical="center"/>
    </xf>
    <xf numFmtId="0" fontId="1" fillId="0" borderId="3" xfId="1" applyFont="1" applyBorder="1"/>
    <xf numFmtId="164" fontId="0" fillId="0" borderId="0" xfId="2" applyNumberFormat="1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8" fillId="0" borderId="0" xfId="1" applyFon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2" xfId="3" applyBorder="1" applyAlignment="1">
      <alignment horizontal="left" vertical="center"/>
    </xf>
    <xf numFmtId="0" fontId="2" fillId="0" borderId="2" xfId="3" applyBorder="1" applyAlignment="1">
      <alignment horizontal="right"/>
    </xf>
    <xf numFmtId="0" fontId="0" fillId="0" borderId="2" xfId="0" applyBorder="1" applyAlignment="1">
      <alignment horizontal="right"/>
    </xf>
    <xf numFmtId="1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right"/>
    </xf>
    <xf numFmtId="1" fontId="2" fillId="0" borderId="2" xfId="3" applyNumberForma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2" fillId="0" borderId="5" xfId="3" applyNumberFormat="1" applyBorder="1" applyAlignment="1">
      <alignment horizontal="right"/>
    </xf>
    <xf numFmtId="1" fontId="0" fillId="0" borderId="2" xfId="1" applyNumberFormat="1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2" fillId="0" borderId="3" xfId="3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" fillId="0" borderId="3" xfId="3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3" xfId="2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1" applyFont="1" applyBorder="1" applyAlignment="1">
      <alignment horizontal="center"/>
    </xf>
    <xf numFmtId="0" fontId="12" fillId="0" borderId="0" xfId="0" applyFont="1"/>
    <xf numFmtId="0" fontId="2" fillId="0" borderId="1" xfId="3" applyBorder="1" applyAlignment="1">
      <alignment horizontal="right"/>
    </xf>
    <xf numFmtId="0" fontId="0" fillId="0" borderId="7" xfId="0" applyBorder="1" applyAlignment="1">
      <alignment horizontal="right"/>
    </xf>
    <xf numFmtId="0" fontId="2" fillId="0" borderId="1" xfId="3" applyBorder="1" applyAlignment="1">
      <alignment horizontal="center"/>
    </xf>
    <xf numFmtId="164" fontId="2" fillId="0" borderId="1" xfId="3" applyNumberFormat="1" applyBorder="1" applyAlignment="1">
      <alignment horizontal="right"/>
    </xf>
    <xf numFmtId="0" fontId="2" fillId="0" borderId="8" xfId="3" applyBorder="1" applyAlignment="1">
      <alignment horizontal="right"/>
    </xf>
    <xf numFmtId="164" fontId="2" fillId="2" borderId="5" xfId="3" applyNumberFormat="1" applyFill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15" fillId="0" borderId="0" xfId="0" applyFont="1"/>
    <xf numFmtId="164" fontId="0" fillId="3" borderId="0" xfId="2" applyNumberFormat="1" applyFont="1" applyFill="1" applyAlignment="1">
      <alignment horizontal="right"/>
    </xf>
    <xf numFmtId="164" fontId="0" fillId="2" borderId="0" xfId="2" applyNumberFormat="1" applyFont="1" applyFill="1" applyAlignment="1">
      <alignment horizontal="right"/>
    </xf>
    <xf numFmtId="0" fontId="0" fillId="0" borderId="0" xfId="1" applyFont="1" applyAlignment="1">
      <alignment horizontal="left"/>
    </xf>
    <xf numFmtId="0" fontId="0" fillId="2" borderId="11" xfId="0" applyFill="1" applyBorder="1"/>
    <xf numFmtId="0" fontId="0" fillId="3" borderId="11" xfId="0" applyFill="1" applyBorder="1"/>
    <xf numFmtId="0" fontId="1" fillId="0" borderId="8" xfId="1" applyFont="1" applyBorder="1"/>
    <xf numFmtId="0" fontId="1" fillId="0" borderId="13" xfId="1" applyFont="1" applyBorder="1"/>
    <xf numFmtId="2" fontId="0" fillId="0" borderId="8" xfId="2" applyNumberFormat="1" applyFont="1" applyBorder="1" applyAlignment="1">
      <alignment horizontal="right"/>
    </xf>
    <xf numFmtId="164" fontId="1" fillId="0" borderId="0" xfId="1" applyNumberFormat="1" applyFont="1"/>
    <xf numFmtId="164" fontId="1" fillId="0" borderId="5" xfId="1" applyNumberFormat="1" applyFont="1" applyBorder="1"/>
    <xf numFmtId="2" fontId="2" fillId="0" borderId="8" xfId="1" applyNumberFormat="1" applyBorder="1" applyAlignment="1">
      <alignment horizontal="right"/>
    </xf>
    <xf numFmtId="164" fontId="1" fillId="3" borderId="0" xfId="1" applyNumberFormat="1" applyFont="1" applyFill="1"/>
    <xf numFmtId="2" fontId="2" fillId="2" borderId="8" xfId="1" applyNumberFormat="1" applyFill="1" applyBorder="1" applyAlignment="1">
      <alignment horizontal="right"/>
    </xf>
    <xf numFmtId="164" fontId="1" fillId="2" borderId="0" xfId="1" applyNumberFormat="1" applyFont="1" applyFill="1"/>
    <xf numFmtId="164" fontId="1" fillId="2" borderId="5" xfId="1" applyNumberFormat="1" applyFont="1" applyFill="1" applyBorder="1"/>
    <xf numFmtId="2" fontId="0" fillId="0" borderId="0" xfId="2" applyNumberFormat="1" applyFont="1" applyAlignment="1">
      <alignment horizontal="right"/>
    </xf>
    <xf numFmtId="2" fontId="2" fillId="0" borderId="0" xfId="1" applyNumberFormat="1" applyAlignment="1">
      <alignment horizontal="right"/>
    </xf>
    <xf numFmtId="2" fontId="2" fillId="2" borderId="0" xfId="1" applyNumberFormat="1" applyFill="1" applyAlignment="1">
      <alignment horizontal="right"/>
    </xf>
    <xf numFmtId="2" fontId="0" fillId="3" borderId="8" xfId="2" applyNumberFormat="1" applyFont="1" applyFill="1" applyBorder="1" applyAlignment="1">
      <alignment horizontal="right"/>
    </xf>
    <xf numFmtId="164" fontId="1" fillId="3" borderId="5" xfId="1" applyNumberFormat="1" applyFont="1" applyFill="1" applyBorder="1"/>
    <xf numFmtId="2" fontId="0" fillId="3" borderId="0" xfId="2" applyNumberFormat="1" applyFont="1" applyFill="1" applyAlignment="1">
      <alignment horizontal="right"/>
    </xf>
    <xf numFmtId="2" fontId="2" fillId="3" borderId="0" xfId="1" applyNumberFormat="1" applyFill="1" applyAlignment="1">
      <alignment horizontal="right"/>
    </xf>
    <xf numFmtId="0" fontId="0" fillId="0" borderId="8" xfId="1" applyFont="1" applyBorder="1"/>
    <xf numFmtId="0" fontId="0" fillId="0" borderId="5" xfId="1" applyFont="1" applyBorder="1"/>
    <xf numFmtId="0" fontId="2" fillId="0" borderId="4" xfId="3" applyBorder="1" applyAlignment="1">
      <alignment horizontal="right" vertical="center"/>
    </xf>
    <xf numFmtId="0" fontId="0" fillId="0" borderId="0" xfId="2" applyFont="1" applyAlignment="1">
      <alignment horizontal="right"/>
    </xf>
    <xf numFmtId="0" fontId="0" fillId="2" borderId="0" xfId="0" applyFill="1" applyAlignment="1">
      <alignment horizontal="right"/>
    </xf>
    <xf numFmtId="0" fontId="0" fillId="0" borderId="8" xfId="0" applyBorder="1"/>
    <xf numFmtId="164" fontId="0" fillId="0" borderId="5" xfId="0" applyNumberFormat="1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6" xfId="2" applyFont="1" applyBorder="1" applyAlignment="1">
      <alignment horizontal="right"/>
    </xf>
    <xf numFmtId="0" fontId="0" fillId="2" borderId="16" xfId="0" applyFill="1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0" xfId="1" applyFont="1" applyAlignment="1">
      <alignment horizontal="right"/>
    </xf>
    <xf numFmtId="0" fontId="0" fillId="2" borderId="0" xfId="1" applyFont="1" applyFill="1" applyAlignment="1">
      <alignment horizontal="right"/>
    </xf>
    <xf numFmtId="0" fontId="0" fillId="0" borderId="15" xfId="2" applyFont="1" applyBorder="1" applyAlignment="1">
      <alignment horizontal="right"/>
    </xf>
    <xf numFmtId="0" fontId="1" fillId="2" borderId="16" xfId="2" applyFont="1" applyFill="1" applyBorder="1" applyAlignment="1">
      <alignment horizontal="right"/>
    </xf>
    <xf numFmtId="0" fontId="1" fillId="0" borderId="16" xfId="2" applyFont="1" applyBorder="1" applyAlignment="1">
      <alignment horizontal="right"/>
    </xf>
    <xf numFmtId="0" fontId="2" fillId="0" borderId="0" xfId="0" applyFont="1" applyAlignment="1">
      <alignment horizontal="center"/>
    </xf>
    <xf numFmtId="2" fontId="2" fillId="0" borderId="3" xfId="3" applyNumberFormat="1" applyBorder="1" applyAlignment="1">
      <alignment horizontal="right" vertical="center"/>
    </xf>
    <xf numFmtId="164" fontId="2" fillId="0" borderId="0" xfId="3" applyNumberFormat="1" applyAlignment="1">
      <alignment horizontal="right" vertical="center"/>
    </xf>
    <xf numFmtId="2" fontId="2" fillId="0" borderId="14" xfId="3" applyNumberFormat="1" applyBorder="1" applyAlignment="1">
      <alignment horizontal="left" vertical="center"/>
    </xf>
    <xf numFmtId="0" fontId="2" fillId="0" borderId="13" xfId="3" applyBorder="1" applyAlignment="1">
      <alignment horizontal="left" vertical="center"/>
    </xf>
    <xf numFmtId="2" fontId="2" fillId="0" borderId="8" xfId="3" applyNumberFormat="1" applyBorder="1" applyAlignment="1">
      <alignment horizontal="right" vertical="center"/>
    </xf>
    <xf numFmtId="164" fontId="2" fillId="0" borderId="5" xfId="3" applyNumberFormat="1" applyBorder="1" applyAlignment="1">
      <alignment horizontal="right" vertical="center"/>
    </xf>
    <xf numFmtId="164" fontId="2" fillId="2" borderId="0" xfId="3" applyNumberFormat="1" applyFill="1" applyAlignment="1">
      <alignment horizontal="right" vertical="center"/>
    </xf>
    <xf numFmtId="2" fontId="2" fillId="2" borderId="8" xfId="3" applyNumberFormat="1" applyFill="1" applyBorder="1" applyAlignment="1">
      <alignment horizontal="right" vertical="center"/>
    </xf>
    <xf numFmtId="2" fontId="2" fillId="0" borderId="4" xfId="3" applyNumberFormat="1" applyBorder="1" applyAlignment="1">
      <alignment horizontal="left" vertical="center"/>
    </xf>
    <xf numFmtId="2" fontId="2" fillId="0" borderId="0" xfId="3" applyNumberFormat="1" applyAlignment="1">
      <alignment horizontal="right" vertical="center"/>
    </xf>
    <xf numFmtId="2" fontId="2" fillId="2" borderId="0" xfId="3" applyNumberFormat="1" applyFill="1" applyAlignment="1">
      <alignment horizontal="right" vertical="center"/>
    </xf>
    <xf numFmtId="164" fontId="2" fillId="2" borderId="5" xfId="3" applyNumberFormat="1" applyFill="1" applyBorder="1" applyAlignment="1">
      <alignment horizontal="right" vertical="center"/>
    </xf>
    <xf numFmtId="0" fontId="2" fillId="0" borderId="14" xfId="3" applyBorder="1" applyAlignment="1">
      <alignment horizontal="left" vertical="center"/>
    </xf>
    <xf numFmtId="164" fontId="2" fillId="0" borderId="8" xfId="3" applyNumberFormat="1" applyBorder="1" applyAlignment="1">
      <alignment horizontal="right" vertical="center"/>
    </xf>
    <xf numFmtId="164" fontId="2" fillId="2" borderId="8" xfId="3" applyNumberFormat="1" applyFill="1" applyBorder="1" applyAlignment="1">
      <alignment horizontal="right" vertical="center"/>
    </xf>
    <xf numFmtId="0" fontId="2" fillId="0" borderId="3" xfId="3" applyBorder="1" applyAlignment="1">
      <alignment horizontal="right"/>
    </xf>
    <xf numFmtId="0" fontId="2" fillId="0" borderId="3" xfId="3" quotePrefix="1" applyBorder="1" applyAlignment="1">
      <alignment horizontal="right"/>
    </xf>
    <xf numFmtId="0" fontId="2" fillId="0" borderId="0" xfId="3" applyAlignment="1">
      <alignment horizontal="right"/>
    </xf>
    <xf numFmtId="1" fontId="9" fillId="0" borderId="0" xfId="0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" fontId="11" fillId="0" borderId="0" xfId="0" applyNumberFormat="1" applyFont="1" applyAlignment="1">
      <alignment horizontal="center"/>
    </xf>
    <xf numFmtId="1" fontId="0" fillId="0" borderId="0" xfId="2" applyNumberFormat="1" applyFont="1" applyAlignment="1">
      <alignment horizontal="center"/>
    </xf>
    <xf numFmtId="1" fontId="2" fillId="0" borderId="0" xfId="1" applyNumberFormat="1" applyAlignment="1">
      <alignment horizontal="center"/>
    </xf>
    <xf numFmtId="0" fontId="11" fillId="0" borderId="0" xfId="0" applyFont="1" applyAlignment="1">
      <alignment horizontal="right"/>
    </xf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center"/>
    </xf>
    <xf numFmtId="2" fontId="2" fillId="0" borderId="8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0" xfId="3" applyAlignment="1">
      <alignment horizontal="center"/>
    </xf>
    <xf numFmtId="0" fontId="2" fillId="0" borderId="0" xfId="3" quotePrefix="1" applyAlignment="1">
      <alignment horizontal="right"/>
    </xf>
    <xf numFmtId="0" fontId="2" fillId="0" borderId="15" xfId="3" applyBorder="1" applyAlignment="1">
      <alignment horizontal="right"/>
    </xf>
    <xf numFmtId="0" fontId="2" fillId="0" borderId="16" xfId="3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0" borderId="3" xfId="3" applyBorder="1" applyAlignment="1">
      <alignment horizontal="right" vertical="center"/>
    </xf>
    <xf numFmtId="0" fontId="2" fillId="0" borderId="0" xfId="1" applyAlignment="1">
      <alignment horizontal="right"/>
    </xf>
    <xf numFmtId="0" fontId="0" fillId="0" borderId="18" xfId="0" applyBorder="1" applyAlignment="1">
      <alignment horizontal="right"/>
    </xf>
    <xf numFmtId="0" fontId="2" fillId="0" borderId="15" xfId="3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" fillId="0" borderId="16" xfId="3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0" fillId="0" borderId="16" xfId="2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" fontId="2" fillId="0" borderId="0" xfId="3" applyNumberFormat="1" applyAlignment="1">
      <alignment horizontal="left" vertical="center"/>
    </xf>
    <xf numFmtId="0" fontId="2" fillId="0" borderId="0" xfId="3" applyAlignment="1">
      <alignment horizontal="left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2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0" fillId="0" borderId="0" xfId="1" applyFont="1" applyAlignment="1">
      <alignment horizontal="center"/>
    </xf>
    <xf numFmtId="1" fontId="2" fillId="0" borderId="15" xfId="3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/>
    </xf>
    <xf numFmtId="1" fontId="2" fillId="0" borderId="16" xfId="3" applyNumberForma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1" fontId="0" fillId="0" borderId="16" xfId="2" applyNumberFormat="1" applyFont="1" applyBorder="1" applyAlignment="1">
      <alignment horizontal="center"/>
    </xf>
    <xf numFmtId="1" fontId="2" fillId="0" borderId="16" xfId="1" applyNumberFormat="1" applyBorder="1" applyAlignment="1">
      <alignment horizontal="center"/>
    </xf>
    <xf numFmtId="1" fontId="0" fillId="0" borderId="16" xfId="1" applyNumberFormat="1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164" fontId="1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left"/>
    </xf>
    <xf numFmtId="164" fontId="2" fillId="0" borderId="0" xfId="3" applyNumberFormat="1" applyAlignment="1">
      <alignment horizontal="left" vertical="center"/>
    </xf>
    <xf numFmtId="164" fontId="0" fillId="0" borderId="4" xfId="0" applyNumberFormat="1" applyBorder="1" applyAlignment="1">
      <alignment horizontal="right"/>
    </xf>
    <xf numFmtId="0" fontId="2" fillId="0" borderId="0" xfId="1"/>
    <xf numFmtId="164" fontId="0" fillId="0" borderId="3" xfId="3" applyNumberFormat="1" applyFont="1" applyBorder="1" applyAlignment="1">
      <alignment horizontal="right"/>
    </xf>
    <xf numFmtId="164" fontId="0" fillId="0" borderId="0" xfId="3" applyNumberFormat="1" applyFont="1" applyAlignment="1">
      <alignment horizontal="right"/>
    </xf>
    <xf numFmtId="164" fontId="2" fillId="0" borderId="4" xfId="0" applyNumberFormat="1" applyFont="1" applyBorder="1" applyAlignment="1">
      <alignment horizontal="right"/>
    </xf>
    <xf numFmtId="0" fontId="10" fillId="0" borderId="2" xfId="3" applyFont="1" applyBorder="1" applyAlignment="1">
      <alignment horizontal="right"/>
    </xf>
    <xf numFmtId="2" fontId="10" fillId="0" borderId="3" xfId="3" applyNumberFormat="1" applyFont="1" applyBorder="1" applyAlignment="1">
      <alignment horizontal="right" vertical="center"/>
    </xf>
    <xf numFmtId="164" fontId="10" fillId="0" borderId="0" xfId="3" applyNumberFormat="1" applyFont="1" applyAlignment="1">
      <alignment horizontal="right" vertical="center"/>
    </xf>
    <xf numFmtId="164" fontId="9" fillId="0" borderId="4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2" fontId="2" fillId="13" borderId="8" xfId="3" applyNumberFormat="1" applyFill="1" applyBorder="1" applyAlignment="1">
      <alignment horizontal="right" vertical="center"/>
    </xf>
    <xf numFmtId="164" fontId="2" fillId="13" borderId="0" xfId="3" applyNumberFormat="1" applyFill="1" applyAlignment="1">
      <alignment horizontal="right" vertical="center"/>
    </xf>
    <xf numFmtId="164" fontId="2" fillId="13" borderId="5" xfId="3" applyNumberFormat="1" applyFill="1" applyBorder="1" applyAlignment="1">
      <alignment horizontal="right" vertical="center"/>
    </xf>
    <xf numFmtId="2" fontId="2" fillId="13" borderId="0" xfId="3" applyNumberFormat="1" applyFill="1" applyAlignment="1">
      <alignment horizontal="right" vertical="center"/>
    </xf>
    <xf numFmtId="0" fontId="0" fillId="13" borderId="11" xfId="0" applyFill="1" applyBorder="1"/>
    <xf numFmtId="0" fontId="2" fillId="0" borderId="0" xfId="3"/>
    <xf numFmtId="164" fontId="2" fillId="0" borderId="0" xfId="3" applyNumberFormat="1" applyAlignment="1">
      <alignment horizontal="right"/>
    </xf>
    <xf numFmtId="164" fontId="16" fillId="0" borderId="0" xfId="3" applyNumberFormat="1" applyFont="1" applyAlignment="1">
      <alignment horizontal="right"/>
    </xf>
    <xf numFmtId="0" fontId="2" fillId="0" borderId="22" xfId="3" applyBorder="1" applyAlignment="1">
      <alignment horizontal="right" vertical="center"/>
    </xf>
    <xf numFmtId="0" fontId="2" fillId="0" borderId="6" xfId="3" applyBorder="1" applyAlignment="1">
      <alignment horizontal="center" vertical="center"/>
    </xf>
    <xf numFmtId="0" fontId="2" fillId="0" borderId="6" xfId="3" applyBorder="1" applyAlignment="1">
      <alignment horizontal="right" vertical="center"/>
    </xf>
    <xf numFmtId="1" fontId="2" fillId="0" borderId="6" xfId="3" applyNumberFormat="1" applyBorder="1" applyAlignment="1">
      <alignment horizontal="left" vertical="center"/>
    </xf>
    <xf numFmtId="1" fontId="2" fillId="0" borderId="6" xfId="3" applyNumberFormat="1" applyBorder="1" applyAlignment="1">
      <alignment horizontal="center" vertical="center"/>
    </xf>
    <xf numFmtId="0" fontId="2" fillId="0" borderId="23" xfId="3" applyBorder="1" applyAlignment="1">
      <alignment horizontal="left" vertical="center"/>
    </xf>
    <xf numFmtId="164" fontId="2" fillId="0" borderId="10" xfId="3" applyNumberFormat="1" applyBorder="1" applyAlignment="1">
      <alignment horizontal="left" vertical="center"/>
    </xf>
    <xf numFmtId="0" fontId="2" fillId="0" borderId="24" xfId="3" applyBorder="1" applyAlignment="1">
      <alignment horizontal="left" vertical="center"/>
    </xf>
    <xf numFmtId="0" fontId="2" fillId="0" borderId="6" xfId="3" applyBorder="1" applyAlignment="1">
      <alignment horizontal="left" vertical="center"/>
    </xf>
    <xf numFmtId="0" fontId="2" fillId="0" borderId="10" xfId="3" applyBorder="1" applyAlignment="1">
      <alignment horizontal="left" vertical="center"/>
    </xf>
    <xf numFmtId="164" fontId="2" fillId="0" borderId="10" xfId="3" applyNumberFormat="1" applyBorder="1" applyAlignment="1">
      <alignment horizontal="right" vertical="center"/>
    </xf>
    <xf numFmtId="164" fontId="2" fillId="0" borderId="12" xfId="3" applyNumberFormat="1" applyBorder="1" applyAlignment="1">
      <alignment horizontal="left" vertical="center"/>
    </xf>
    <xf numFmtId="0" fontId="2" fillId="0" borderId="14" xfId="3" applyBorder="1" applyAlignment="1">
      <alignment horizontal="right"/>
    </xf>
    <xf numFmtId="164" fontId="0" fillId="0" borderId="5" xfId="0" applyNumberFormat="1" applyBorder="1" applyAlignment="1">
      <alignment horizontal="right"/>
    </xf>
    <xf numFmtId="2" fontId="0" fillId="0" borderId="0" xfId="3" applyNumberFormat="1" applyFont="1" applyAlignment="1">
      <alignment horizontal="right"/>
    </xf>
    <xf numFmtId="164" fontId="2" fillId="3" borderId="0" xfId="3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164" fontId="10" fillId="3" borderId="0" xfId="3" applyNumberFormat="1" applyFont="1" applyFill="1" applyAlignment="1">
      <alignment horizontal="right" vertical="center"/>
    </xf>
    <xf numFmtId="2" fontId="2" fillId="3" borderId="0" xfId="3" applyNumberFormat="1" applyFill="1" applyAlignment="1">
      <alignment horizontal="right" vertical="center"/>
    </xf>
    <xf numFmtId="164" fontId="10" fillId="2" borderId="0" xfId="3" applyNumberFormat="1" applyFont="1" applyFill="1" applyAlignment="1">
      <alignment horizontal="right" vertical="center"/>
    </xf>
    <xf numFmtId="2" fontId="0" fillId="3" borderId="0" xfId="3" applyNumberFormat="1" applyFon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2" fillId="0" borderId="14" xfId="3" quotePrefix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1" fontId="2" fillId="0" borderId="20" xfId="0" applyNumberFormat="1" applyFont="1" applyBorder="1" applyAlignment="1">
      <alignment horizontal="center"/>
    </xf>
    <xf numFmtId="1" fontId="2" fillId="0" borderId="27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64" fontId="2" fillId="0" borderId="20" xfId="0" applyNumberFormat="1" applyFont="1" applyBorder="1" applyAlignment="1">
      <alignment horizontal="right"/>
    </xf>
    <xf numFmtId="0" fontId="2" fillId="0" borderId="20" xfId="0" applyFont="1" applyBorder="1" applyAlignment="1">
      <alignment horizontal="center"/>
    </xf>
    <xf numFmtId="164" fontId="2" fillId="0" borderId="21" xfId="0" applyNumberFormat="1" applyFont="1" applyBorder="1" applyAlignment="1">
      <alignment horizontal="right"/>
    </xf>
    <xf numFmtId="164" fontId="2" fillId="0" borderId="9" xfId="3" applyNumberFormat="1" applyBorder="1" applyAlignment="1">
      <alignment horizontal="left" vertical="center"/>
    </xf>
    <xf numFmtId="2" fontId="10" fillId="3" borderId="8" xfId="3" applyNumberFormat="1" applyFont="1" applyFill="1" applyBorder="1" applyAlignment="1">
      <alignment horizontal="right" vertical="center"/>
    </xf>
    <xf numFmtId="164" fontId="9" fillId="3" borderId="5" xfId="0" applyNumberFormat="1" applyFon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164" fontId="2" fillId="0" borderId="19" xfId="0" applyNumberFormat="1" applyFont="1" applyBorder="1" applyAlignment="1">
      <alignment horizontal="right"/>
    </xf>
    <xf numFmtId="2" fontId="10" fillId="0" borderId="0" xfId="3" applyNumberFormat="1" applyFont="1" applyAlignment="1">
      <alignment horizontal="right" vertical="center"/>
    </xf>
    <xf numFmtId="0" fontId="10" fillId="0" borderId="14" xfId="3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2" fontId="10" fillId="0" borderId="8" xfId="3" applyNumberFormat="1" applyFont="1" applyBorder="1" applyAlignment="1">
      <alignment horizontal="right" vertical="center"/>
    </xf>
    <xf numFmtId="0" fontId="2" fillId="0" borderId="23" xfId="3" applyBorder="1" applyAlignment="1">
      <alignment horizontal="right" vertical="center"/>
    </xf>
    <xf numFmtId="0" fontId="2" fillId="0" borderId="9" xfId="3" applyBorder="1" applyAlignment="1">
      <alignment horizontal="left" vertical="center"/>
    </xf>
    <xf numFmtId="164" fontId="2" fillId="0" borderId="12" xfId="3" applyNumberFormat="1" applyBorder="1" applyAlignment="1">
      <alignment horizontal="right" vertical="center"/>
    </xf>
    <xf numFmtId="0" fontId="2" fillId="0" borderId="19" xfId="0" applyFont="1" applyBorder="1" applyAlignment="1">
      <alignment horizontal="center"/>
    </xf>
    <xf numFmtId="0" fontId="2" fillId="0" borderId="22" xfId="3" applyBorder="1" applyAlignment="1">
      <alignment horizontal="left" vertical="center"/>
    </xf>
    <xf numFmtId="164" fontId="2" fillId="0" borderId="28" xfId="3" applyNumberFormat="1" applyBorder="1" applyAlignment="1">
      <alignment horizontal="right" vertical="center"/>
    </xf>
    <xf numFmtId="164" fontId="10" fillId="0" borderId="5" xfId="3" applyNumberFormat="1" applyFont="1" applyBorder="1" applyAlignment="1">
      <alignment horizontal="right" vertical="center"/>
    </xf>
    <xf numFmtId="164" fontId="2" fillId="0" borderId="25" xfId="0" applyNumberFormat="1" applyFont="1" applyBorder="1" applyAlignment="1">
      <alignment horizontal="right"/>
    </xf>
    <xf numFmtId="0" fontId="2" fillId="0" borderId="28" xfId="3" applyBorder="1" applyAlignment="1">
      <alignment horizontal="left" vertical="center"/>
    </xf>
    <xf numFmtId="0" fontId="9" fillId="0" borderId="13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1" fontId="2" fillId="0" borderId="24" xfId="3" applyNumberForma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9" fillId="0" borderId="3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0" fillId="0" borderId="3" xfId="2" applyFont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0" fillId="0" borderId="30" xfId="0" applyBorder="1" applyAlignment="1">
      <alignment horizontal="right"/>
    </xf>
    <xf numFmtId="0" fontId="2" fillId="0" borderId="27" xfId="0" applyFont="1" applyBorder="1" applyAlignment="1">
      <alignment horizontal="right"/>
    </xf>
    <xf numFmtId="2" fontId="0" fillId="2" borderId="0" xfId="3" applyNumberFormat="1" applyFont="1" applyFill="1" applyAlignment="1">
      <alignment horizontal="right"/>
    </xf>
    <xf numFmtId="164" fontId="0" fillId="0" borderId="8" xfId="3" applyNumberFormat="1" applyFont="1" applyBorder="1" applyAlignment="1">
      <alignment horizontal="right"/>
    </xf>
    <xf numFmtId="164" fontId="2" fillId="0" borderId="23" xfId="3" applyNumberFormat="1" applyBorder="1" applyAlignment="1">
      <alignment horizontal="right" vertical="center"/>
    </xf>
    <xf numFmtId="0" fontId="2" fillId="0" borderId="28" xfId="3" applyBorder="1" applyAlignment="1">
      <alignment horizontal="right" vertical="center"/>
    </xf>
    <xf numFmtId="2" fontId="0" fillId="0" borderId="8" xfId="3" applyNumberFormat="1" applyFont="1" applyBorder="1" applyAlignment="1">
      <alignment horizontal="right"/>
    </xf>
    <xf numFmtId="2" fontId="2" fillId="3" borderId="8" xfId="3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/>
    </xf>
    <xf numFmtId="2" fontId="0" fillId="3" borderId="8" xfId="3" applyNumberFormat="1" applyFont="1" applyFill="1" applyBorder="1" applyAlignment="1">
      <alignment horizontal="right"/>
    </xf>
    <xf numFmtId="2" fontId="0" fillId="2" borderId="8" xfId="3" applyNumberFormat="1" applyFont="1" applyFill="1" applyBorder="1" applyAlignment="1">
      <alignment horizontal="right"/>
    </xf>
    <xf numFmtId="2" fontId="9" fillId="3" borderId="8" xfId="3" applyNumberFormat="1" applyFont="1" applyFill="1" applyBorder="1" applyAlignment="1">
      <alignment horizontal="right"/>
    </xf>
    <xf numFmtId="2" fontId="10" fillId="2" borderId="8" xfId="3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/>
    </xf>
    <xf numFmtId="0" fontId="17" fillId="0" borderId="0" xfId="0" applyFont="1"/>
    <xf numFmtId="0" fontId="2" fillId="0" borderId="31" xfId="3" applyBorder="1" applyAlignment="1">
      <alignment horizontal="center" vertical="center"/>
    </xf>
    <xf numFmtId="0" fontId="2" fillId="0" borderId="31" xfId="3" applyBorder="1" applyAlignment="1">
      <alignment horizontal="right" vertical="center"/>
    </xf>
    <xf numFmtId="0" fontId="2" fillId="0" borderId="31" xfId="3" applyBorder="1" applyAlignment="1">
      <alignment horizontal="left" vertical="center"/>
    </xf>
    <xf numFmtId="0" fontId="2" fillId="0" borderId="32" xfId="3" applyBorder="1" applyAlignment="1">
      <alignment horizontal="left" vertical="center"/>
    </xf>
    <xf numFmtId="164" fontId="2" fillId="0" borderId="33" xfId="3" applyNumberFormat="1" applyBorder="1" applyAlignment="1">
      <alignment horizontal="right"/>
    </xf>
    <xf numFmtId="0" fontId="2" fillId="0" borderId="14" xfId="3" applyBorder="1" applyAlignment="1">
      <alignment horizontal="left"/>
    </xf>
    <xf numFmtId="164" fontId="2" fillId="3" borderId="0" xfId="3" applyNumberFormat="1" applyFill="1" applyAlignment="1">
      <alignment horizontal="right"/>
    </xf>
    <xf numFmtId="0" fontId="2" fillId="3" borderId="0" xfId="3" applyFill="1" applyAlignment="1">
      <alignment horizontal="right"/>
    </xf>
    <xf numFmtId="0" fontId="0" fillId="0" borderId="0" xfId="8" applyFont="1" applyAlignment="1">
      <alignment horizontal="center"/>
    </xf>
    <xf numFmtId="0" fontId="0" fillId="0" borderId="0" xfId="9" applyFont="1" applyAlignment="1">
      <alignment horizontal="center"/>
    </xf>
    <xf numFmtId="0" fontId="2" fillId="2" borderId="0" xfId="3" applyFill="1" applyAlignment="1">
      <alignment horizontal="right"/>
    </xf>
    <xf numFmtId="164" fontId="2" fillId="2" borderId="0" xfId="3" applyNumberFormat="1" applyFill="1" applyAlignment="1">
      <alignment horizontal="right"/>
    </xf>
    <xf numFmtId="0" fontId="10" fillId="0" borderId="0" xfId="3" applyFont="1" applyAlignment="1">
      <alignment horizontal="right"/>
    </xf>
    <xf numFmtId="0" fontId="9" fillId="0" borderId="0" xfId="10" applyFont="1" applyAlignment="1">
      <alignment horizontal="center"/>
    </xf>
    <xf numFmtId="164" fontId="10" fillId="0" borderId="0" xfId="3" applyNumberFormat="1" applyFont="1" applyAlignment="1">
      <alignment horizontal="right"/>
    </xf>
    <xf numFmtId="164" fontId="10" fillId="0" borderId="5" xfId="3" applyNumberFormat="1" applyFont="1" applyBorder="1" applyAlignment="1">
      <alignment horizontal="right"/>
    </xf>
    <xf numFmtId="0" fontId="10" fillId="0" borderId="0" xfId="3" applyFont="1" applyAlignment="1">
      <alignment horizontal="center"/>
    </xf>
    <xf numFmtId="164" fontId="10" fillId="2" borderId="0" xfId="3" applyNumberFormat="1" applyFont="1" applyFill="1" applyAlignment="1">
      <alignment horizontal="right"/>
    </xf>
    <xf numFmtId="0" fontId="10" fillId="2" borderId="0" xfId="3" applyFont="1" applyFill="1" applyAlignment="1">
      <alignment horizontal="right"/>
    </xf>
    <xf numFmtId="0" fontId="10" fillId="4" borderId="0" xfId="3" applyFont="1" applyFill="1" applyAlignment="1">
      <alignment horizontal="right"/>
    </xf>
    <xf numFmtId="164" fontId="10" fillId="4" borderId="0" xfId="3" applyNumberFormat="1" applyFont="1" applyFill="1" applyAlignment="1">
      <alignment horizontal="right"/>
    </xf>
    <xf numFmtId="0" fontId="2" fillId="0" borderId="25" xfId="3" applyBorder="1"/>
    <xf numFmtId="0" fontId="2" fillId="0" borderId="20" xfId="3" applyBorder="1" applyAlignment="1">
      <alignment horizontal="right"/>
    </xf>
    <xf numFmtId="0" fontId="2" fillId="0" borderId="26" xfId="3" applyBorder="1" applyAlignment="1">
      <alignment horizontal="right"/>
    </xf>
    <xf numFmtId="0" fontId="2" fillId="0" borderId="20" xfId="3" applyBorder="1"/>
    <xf numFmtId="164" fontId="2" fillId="0" borderId="20" xfId="3" applyNumberFormat="1" applyBorder="1" applyAlignment="1">
      <alignment horizontal="right"/>
    </xf>
    <xf numFmtId="164" fontId="2" fillId="0" borderId="21" xfId="3" applyNumberFormat="1" applyBorder="1" applyAlignment="1">
      <alignment horizontal="right"/>
    </xf>
    <xf numFmtId="0" fontId="2" fillId="0" borderId="19" xfId="3" applyBorder="1" applyAlignment="1">
      <alignment horizontal="right"/>
    </xf>
    <xf numFmtId="0" fontId="2" fillId="0" borderId="3" xfId="3" applyBorder="1" applyAlignment="1">
      <alignment horizontal="left"/>
    </xf>
    <xf numFmtId="0" fontId="2" fillId="14" borderId="0" xfId="3" applyFill="1" applyAlignment="1">
      <alignment horizontal="right"/>
    </xf>
    <xf numFmtId="164" fontId="2" fillId="14" borderId="0" xfId="3" applyNumberFormat="1" applyFill="1" applyAlignment="1">
      <alignment horizontal="right"/>
    </xf>
    <xf numFmtId="164" fontId="2" fillId="11" borderId="0" xfId="3" applyNumberFormat="1" applyFill="1" applyAlignment="1">
      <alignment horizontal="right"/>
    </xf>
    <xf numFmtId="0" fontId="2" fillId="11" borderId="0" xfId="3" applyFill="1" applyAlignment="1">
      <alignment horizontal="right"/>
    </xf>
    <xf numFmtId="0" fontId="2" fillId="0" borderId="34" xfId="3" applyBorder="1" applyAlignment="1">
      <alignment horizontal="center" vertical="center"/>
    </xf>
    <xf numFmtId="0" fontId="2" fillId="0" borderId="35" xfId="3" applyBorder="1" applyAlignment="1">
      <alignment horizontal="left" vertical="center"/>
    </xf>
    <xf numFmtId="0" fontId="2" fillId="0" borderId="36" xfId="3" applyBorder="1" applyAlignment="1">
      <alignment horizontal="right" vertical="center"/>
    </xf>
    <xf numFmtId="0" fontId="0" fillId="0" borderId="0" xfId="8" applyFont="1" applyAlignment="1">
      <alignment horizontal="right"/>
    </xf>
    <xf numFmtId="0" fontId="0" fillId="0" borderId="0" xfId="9" applyFont="1" applyAlignment="1">
      <alignment horizontal="right"/>
    </xf>
    <xf numFmtId="0" fontId="9" fillId="0" borderId="0" xfId="10" applyFont="1" applyAlignment="1">
      <alignment horizontal="right"/>
    </xf>
    <xf numFmtId="0" fontId="0" fillId="2" borderId="0" xfId="9" applyFont="1" applyFill="1" applyAlignment="1">
      <alignment horizontal="right"/>
    </xf>
    <xf numFmtId="0" fontId="2" fillId="0" borderId="37" xfId="3" applyBorder="1" applyAlignment="1">
      <alignment horizontal="right"/>
    </xf>
    <xf numFmtId="0" fontId="10" fillId="0" borderId="8" xfId="3" applyFont="1" applyBorder="1" applyAlignment="1">
      <alignment horizontal="right"/>
    </xf>
    <xf numFmtId="0" fontId="2" fillId="0" borderId="36" xfId="3" applyBorder="1" applyAlignment="1">
      <alignment horizontal="left" vertical="center"/>
    </xf>
    <xf numFmtId="164" fontId="2" fillId="0" borderId="8" xfId="3" applyNumberFormat="1" applyBorder="1" applyAlignment="1">
      <alignment horizontal="right"/>
    </xf>
    <xf numFmtId="164" fontId="2" fillId="3" borderId="8" xfId="3" applyNumberFormat="1" applyFill="1" applyBorder="1" applyAlignment="1">
      <alignment horizontal="right"/>
    </xf>
    <xf numFmtId="164" fontId="2" fillId="3" borderId="5" xfId="3" applyNumberFormat="1" applyFill="1" applyBorder="1" applyAlignment="1">
      <alignment horizontal="right"/>
    </xf>
    <xf numFmtId="164" fontId="2" fillId="2" borderId="8" xfId="3" applyNumberFormat="1" applyFill="1" applyBorder="1" applyAlignment="1">
      <alignment horizontal="right"/>
    </xf>
    <xf numFmtId="164" fontId="10" fillId="0" borderId="8" xfId="3" applyNumberFormat="1" applyFont="1" applyBorder="1" applyAlignment="1">
      <alignment horizontal="right"/>
    </xf>
    <xf numFmtId="164" fontId="10" fillId="2" borderId="8" xfId="3" applyNumberFormat="1" applyFont="1" applyFill="1" applyBorder="1" applyAlignment="1">
      <alignment horizontal="right"/>
    </xf>
    <xf numFmtId="164" fontId="10" fillId="2" borderId="5" xfId="3" applyNumberFormat="1" applyFont="1" applyFill="1" applyBorder="1" applyAlignment="1">
      <alignment horizontal="right"/>
    </xf>
    <xf numFmtId="164" fontId="2" fillId="0" borderId="19" xfId="3" applyNumberFormat="1" applyBorder="1" applyAlignment="1">
      <alignment horizontal="right"/>
    </xf>
    <xf numFmtId="0" fontId="2" fillId="0" borderId="34" xfId="3" applyBorder="1" applyAlignment="1">
      <alignment horizontal="left" vertical="center"/>
    </xf>
    <xf numFmtId="0" fontId="2" fillId="3" borderId="8" xfId="3" applyFill="1" applyBorder="1" applyAlignment="1">
      <alignment horizontal="right"/>
    </xf>
    <xf numFmtId="0" fontId="2" fillId="2" borderId="8" xfId="3" applyFill="1" applyBorder="1" applyAlignment="1">
      <alignment horizontal="right"/>
    </xf>
    <xf numFmtId="0" fontId="10" fillId="2" borderId="8" xfId="3" applyFont="1" applyFill="1" applyBorder="1" applyAlignment="1">
      <alignment horizontal="right"/>
    </xf>
    <xf numFmtId="0" fontId="2" fillId="0" borderId="35" xfId="3" applyBorder="1" applyAlignment="1">
      <alignment horizontal="right" vertical="center"/>
    </xf>
    <xf numFmtId="0" fontId="0" fillId="3" borderId="8" xfId="8" applyFont="1" applyFill="1" applyBorder="1" applyAlignment="1">
      <alignment horizontal="right"/>
    </xf>
    <xf numFmtId="0" fontId="0" fillId="3" borderId="8" xfId="9" applyFont="1" applyFill="1" applyBorder="1" applyAlignment="1">
      <alignment horizontal="right"/>
    </xf>
    <xf numFmtId="0" fontId="0" fillId="11" borderId="8" xfId="9" applyFont="1" applyFill="1" applyBorder="1" applyAlignment="1">
      <alignment horizontal="right"/>
    </xf>
    <xf numFmtId="164" fontId="2" fillId="11" borderId="5" xfId="3" applyNumberFormat="1" applyFill="1" applyBorder="1" applyAlignment="1">
      <alignment horizontal="right"/>
    </xf>
    <xf numFmtId="0" fontId="2" fillId="2" borderId="8" xfId="1" applyFill="1" applyBorder="1" applyAlignment="1">
      <alignment horizontal="right"/>
    </xf>
    <xf numFmtId="0" fontId="2" fillId="11" borderId="8" xfId="3" applyFill="1" applyBorder="1" applyAlignment="1">
      <alignment horizontal="right"/>
    </xf>
    <xf numFmtId="0" fontId="2" fillId="14" borderId="8" xfId="3" applyFill="1" applyBorder="1" applyAlignment="1">
      <alignment horizontal="right"/>
    </xf>
    <xf numFmtId="164" fontId="2" fillId="14" borderId="5" xfId="3" applyNumberFormat="1" applyFill="1" applyBorder="1" applyAlignment="1">
      <alignment horizontal="right"/>
    </xf>
    <xf numFmtId="0" fontId="2" fillId="0" borderId="9" xfId="3" applyBorder="1" applyAlignment="1">
      <alignment horizontal="left"/>
    </xf>
    <xf numFmtId="0" fontId="2" fillId="0" borderId="8" xfId="3" applyBorder="1" applyAlignment="1">
      <alignment horizontal="left"/>
    </xf>
    <xf numFmtId="0" fontId="10" fillId="0" borderId="8" xfId="3" applyFont="1" applyBorder="1" applyAlignment="1">
      <alignment horizontal="left"/>
    </xf>
    <xf numFmtId="17" fontId="2" fillId="0" borderId="8" xfId="3" quotePrefix="1" applyNumberFormat="1" applyBorder="1" applyAlignment="1">
      <alignment horizontal="left"/>
    </xf>
    <xf numFmtId="0" fontId="2" fillId="0" borderId="19" xfId="3" applyBorder="1"/>
    <xf numFmtId="0" fontId="2" fillId="0" borderId="7" xfId="3" applyBorder="1" applyAlignment="1">
      <alignment horizontal="right"/>
    </xf>
    <xf numFmtId="0" fontId="19" fillId="11" borderId="10" xfId="1" applyFont="1" applyFill="1" applyBorder="1" applyAlignment="1">
      <alignment horizontal="center"/>
    </xf>
    <xf numFmtId="0" fontId="19" fillId="11" borderId="12" xfId="1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19" fillId="5" borderId="9" xfId="1" applyFont="1" applyFill="1" applyBorder="1" applyAlignment="1">
      <alignment horizontal="center"/>
    </xf>
    <xf numFmtId="0" fontId="19" fillId="5" borderId="10" xfId="1" applyFont="1" applyFill="1" applyBorder="1" applyAlignment="1">
      <alignment horizontal="center"/>
    </xf>
    <xf numFmtId="0" fontId="19" fillId="5" borderId="12" xfId="1" applyFont="1" applyFill="1" applyBorder="1" applyAlignment="1">
      <alignment horizontal="center"/>
    </xf>
    <xf numFmtId="0" fontId="19" fillId="6" borderId="9" xfId="1" applyFont="1" applyFill="1" applyBorder="1" applyAlignment="1">
      <alignment horizontal="center"/>
    </xf>
    <xf numFmtId="0" fontId="19" fillId="6" borderId="10" xfId="1" applyFont="1" applyFill="1" applyBorder="1" applyAlignment="1">
      <alignment horizontal="center"/>
    </xf>
    <xf numFmtId="0" fontId="19" fillId="6" borderId="12" xfId="1" applyFont="1" applyFill="1" applyBorder="1" applyAlignment="1">
      <alignment horizontal="center"/>
    </xf>
    <xf numFmtId="0" fontId="19" fillId="7" borderId="10" xfId="1" applyFont="1" applyFill="1" applyBorder="1" applyAlignment="1">
      <alignment horizontal="center"/>
    </xf>
    <xf numFmtId="0" fontId="19" fillId="8" borderId="9" xfId="1" applyFont="1" applyFill="1" applyBorder="1" applyAlignment="1">
      <alignment horizontal="center"/>
    </xf>
    <xf numFmtId="0" fontId="19" fillId="8" borderId="10" xfId="1" applyFont="1" applyFill="1" applyBorder="1" applyAlignment="1">
      <alignment horizontal="center"/>
    </xf>
    <xf numFmtId="0" fontId="19" fillId="8" borderId="12" xfId="1" applyFont="1" applyFill="1" applyBorder="1" applyAlignment="1">
      <alignment horizontal="center"/>
    </xf>
    <xf numFmtId="0" fontId="19" fillId="9" borderId="10" xfId="1" applyFont="1" applyFill="1" applyBorder="1" applyAlignment="1">
      <alignment horizontal="center"/>
    </xf>
    <xf numFmtId="0" fontId="19" fillId="10" borderId="9" xfId="1" applyFont="1" applyFill="1" applyBorder="1" applyAlignment="1">
      <alignment horizontal="center"/>
    </xf>
    <xf numFmtId="0" fontId="19" fillId="10" borderId="10" xfId="1" applyFont="1" applyFill="1" applyBorder="1" applyAlignment="1">
      <alignment horizontal="center"/>
    </xf>
    <xf numFmtId="0" fontId="19" fillId="10" borderId="12" xfId="1" applyFont="1" applyFill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9" fillId="7" borderId="9" xfId="1" applyFont="1" applyFill="1" applyBorder="1" applyAlignment="1">
      <alignment horizontal="center"/>
    </xf>
    <xf numFmtId="0" fontId="19" fillId="7" borderId="12" xfId="1" applyFont="1" applyFill="1" applyBorder="1" applyAlignment="1">
      <alignment horizontal="center"/>
    </xf>
    <xf numFmtId="0" fontId="19" fillId="9" borderId="9" xfId="1" applyFont="1" applyFill="1" applyBorder="1" applyAlignment="1">
      <alignment horizontal="center"/>
    </xf>
    <xf numFmtId="0" fontId="19" fillId="9" borderId="12" xfId="1" applyFont="1" applyFill="1" applyBorder="1" applyAlignment="1">
      <alignment horizontal="center"/>
    </xf>
    <xf numFmtId="0" fontId="17" fillId="12" borderId="0" xfId="0" applyFont="1" applyFill="1" applyAlignment="1">
      <alignment horizontal="center"/>
    </xf>
    <xf numFmtId="0" fontId="19" fillId="11" borderId="9" xfId="1" applyFont="1" applyFill="1" applyBorder="1" applyAlignment="1">
      <alignment horizontal="center"/>
    </xf>
    <xf numFmtId="0" fontId="20" fillId="12" borderId="0" xfId="0" applyFont="1" applyFill="1" applyAlignment="1">
      <alignment horizontal="left"/>
    </xf>
    <xf numFmtId="0" fontId="20" fillId="12" borderId="0" xfId="0" applyFont="1" applyFill="1" applyAlignment="1">
      <alignment horizontal="left" vertical="center"/>
    </xf>
  </cellXfs>
  <cellStyles count="11">
    <cellStyle name="Hyperlink 2 2" xfId="7" xr:uid="{C8AF7AA0-DEDA-4871-A11D-703D4B727887}"/>
    <cellStyle name="Normal" xfId="0" builtinId="0"/>
    <cellStyle name="Normal 10" xfId="4" xr:uid="{00000000-0005-0000-0000-000001000000}"/>
    <cellStyle name="Normal 10 3" xfId="6" xr:uid="{F3541DBD-CF25-4447-A210-96242E813325}"/>
    <cellStyle name="Normal 13" xfId="8" xr:uid="{B94387A4-3EE8-468C-8A22-7135E6552F73}"/>
    <cellStyle name="Normal 14" xfId="3" xr:uid="{00000000-0005-0000-0000-000002000000}"/>
    <cellStyle name="Normal 19" xfId="5" xr:uid="{CA089E74-56BB-42D5-900A-DF07BC2F0BE0}"/>
    <cellStyle name="Normal 2" xfId="1" xr:uid="{00000000-0005-0000-0000-000003000000}"/>
    <cellStyle name="Normal 2 2" xfId="2" xr:uid="{00000000-0005-0000-0000-000004000000}"/>
    <cellStyle name="Normal 5 2" xfId="9" xr:uid="{583F01EC-D5A3-4DE0-8F38-0A55D850FE00}"/>
    <cellStyle name="Normal 9" xfId="10" xr:uid="{50A8E1F0-7D61-4BE2-BDDC-525543F205DA}"/>
  </cellStyles>
  <dxfs count="3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horizontal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1" formatCode="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medium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" formatCode="0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" formatCode="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horizontal/>
      </border>
    </dxf>
    <dxf>
      <numFmt numFmtId="164" formatCode="0.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  <horizontal/>
      </border>
    </dxf>
    <dxf>
      <numFmt numFmtId="164" formatCode="0.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horizontal/>
      </border>
    </dxf>
    <dxf>
      <numFmt numFmtId="164" formatCode="0.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  <horizontal/>
      </border>
    </dxf>
    <dxf>
      <numFmt numFmtId="164" formatCode="0.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0.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0.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00"/>
      <color rgb="FFDBD600"/>
      <color rgb="FFCCFF66"/>
      <color rgb="FF33CC33"/>
      <color rgb="FF99FF99"/>
      <color rgb="FF0099CC"/>
      <color rgb="FF0066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217711</xdr:colOff>
      <xdr:row>29</xdr:row>
      <xdr:rowOff>106436</xdr:rowOff>
    </xdr:from>
    <xdr:to>
      <xdr:col>20</xdr:col>
      <xdr:colOff>227273</xdr:colOff>
      <xdr:row>39</xdr:row>
      <xdr:rowOff>173034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8DDBCE-399F-4A19-8523-8650783C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4653378" y="5373912"/>
          <a:ext cx="3559514" cy="19552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217711</xdr:colOff>
      <xdr:row>64</xdr:row>
      <xdr:rowOff>0</xdr:rowOff>
    </xdr:from>
    <xdr:to>
      <xdr:col>20</xdr:col>
      <xdr:colOff>472807</xdr:colOff>
      <xdr:row>74</xdr:row>
      <xdr:rowOff>142194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4B7A3C-BD9E-4E05-8EB3-48CBA0E52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4636444" y="5410803"/>
          <a:ext cx="3557096" cy="19631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217711</xdr:colOff>
      <xdr:row>81</xdr:row>
      <xdr:rowOff>0</xdr:rowOff>
    </xdr:from>
    <xdr:to>
      <xdr:col>20</xdr:col>
      <xdr:colOff>162714</xdr:colOff>
      <xdr:row>92</xdr:row>
      <xdr:rowOff>36358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01928-1444-4E51-AF78-A9C4B0094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4191944" y="11857567"/>
          <a:ext cx="3557096" cy="20429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16780</xdr:colOff>
      <xdr:row>38</xdr:row>
      <xdr:rowOff>163284</xdr:rowOff>
    </xdr:from>
    <xdr:to>
      <xdr:col>27</xdr:col>
      <xdr:colOff>399784</xdr:colOff>
      <xdr:row>50</xdr:row>
      <xdr:rowOff>20632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C3A69E-5410-4EBB-9BD1-6E796EE2F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712744" y="7361463"/>
          <a:ext cx="3564959" cy="20774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6205E1-01AE-42FC-9BB3-AE4C4899D809}" name="Table18218" displayName="Table18218" ref="B6:Z24" totalsRowCount="1" headerRowDxfId="378" dataDxfId="377" tableBorderDxfId="376">
  <autoFilter ref="B6:Z23" xr:uid="{00000000-0009-0000-0100-000014000000}"/>
  <tableColumns count="25">
    <tableColumn id="1" xr3:uid="{A14E81B1-2FF1-49DC-B7E5-171E0CF8A043}" name="Mass[1]" dataDxfId="375" totalsRowDxfId="374" dataCellStyle="Normal 2"/>
    <tableColumn id="2" xr3:uid="{C633B2BC-FBA0-4A8C-A7EA-5D20548AEB75}" name="Composition[2]" dataDxfId="373" totalsRowDxfId="372" dataCellStyle="Normal 2 2"/>
    <tableColumn id="3" xr3:uid="{16AFB243-C433-4838-B9D7-DFFA80485C75}" name="Putative structures [3]" dataDxfId="371" totalsRowDxfId="370" dataCellStyle="Normal 2 2"/>
    <tableColumn id="4" xr3:uid="{85D2C7FC-FEA3-4414-9058-C6C6769E1581}" name="Gal [4]" totalsRowDxfId="369"/>
    <tableColumn id="58" xr3:uid="{B43FBFA7-D026-489E-8B21-AEEA3EC325E4}" name="RT" dataDxfId="368" totalsRowDxfId="367" dataCellStyle="Normal 2 2"/>
    <tableColumn id="59" xr3:uid="{56D88A95-764A-437F-B0DE-D4CFD1FE3344}" name="Intensity" totalsRowFunction="custom" dataDxfId="366" totalsRowDxfId="365" dataCellStyle="Normal 2 2">
      <totalsRowFormula>SUM(G7:G23)</totalsRowFormula>
    </tableColumn>
    <tableColumn id="60" xr3:uid="{8297917B-A8FB-40C6-955C-9627E0DC2142}" name="Percentage" dataDxfId="364" totalsRowDxfId="363" dataCellStyle="Normal 2">
      <calculatedColumnFormula>G7/$G$24*100</calculatedColumnFormula>
    </tableColumn>
    <tableColumn id="40" xr3:uid="{6B0D5B97-3ED8-46CF-9D3D-A59B972B42B7}" name="RT2" dataDxfId="362" totalsRowDxfId="361" dataCellStyle="Normal 2"/>
    <tableColumn id="41" xr3:uid="{1FF559D4-DED2-4DB3-B1B3-C5FC595ADFA8}" name="Intensity2" totalsRowFunction="custom" dataDxfId="360" totalsRowDxfId="359" dataCellStyle="Normal 2 2">
      <totalsRowFormula>SUM(J7:J23)</totalsRowFormula>
    </tableColumn>
    <tableColumn id="42" xr3:uid="{A88ACBE2-D2DC-4EED-81FA-55734732B177}" name="Percentage2" dataDxfId="358" totalsRowDxfId="357" dataCellStyle="Normal 2">
      <calculatedColumnFormula>J7/#REF!*100</calculatedColumnFormula>
    </tableColumn>
    <tableColumn id="43" xr3:uid="{22530D3E-8EBB-4203-9383-14FA4DD60F89}" name="RT3" dataDxfId="356" totalsRowDxfId="355" dataCellStyle="Normal 2"/>
    <tableColumn id="44" xr3:uid="{48326FAF-E8BB-4855-9B49-95E40CA388C1}" name="Intensity3" totalsRowFunction="custom" dataDxfId="354" totalsRowDxfId="353" dataCellStyle="Normal 2 2">
      <totalsRowFormula>SUM(M7:M23)</totalsRowFormula>
    </tableColumn>
    <tableColumn id="45" xr3:uid="{C77E2FD2-7449-4B90-98D2-66202DC22983}" name="Percentage3" dataDxfId="352" totalsRowDxfId="351" dataCellStyle="Normal 2">
      <calculatedColumnFormula>M7/#REF!*100</calculatedColumnFormula>
    </tableColumn>
    <tableColumn id="46" xr3:uid="{364B2D89-D210-43A1-8AAF-4F5C8C951B2F}" name="RT4" dataDxfId="350" totalsRowDxfId="349" dataCellStyle="Normal 2"/>
    <tableColumn id="47" xr3:uid="{EF8484A6-84B5-4F85-983C-F17C9D1E57F3}" name="Intensity4" totalsRowFunction="custom" dataDxfId="348" totalsRowDxfId="347" dataCellStyle="Normal 2 2">
      <totalsRowFormula>SUM(P7:P23)</totalsRowFormula>
    </tableColumn>
    <tableColumn id="48" xr3:uid="{87FF38D2-6A3D-4A80-90B2-113A9A8C8002}" name="Percentage4" dataDxfId="346" totalsRowDxfId="345" dataCellStyle="Normal 2">
      <calculatedColumnFormula>P7/#REF!*100</calculatedColumnFormula>
    </tableColumn>
    <tableColumn id="49" xr3:uid="{0FF6CBCB-09EE-4889-924B-015345995DD0}" name="RT5" dataDxfId="344" totalsRowDxfId="343" dataCellStyle="Normal 2"/>
    <tableColumn id="50" xr3:uid="{61D64B9A-9ECB-4BDD-9AD4-D4D133ED4F90}" name="Intensity5" totalsRowFunction="custom" dataDxfId="342" totalsRowDxfId="341" dataCellStyle="Normal 2 2">
      <totalsRowFormula>SUM(S7:S23)</totalsRowFormula>
    </tableColumn>
    <tableColumn id="51" xr3:uid="{CCF46A24-4AA2-4FB9-9246-8826A9443BDF}" name="Percentage5" dataDxfId="340" totalsRowDxfId="339" dataCellStyle="Normal 2">
      <calculatedColumnFormula>S7/$S$24*100</calculatedColumnFormula>
    </tableColumn>
    <tableColumn id="52" xr3:uid="{0E277163-D763-4CAD-A5FF-530B924A9CC6}" name="RT6" dataDxfId="338" totalsRowDxfId="337" dataCellStyle="Normal 2"/>
    <tableColumn id="53" xr3:uid="{4A83E82E-5D53-4265-8AF4-1E2E249864B4}" name="Intensity6" totalsRowFunction="custom" dataDxfId="336" totalsRowDxfId="335" dataCellStyle="Normal 2 2">
      <totalsRowFormula>SUM(V7:V23)</totalsRowFormula>
    </tableColumn>
    <tableColumn id="54" xr3:uid="{B8069EC3-E3A6-44F9-80E1-FFE242F961C5}" name="Percentage6" dataDxfId="334" totalsRowDxfId="333" dataCellStyle="Normal 2">
      <calculatedColumnFormula>V7/#REF!*100</calculatedColumnFormula>
    </tableColumn>
    <tableColumn id="55" xr3:uid="{5AA76426-5362-40F8-8073-EF686313F927}" name="RT7" dataDxfId="332" totalsRowDxfId="331" dataCellStyle="Normal 2"/>
    <tableColumn id="56" xr3:uid="{158CFBD9-38AF-4D6C-BC5D-662AE9888685}" name="Intensity7" totalsRowFunction="custom" dataDxfId="330" totalsRowDxfId="329" dataCellStyle="Normal 2 2">
      <totalsRowFormula>SUM(Y7:Y23)</totalsRowFormula>
    </tableColumn>
    <tableColumn id="57" xr3:uid="{509FCDFC-E541-42A4-9C2D-BD20171EE441}" name="Percentage7" dataDxfId="328" totalsRowDxfId="327" dataCellStyle="Normal 2">
      <calculatedColumnFormula>Y7/#REF!*100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B18C3-981D-4075-8275-299E7AE3286C}" name="Table163" displayName="Table163" ref="B4:AC61" totalsRowCount="1" headerRowDxfId="326" dataDxfId="324" headerRowBorderDxfId="325" tableBorderDxfId="323" headerRowCellStyle="Normal 14" dataCellStyle="Normal 14">
  <autoFilter ref="B4:AC60" xr:uid="{00000000-0009-0000-0100-000001000000}"/>
  <tableColumns count="28">
    <tableColumn id="1" xr3:uid="{BEB1C32F-D9A6-45EA-8F0C-3FA4FAB7B704}" name="Mass[1]" dataDxfId="322" totalsRowDxfId="321" dataCellStyle="Normal 14"/>
    <tableColumn id="2" xr3:uid="{EE8BD967-E0F9-4495-A2AF-6F2667043866}" name="Composition[2]" dataDxfId="320" totalsRowDxfId="319" dataCellStyle="Normal 14"/>
    <tableColumn id="3" xr3:uid="{94EB4CA1-41FB-488E-8DB5-ACB2AA2AB2D1}" name="Putative structures [3]" dataDxfId="318" totalsRowDxfId="317" dataCellStyle="Normal 14"/>
    <tableColumn id="104" xr3:uid="{3C75C43F-DD11-446A-B059-99CA24168413}" name="Gal [4]" dataDxfId="316" totalsRowDxfId="315"/>
    <tableColumn id="105" xr3:uid="{FB310DED-ED81-4AAD-80A2-9BA9302D74A3}" name="Sialylation [5]" dataDxfId="314" totalsRowDxfId="313"/>
    <tableColumn id="108" xr3:uid="{BD9CB584-DF42-4E6D-A732-30DB51D69DDD}" name="Sul [5]" dataDxfId="312" totalsRowDxfId="311"/>
    <tableColumn id="40" xr3:uid="{08FEF6D8-0C5F-4E2C-8034-AB7C4D5121E0}" name="Fuc [6]" dataDxfId="310" totalsRowDxfId="309"/>
    <tableColumn id="123" xr3:uid="{71B4BD25-FDC4-45F8-A1EA-33F15E34BE9C}" name="RT" dataDxfId="308" totalsRowDxfId="307" dataCellStyle="Normal 14"/>
    <tableColumn id="124" xr3:uid="{F4269531-559D-44F0-BDB1-5575029BE8FD}" name="Intensity" totalsRowFunction="custom" dataDxfId="306" totalsRowDxfId="305" dataCellStyle="Normal 14">
      <totalsRowFormula>SUM(J5:J60)</totalsRowFormula>
    </tableColumn>
    <tableColumn id="125" xr3:uid="{B24223A7-22CE-47C5-A9AB-BDE5E866EB7D}" name="Percentage13" totalsRowFunction="sum" dataDxfId="304" totalsRowDxfId="303" dataCellStyle="Normal 14">
      <calculatedColumnFormula>J5/$J$61*100</calculatedColumnFormula>
    </tableColumn>
    <tableColumn id="111" xr3:uid="{726F0244-F21D-4C79-B9A4-43450A405E1E}" name="RT34" dataDxfId="302" totalsRowDxfId="301" dataCellStyle="Normal 14"/>
    <tableColumn id="112" xr3:uid="{19DBA969-E6A5-48DB-9C10-6507F6228A6B}" name="Intensity33" totalsRowFunction="custom" dataDxfId="300" totalsRowDxfId="299" dataCellStyle="Normal 14">
      <totalsRowFormula>SUM(M5:M60)</totalsRowFormula>
    </tableColumn>
    <tableColumn id="113" xr3:uid="{10E05BD0-CB06-439E-BCC5-EB72B1482DA1}" name="Perecentage" totalsRowFunction="sum" dataDxfId="298" totalsRowDxfId="297" dataCellStyle="Normal 14">
      <calculatedColumnFormula>M5/$M$61*100</calculatedColumnFormula>
    </tableColumn>
    <tableColumn id="107" xr3:uid="{42D1E599-1BAC-4E54-8751-99D646A3C4AD}" name="RT35" dataDxfId="296" totalsRowDxfId="295" dataCellStyle="Normal 14"/>
    <tableColumn id="109" xr3:uid="{132C0F9F-0D01-4550-9D7D-4705548A0A3D}" name="Intensity34" totalsRowFunction="custom" dataDxfId="294" totalsRowDxfId="293" dataCellStyle="Normal 14">
      <totalsRowFormula>SUM(P5:P60)</totalsRowFormula>
    </tableColumn>
    <tableColumn id="110" xr3:uid="{DEADE8DE-92E2-471F-BF3D-F8E9FE92447C}" name="Percentage5" totalsRowFunction="sum" dataDxfId="292" totalsRowDxfId="291" dataCellStyle="Normal 14">
      <calculatedColumnFormula>P5/$P$61*100</calculatedColumnFormula>
    </tableColumn>
    <tableColumn id="114" xr3:uid="{46750B93-237D-4351-B984-2A4FD3422967}" name="RT36" dataDxfId="290" totalsRowDxfId="289" dataCellStyle="Normal 14"/>
    <tableColumn id="115" xr3:uid="{BB85B85E-E2A5-4C75-9BAF-FB0C4DFE1DBC}" name="Intensity35" totalsRowFunction="custom" dataDxfId="288" totalsRowDxfId="287" dataCellStyle="Normal 14">
      <totalsRowFormula>SUM(S5:S60)</totalsRowFormula>
    </tableColumn>
    <tableColumn id="116" xr3:uid="{B79F14FA-8815-4573-91F1-4ABBF55DE3DF}" name="Percentage6" totalsRowFunction="sum" dataDxfId="286" totalsRowDxfId="285" dataCellStyle="Normal 14">
      <calculatedColumnFormula>S5/$S$61*100</calculatedColumnFormula>
    </tableColumn>
    <tableColumn id="117" xr3:uid="{80B435B8-BEAA-4399-A964-325B2D4C5730}" name="RT37" dataDxfId="284" totalsRowDxfId="283" dataCellStyle="Normal 14"/>
    <tableColumn id="118" xr3:uid="{69B628D8-923A-4F04-AFA4-EFF81229B562}" name="Intensity36" totalsRowFunction="custom" dataDxfId="282" totalsRowDxfId="281" dataCellStyle="Normal 14">
      <totalsRowFormula>SUM(V5:V60)</totalsRowFormula>
    </tableColumn>
    <tableColumn id="119" xr3:uid="{CF91E70A-5D5E-457E-8C5F-0CADCB789372}" name="Percentage11" totalsRowFunction="sum" dataDxfId="280" totalsRowDxfId="279" dataCellStyle="Normal 14">
      <calculatedColumnFormula>V5/$V$61*100</calculatedColumnFormula>
    </tableColumn>
    <tableColumn id="120" xr3:uid="{29E40796-972F-4675-AA8A-825DE1CB536D}" name="RT38" dataDxfId="278" totalsRowDxfId="277" dataCellStyle="Normal 14"/>
    <tableColumn id="121" xr3:uid="{F2497D37-FFFB-4C91-8323-129964EA59F5}" name="Intensity39" totalsRowFunction="custom" dataDxfId="276" totalsRowDxfId="275" dataCellStyle="Normal 14">
      <totalsRowFormula>SUM(Y5:Y60)</totalsRowFormula>
    </tableColumn>
    <tableColumn id="122" xr3:uid="{7A55223F-0EA5-48E4-BD98-A7BC4626962F}" name="Percentage1340" totalsRowFunction="sum" dataDxfId="274" totalsRowDxfId="273" dataCellStyle="Normal 14">
      <calculatedColumnFormula>Y5/$Y$61*100</calculatedColumnFormula>
    </tableColumn>
    <tableColumn id="150" xr3:uid="{997EB385-A976-4CC8-9A9E-08BCF649D373}" name="RT46" dataDxfId="272" totalsRowDxfId="271" dataCellStyle="Normal 14"/>
    <tableColumn id="151" xr3:uid="{A1893AC1-0BB9-45F6-9D1F-30CD6C8E7B34}" name="Intensity45" totalsRowFunction="custom" dataDxfId="270" totalsRowDxfId="269" dataCellStyle="Normal 14">
      <totalsRowFormula>SUM(AB5:AB60)</totalsRowFormula>
    </tableColumn>
    <tableColumn id="152" xr3:uid="{C3E1FCF5-0D93-4CC1-B3A0-1BF4A6E09BC7}" name="Percentage19" totalsRowFunction="sum" dataDxfId="268" totalsRowDxfId="267" dataCellStyle="Normal 14">
      <calculatedColumnFormula>AB5/$AB$61*100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C72356-0719-47A7-A546-23E50D05B19F}" name="Table1633" displayName="Table1633" ref="B8:BD66" totalsRowCount="1" headerRowDxfId="266" dataDxfId="264" headerRowBorderDxfId="265" tableBorderDxfId="263" headerRowCellStyle="Normal 14" dataCellStyle="Normal 14">
  <autoFilter ref="B8:BD65" xr:uid="{00000000-0009-0000-0100-000001000000}"/>
  <tableColumns count="55">
    <tableColumn id="1" xr3:uid="{287D881B-BB03-4514-A065-B08A67FD0D18}" name="Mass[1]" dataDxfId="262" totalsRowDxfId="261" dataCellStyle="Normal 14"/>
    <tableColumn id="2" xr3:uid="{D45497E9-3CD1-4C6C-814B-381E50EAE828}" name="Composition[2]" dataDxfId="260" totalsRowDxfId="259" dataCellStyle="Normal 14"/>
    <tableColumn id="3" xr3:uid="{F6D833A6-D083-46AE-BC3E-8E1BB242378E}" name="Putative structures [3]" dataDxfId="258" totalsRowDxfId="257" dataCellStyle="Normal 14"/>
    <tableColumn id="105" xr3:uid="{38E7EFB8-0E2B-4C99-82E7-8B310331F8C7}" name="Gal [4]" dataDxfId="256" totalsRowDxfId="255"/>
    <tableColumn id="106" xr3:uid="{64227F1E-FE4A-4C37-B28F-31EB8ED30037}" name="Sialylation [5]" dataDxfId="254" totalsRowDxfId="253"/>
    <tableColumn id="108" xr3:uid="{1BC39917-E4A9-4A9C-9CB2-2D3BB44CEA4D}" name="Sul" dataDxfId="252" totalsRowDxfId="251"/>
    <tableColumn id="40" xr3:uid="{59305369-A3AD-415E-A454-F3A3318AFA0E}" name="Fuc [6]" dataDxfId="250" totalsRowDxfId="249"/>
    <tableColumn id="206" xr3:uid="{39964A06-6F35-48E1-A34E-4B713952F1A7}" name="RT63" dataDxfId="248" totalsRowDxfId="247" dataCellStyle="Normal 14"/>
    <tableColumn id="207" xr3:uid="{F3BE798E-4E6C-469E-950C-29008AF3E051}" name="Intensity61" totalsRowFunction="custom" dataDxfId="246" totalsRowDxfId="245" dataCellStyle="Normal 14">
      <totalsRowFormula>SUM(J9:J65)</totalsRowFormula>
    </tableColumn>
    <tableColumn id="208" xr3:uid="{CEF87AA1-F746-4012-87DF-638EB2DAC86F}" name="Percentage31" dataDxfId="244" totalsRowDxfId="243" dataCellStyle="Normal 14">
      <calculatedColumnFormula>J9/$J$66*100</calculatedColumnFormula>
    </tableColumn>
    <tableColumn id="188" xr3:uid="{AF064FD5-DC70-4BF9-BA88-B9DAFF156829}" name="RT59" dataDxfId="242" totalsRowDxfId="241"/>
    <tableColumn id="189" xr3:uid="{EFDAF35D-BB0C-4F71-90BB-3C4A7B8DB173}" name="Intensity57" totalsRowFunction="custom" dataDxfId="240" totalsRowDxfId="239" dataCellStyle="Normal 14">
      <totalsRowFormula>SUM(M9:M65)</totalsRowFormula>
    </tableColumn>
    <tableColumn id="190" xr3:uid="{DB0A47F0-773F-498F-A9A8-088C0D49B343}" name="Percentage28" dataDxfId="238" totalsRowDxfId="237">
      <calculatedColumnFormula>M9/$M$66*100</calculatedColumnFormula>
    </tableColumn>
    <tableColumn id="191" xr3:uid="{578A70AF-65C2-493E-AF98-856103260AD6}" name="RT58" dataDxfId="236" totalsRowDxfId="235"/>
    <tableColumn id="192" xr3:uid="{0599495B-F5FF-4C9A-A328-0DFEC219235C}" name="Intenstity" totalsRowFunction="custom" dataDxfId="234" totalsRowDxfId="233" dataCellStyle="Normal 14">
      <totalsRowFormula>SUM(P9:P65)</totalsRowFormula>
    </tableColumn>
    <tableColumn id="193" xr3:uid="{9CC0E3FF-2333-46D9-B08D-C5D24003668D}" name="Percentage27" dataDxfId="232" totalsRowDxfId="231">
      <calculatedColumnFormula>P9/$P$66*100</calculatedColumnFormula>
    </tableColumn>
    <tableColumn id="194" xr3:uid="{C4CEF783-B7E0-431E-B86A-017D24BE5C5A}" name="RT" dataDxfId="230" totalsRowDxfId="229" dataCellStyle="Normal 14"/>
    <tableColumn id="195" xr3:uid="{254F94ED-E260-4778-8FC5-8CA500FAB21D}" name="Intensity" totalsRowFunction="custom" dataDxfId="228" totalsRowDxfId="227" dataCellStyle="Normal 14">
      <totalsRowFormula>SUM(S9:S65)</totalsRowFormula>
    </tableColumn>
    <tableColumn id="196" xr3:uid="{88554B65-A766-4264-A9F3-9DCB6091FEDF}" name="Percentage" dataDxfId="226" totalsRowDxfId="225">
      <calculatedColumnFormula>S9/$S$66*100</calculatedColumnFormula>
    </tableColumn>
    <tableColumn id="197" xr3:uid="{620064E8-23D1-4EDA-82D3-DE46B4782E2A}" name="RT60" dataDxfId="224" totalsRowDxfId="223" dataCellStyle="Normal 14"/>
    <tableColumn id="198" xr3:uid="{472BCC5F-EB62-4B1F-924F-8D8846823936}" name="Intensity58" totalsRowFunction="custom" dataDxfId="222" totalsRowDxfId="221" dataCellStyle="Normal 14">
      <totalsRowFormula>SUM(V9:V65)</totalsRowFormula>
    </tableColumn>
    <tableColumn id="199" xr3:uid="{F6CAAAEB-0F63-417B-BD2E-15BBCF60B25C}" name="Percentage29" dataDxfId="220" totalsRowDxfId="219">
      <calculatedColumnFormula>V9/$V$66*100</calculatedColumnFormula>
    </tableColumn>
    <tableColumn id="200" xr3:uid="{B9C0EC66-108E-4854-A09E-8FB0651C9BA8}" name="RT61" dataDxfId="218" totalsRowDxfId="217" dataCellStyle="Normal 14"/>
    <tableColumn id="201" xr3:uid="{0EBBA76F-96D3-44B7-925A-9E9242374049}" name="Intensity59" totalsRowFunction="custom" dataDxfId="216" totalsRowDxfId="215" dataCellStyle="Normal 14">
      <totalsRowFormula>SUM(Y9:Y65)</totalsRowFormula>
    </tableColumn>
    <tableColumn id="202" xr3:uid="{3B559D64-8D89-4FF2-9E57-F0EB12DA74E2}" name="Percentage30" dataDxfId="214" totalsRowDxfId="213">
      <calculatedColumnFormula>Y9/$Y$66*100</calculatedColumnFormula>
    </tableColumn>
    <tableColumn id="203" xr3:uid="{9E29678B-D800-4A64-B927-C929E7502C56}" name="RT62" dataDxfId="212" totalsRowDxfId="211" dataCellStyle="Normal 14"/>
    <tableColumn id="204" xr3:uid="{8D0BE8AE-914F-4F8C-A4C5-09FD9C82A8DA}" name="Intensity60" totalsRowFunction="custom" dataDxfId="210" totalsRowDxfId="209" dataCellStyle="Normal 14">
      <totalsRowFormula>SUM(AB9:AB65)</totalsRowFormula>
    </tableColumn>
    <tableColumn id="205" xr3:uid="{2BB9ACD7-7912-4190-B0B4-E53ED449798D}" name="Percentage33" dataDxfId="208" totalsRowDxfId="207">
      <calculatedColumnFormula>AB9/$AB$66*100</calculatedColumnFormula>
    </tableColumn>
    <tableColumn id="209" xr3:uid="{048DB2AE-8C8E-4091-9D26-0977281D0A12}" name="Percentage32" dataDxfId="206" totalsRowDxfId="205"/>
    <tableColumn id="210" xr3:uid="{7FD42874-7A2D-41AB-A1EF-EA8680CD76BB}" name="Percentage322" dataDxfId="204" totalsRowDxfId="203" dataCellStyle="Normal 14"/>
    <tableColumn id="211" xr3:uid="{1AF9660A-DCAD-408B-A32C-36DAC66D15EA}" name="Percentage323" dataDxfId="202" totalsRowDxfId="201"/>
    <tableColumn id="212" xr3:uid="{A25F9319-3E4F-49F7-8203-D529BCD1560C}" name="Percentage324" dataDxfId="200" totalsRowDxfId="199"/>
    <tableColumn id="213" xr3:uid="{1DDF0192-989D-4A56-AC6B-7B18BDE3D096}" name="Percentage325" dataDxfId="198" totalsRowDxfId="197" dataCellStyle="Normal 14"/>
    <tableColumn id="214" xr3:uid="{7B905CFA-9504-4677-A136-977EAF44FDC1}" name="Percentage326" dataDxfId="196" totalsRowDxfId="195"/>
    <tableColumn id="215" xr3:uid="{C1043303-BA88-422B-8CEC-57969C336F6B}" name="Percentage327" dataDxfId="194" totalsRowDxfId="193"/>
    <tableColumn id="216" xr3:uid="{8B10ED5F-CAD6-4585-8D19-19D5E1B93402}" name="Percentage328" dataDxfId="192" totalsRowDxfId="191" dataCellStyle="Normal 14"/>
    <tableColumn id="217" xr3:uid="{C705BA37-820F-418B-88E6-62DFD3F8CB4B}" name="Percentage329" dataDxfId="190" totalsRowDxfId="189"/>
    <tableColumn id="218" xr3:uid="{7C8CD50B-97F6-4343-A98C-99C13C72CBB6}" name="Percentage330" dataDxfId="188" totalsRowDxfId="187"/>
    <tableColumn id="219" xr3:uid="{CE1FF1A1-59A1-4DF4-AE32-D220C9DFA1D3}" name="Percentage331" dataDxfId="186" totalsRowDxfId="185" dataCellStyle="Normal 14"/>
    <tableColumn id="220" xr3:uid="{4125C378-D98F-4C3D-8CB3-EB1960F1B632}" name="Percentage332" dataDxfId="184" totalsRowDxfId="183"/>
    <tableColumn id="221" xr3:uid="{7D8CAF20-C27C-4B7C-8EFE-130DE60D9D8D}" name="Percentage333" dataDxfId="182" totalsRowDxfId="181"/>
    <tableColumn id="222" xr3:uid="{1CFC32FE-9B98-4786-83A1-6BC30FB013E4}" name="Percentage334" dataDxfId="180" totalsRowDxfId="179" dataCellStyle="Normal 14"/>
    <tableColumn id="223" xr3:uid="{994B5B83-4F12-446F-B4A4-1DC771ECD33F}" name="Percentage335" dataDxfId="178" totalsRowDxfId="177"/>
    <tableColumn id="224" xr3:uid="{EB5E70BD-C10E-45A0-A3E3-5E48FC0565A1}" name="Percentage336" dataDxfId="176" totalsRowDxfId="175"/>
    <tableColumn id="225" xr3:uid="{DD41B101-1BA5-412E-930A-A47EA94D3F11}" name="Percentage337" dataDxfId="174" totalsRowDxfId="173" dataCellStyle="Normal 14"/>
    <tableColumn id="226" xr3:uid="{A10B563C-56C3-4E79-8F7D-50F3BA68BB48}" name="Percentage338" dataDxfId="172" totalsRowDxfId="171"/>
    <tableColumn id="227" xr3:uid="{34353530-B04D-4595-A613-029DEE78D7F4}" name="Percentage339" dataDxfId="170" totalsRowDxfId="169" dataCellStyle="Normal 14"/>
    <tableColumn id="228" xr3:uid="{93DFA295-2681-4899-ADBF-1BD84ED46DB1}" name="Percentage340" dataDxfId="168" totalsRowDxfId="167" dataCellStyle="Normal 14"/>
    <tableColumn id="229" xr3:uid="{632705AF-A52E-4FF4-9DF3-53F7AC81F2F1}" name="Percentage341" dataDxfId="166" totalsRowDxfId="165"/>
    <tableColumn id="230" xr3:uid="{3F583E07-A06F-470D-B468-3AE42C7B7ED2}" name="Percentage342" dataDxfId="164" totalsRowDxfId="163" dataCellStyle="Normal 14"/>
    <tableColumn id="231" xr3:uid="{5FFDF35C-BB63-4C15-9EAE-939AD70C61AA}" name="Percentage343" dataDxfId="162" totalsRowDxfId="161" dataCellStyle="Normal 14"/>
    <tableColumn id="232" xr3:uid="{4E34E2C5-6405-48DD-A644-4F71C720FDB0}" name="Percentage344" dataDxfId="160" totalsRowDxfId="159"/>
    <tableColumn id="233" xr3:uid="{10279D4D-75C5-4411-8019-F9FD1E1EDF75}" name="Percentage345" dataDxfId="158" totalsRowDxfId="157"/>
    <tableColumn id="234" xr3:uid="{D83DE8A9-C7DA-473B-8BA5-4655F9BF3F27}" name="Percentage346" dataDxfId="156" totalsRowDxfId="155" dataCellStyle="Normal 14"/>
    <tableColumn id="235" xr3:uid="{3309F071-C88D-4A47-B3B3-4675BA18A4B6}" name="Percentage347" dataDxfId="154" totalsRowDxfId="153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D16FD8-62FE-4B9D-8E78-7CC4A95F284C}" name="Table1632" displayName="Table1632" ref="B72:BD78" totalsRowCount="1" headerRowDxfId="152" dataDxfId="150" headerRowBorderDxfId="151" tableBorderDxfId="149" headerRowCellStyle="Normal 14" dataCellStyle="Normal 14">
  <autoFilter ref="B72:BD77" xr:uid="{D4F2AB7B-0CBD-4629-B9AA-E652577596DE}"/>
  <tableColumns count="55">
    <tableColumn id="1" xr3:uid="{8C54146C-D703-4E89-92D3-488EA7321B48}" name="Mass[1]" dataDxfId="148" totalsRowDxfId="147" dataCellStyle="Normal 14"/>
    <tableColumn id="2" xr3:uid="{1B823CD9-3DD3-47F6-BF07-B6F7E66A34EF}" name="Composition[2]" dataDxfId="146" totalsRowDxfId="145" dataCellStyle="Normal 14"/>
    <tableColumn id="3" xr3:uid="{DC9AB219-7308-4B80-B5D1-F59F9BDC0C7C}" name="Putative structures [3]" dataDxfId="144" totalsRowDxfId="143" dataCellStyle="Normal 14"/>
    <tableColumn id="105" xr3:uid="{6F6EDB18-14DC-46B5-A09E-179F9DA1A2CA}" name="Gal [4]" dataDxfId="142" totalsRowDxfId="141"/>
    <tableColumn id="106" xr3:uid="{7D3126BB-B73B-48AB-A087-8890CE6A14D4}" name="Sialylation [5]" dataDxfId="140" totalsRowDxfId="139"/>
    <tableColumn id="108" xr3:uid="{FF3FB4D7-11FC-49C4-938E-AC07F27A5354}" name="Sul [5]" dataDxfId="138" totalsRowDxfId="137"/>
    <tableColumn id="40" xr3:uid="{67372B08-3342-4DDE-BA10-1C72C7854221}" name="Fuc [6]" dataDxfId="136" totalsRowDxfId="135"/>
    <tableColumn id="206" xr3:uid="{3672C968-7533-45F6-B52E-BECC202F4E30}" name="RT63" dataDxfId="134" totalsRowDxfId="133" dataCellStyle="Normal 14"/>
    <tableColumn id="207" xr3:uid="{30D2B220-7736-4E5D-9E7B-319A28A38DA3}" name="Intensity61" totalsRowFunction="custom" dataDxfId="132" totalsRowDxfId="131" dataCellStyle="Normal 14">
      <totalsRowFormula>SUM(J73:J77)</totalsRowFormula>
    </tableColumn>
    <tableColumn id="208" xr3:uid="{20201801-6E0F-4DF0-B9CD-783B23F146EF}" name="Percentage31" dataDxfId="130" totalsRowDxfId="129" dataCellStyle="Normal 14">
      <calculatedColumnFormula>J73/$J$78*100</calculatedColumnFormula>
    </tableColumn>
    <tableColumn id="188" xr3:uid="{63F18C16-E101-4812-9D03-980DC1E8F2EA}" name="RT59" dataDxfId="128" totalsRowDxfId="127"/>
    <tableColumn id="189" xr3:uid="{549BE76E-6CC6-4B7B-9DBF-7BE640687C51}" name="Intensity57" totalsRowFunction="custom" dataDxfId="126" totalsRowDxfId="125" dataCellStyle="Normal 14">
      <totalsRowFormula>SUM(M73:M77)</totalsRowFormula>
    </tableColumn>
    <tableColumn id="190" xr3:uid="{F6CBC4E2-1ECC-42EC-BDC9-5F26E95B674A}" name="Percentage28" dataDxfId="124" totalsRowDxfId="123">
      <calculatedColumnFormula>M73/$M$78*100</calculatedColumnFormula>
    </tableColumn>
    <tableColumn id="191" xr3:uid="{21934A35-15CF-4279-BFD6-3F035CFC970C}" name="RT58" dataDxfId="122" totalsRowDxfId="121"/>
    <tableColumn id="192" xr3:uid="{B64A02A1-7A9F-4818-8D2D-FB314F171599}" name="Intenstity" totalsRowFunction="custom" dataDxfId="120" totalsRowDxfId="119" dataCellStyle="Normal 14">
      <totalsRowFormula>SUM(P73:P77)</totalsRowFormula>
    </tableColumn>
    <tableColumn id="193" xr3:uid="{782D28C2-4C64-488D-AB62-956B70C8062F}" name="Percentage27" dataDxfId="118" totalsRowDxfId="117">
      <calculatedColumnFormula>P73/$P$78*100</calculatedColumnFormula>
    </tableColumn>
    <tableColumn id="194" xr3:uid="{1661B814-7997-4C74-9E36-545891C3237A}" name="RT" dataDxfId="116" totalsRowDxfId="115" dataCellStyle="Normal 14"/>
    <tableColumn id="195" xr3:uid="{7578B351-C34F-4760-9C68-49F9BD639291}" name="Intensity" totalsRowFunction="custom" dataDxfId="114" totalsRowDxfId="113" dataCellStyle="Normal 14">
      <totalsRowFormula>SUM(S73:S77)</totalsRowFormula>
    </tableColumn>
    <tableColumn id="196" xr3:uid="{CDE574C3-F71E-436E-9172-81F1B5CF544B}" name="Percentage" dataDxfId="112" totalsRowDxfId="111">
      <calculatedColumnFormula>S73/$S$78*100</calculatedColumnFormula>
    </tableColumn>
    <tableColumn id="197" xr3:uid="{F0C1B123-3746-4853-8C38-36896F96B3B2}" name="RT60" dataDxfId="110" totalsRowDxfId="109" dataCellStyle="Normal 14"/>
    <tableColumn id="198" xr3:uid="{3046828E-5EB9-4F86-B880-EC873F3B9F5C}" name="Intensity58" totalsRowFunction="custom" dataDxfId="108" totalsRowDxfId="107" dataCellStyle="Normal 14">
      <totalsRowFormula>SUM(V73:V77)</totalsRowFormula>
    </tableColumn>
    <tableColumn id="199" xr3:uid="{4943DC6C-840A-45B2-AB09-87FDD4A35EE8}" name="Percentage29" dataDxfId="106" totalsRowDxfId="105">
      <calculatedColumnFormula>V73/$V$78*100</calculatedColumnFormula>
    </tableColumn>
    <tableColumn id="200" xr3:uid="{973EE237-ADB6-4452-B198-E4461EF9192F}" name="RT61" dataDxfId="104" totalsRowDxfId="103" dataCellStyle="Normal 14"/>
    <tableColumn id="201" xr3:uid="{C18D14CF-1C3F-4D75-82AE-CB7D92749672}" name="Intensity59" totalsRowFunction="custom" dataDxfId="102" totalsRowDxfId="101" dataCellStyle="Normal 14">
      <totalsRowFormula>SUM(Y73:Y77)</totalsRowFormula>
    </tableColumn>
    <tableColumn id="202" xr3:uid="{42293F7C-A4B8-4D4F-83E0-8543A7D9A13B}" name="Percentage30" dataDxfId="100" totalsRowDxfId="99">
      <calculatedColumnFormula>Y73/$Y$78*100</calculatedColumnFormula>
    </tableColumn>
    <tableColumn id="203" xr3:uid="{4C03AA6E-01BC-4EA8-BA20-51D69FCBE7C4}" name="RT62" dataDxfId="98" totalsRowDxfId="97" dataCellStyle="Normal 14"/>
    <tableColumn id="204" xr3:uid="{C175EF56-881A-4573-9703-AEC21A1E5D3D}" name="Intensity60" totalsRowFunction="custom" dataDxfId="96" totalsRowDxfId="95" dataCellStyle="Normal 14">
      <totalsRowFormula>SUM(AB73:AB77)</totalsRowFormula>
    </tableColumn>
    <tableColumn id="205" xr3:uid="{1C4AE7FC-6236-49C5-BE7F-221BB93F265B}" name="Percentage33" dataDxfId="94" totalsRowDxfId="93">
      <calculatedColumnFormula>AB73/$AB$78*100</calculatedColumnFormula>
    </tableColumn>
    <tableColumn id="209" xr3:uid="{451567E4-AC5D-481A-AC82-B0A57948FF2A}" name="Percentage32" dataDxfId="92"/>
    <tableColumn id="210" xr3:uid="{4F016A36-3891-4FA7-A862-5837F8D38205}" name="Percentage322" dataDxfId="91" dataCellStyle="Normal 14"/>
    <tableColumn id="211" xr3:uid="{89AF76A7-0337-4404-AA7A-DECDB9DA951D}" name="Percentage323" dataDxfId="90"/>
    <tableColumn id="212" xr3:uid="{136B5A7C-6CBA-4032-AFCF-E551203575C8}" name="Percentage324" dataDxfId="89"/>
    <tableColumn id="213" xr3:uid="{A37F6CE3-A1F6-410B-932A-ED375D0D8E2F}" name="Percentage325" dataDxfId="88" dataCellStyle="Normal 14"/>
    <tableColumn id="214" xr3:uid="{CC9356D6-CEC5-4BDB-8E51-FC19B07CE2C2}" name="Percentage326" dataDxfId="87"/>
    <tableColumn id="215" xr3:uid="{AE8405CF-E6F4-4F2B-97A8-E47F1FD8480B}" name="Percentage327" dataDxfId="86"/>
    <tableColumn id="216" xr3:uid="{9284723B-5976-40EB-910A-7958DB1A7978}" name="Percentage328" dataDxfId="85" dataCellStyle="Normal 14"/>
    <tableColumn id="217" xr3:uid="{B23C6C93-C39C-41F9-BD43-F44341F48CBE}" name="Percentage329" dataDxfId="84"/>
    <tableColumn id="218" xr3:uid="{B09C0A33-5252-4D94-8EF4-3E08FDDF9869}" name="Percentage330" dataDxfId="83"/>
    <tableColumn id="219" xr3:uid="{DD234B3F-2D39-4B2B-8940-2B6CF9F30766}" name="Percentage331" dataDxfId="82" dataCellStyle="Normal 14"/>
    <tableColumn id="220" xr3:uid="{4E00FF5A-3F90-48A7-8FC7-134E7E400B27}" name="Percentage332" dataDxfId="81"/>
    <tableColumn id="221" xr3:uid="{30E5FD31-E726-4E81-8369-9584A9A0BA66}" name="Percentage333" dataDxfId="80"/>
    <tableColumn id="222" xr3:uid="{7B3AB9C4-C3E0-4086-8A35-E3AA84DB9C6A}" name="Percentage334" dataDxfId="79" dataCellStyle="Normal 14"/>
    <tableColumn id="223" xr3:uid="{E2994464-0EC6-48AB-A05C-ADA4A5C2DC7A}" name="Percentage335" dataDxfId="78"/>
    <tableColumn id="224" xr3:uid="{6AECD279-F112-402A-BA13-C14DCB1A6E06}" name="Percentage336" dataDxfId="77"/>
    <tableColumn id="225" xr3:uid="{13749DA2-5427-4603-B483-44BB80948659}" name="Percentage337" dataDxfId="76" dataCellStyle="Normal 14"/>
    <tableColumn id="226" xr3:uid="{3679DCC3-BF8D-422D-B5EA-4008CFC13E3C}" name="Percentage338" dataDxfId="75"/>
    <tableColumn id="227" xr3:uid="{88962DB8-213C-4CAA-B971-9AFCF2DC0530}" name="Percentage339" dataDxfId="74" dataCellStyle="Normal 14"/>
    <tableColumn id="228" xr3:uid="{F0A1D810-625E-439E-B9EB-C98575531891}" name="Percentage340" dataDxfId="73" totalsRowDxfId="72" dataCellStyle="Normal 14"/>
    <tableColumn id="229" xr3:uid="{8A1418EB-EFD1-445D-96E9-A15274938458}" name="Percentage341" dataDxfId="71" totalsRowDxfId="70"/>
    <tableColumn id="230" xr3:uid="{0DEE869B-48F0-4B20-981B-9A3FC1E84A1F}" name="Percentage342" dataDxfId="69" totalsRowDxfId="68" dataCellStyle="Normal 14"/>
    <tableColumn id="231" xr3:uid="{147FF972-F8E4-4592-8792-B1BFDD539CBF}" name="Percentage343" dataDxfId="67" totalsRowDxfId="66" dataCellStyle="Normal 14"/>
    <tableColumn id="232" xr3:uid="{04DA2F17-743A-4AD6-8EDF-F471C98F665A}" name="Percentage344" dataDxfId="65" totalsRowDxfId="64"/>
    <tableColumn id="233" xr3:uid="{26F6934E-BD64-4FC0-9050-B4742269E3A8}" name="Percentage345" dataDxfId="63" totalsRowDxfId="62"/>
    <tableColumn id="234" xr3:uid="{A25F78FC-F613-4145-99D2-2F9C16C312B0}" name="Percentage346" dataDxfId="61" totalsRowDxfId="60" dataCellStyle="Normal 14"/>
    <tableColumn id="235" xr3:uid="{36DD1C77-826E-44B0-97E3-DD66080793B6}" name="Percentage347" dataDxfId="59" totalsRowDxfId="58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E68603-2B58-41D0-88FA-A91CDB97CB20}" name="Table132" displayName="Table132" ref="C8:AA20" totalsRowShown="0" headerRowDxfId="57" dataDxfId="55" headerRowBorderDxfId="56" tableBorderDxfId="54" headerRowCellStyle="Normal 14" dataCellStyle="Normal 14">
  <autoFilter ref="C8:AA20" xr:uid="{00000000-0009-0000-0100-000001000000}"/>
  <tableColumns count="25">
    <tableColumn id="1" xr3:uid="{9696D372-FF63-4BE7-87DA-366AA5F7209D}" name="Mass[1]" dataDxfId="53" dataCellStyle="Normal 14"/>
    <tableColumn id="2" xr3:uid="{E69E07EC-C839-455E-9947-7BF48511B667}" name="Composition[2]" dataDxfId="52" dataCellStyle="Normal 14"/>
    <tableColumn id="3" xr3:uid="{7C97DC65-7115-48D8-97B6-8FB2EB9ECEB4}" name="Putative structures [3]" dataDxfId="51"/>
    <tableColumn id="21" xr3:uid="{FC4CD196-D615-4994-BB86-007A4047A525}" name="Gal [4]" dataDxfId="50"/>
    <tableColumn id="24" xr3:uid="{7412BC59-A617-475D-8BB9-EFBC09D071C0}" name="Percentage6" dataDxfId="49" dataCellStyle="Normal 14"/>
    <tableColumn id="25" xr3:uid="{A1960AE1-B7D1-47C6-8C3E-E1C2F8A1AECF}" name="Percentage7" dataDxfId="48" dataCellStyle="Normal 14"/>
    <tableColumn id="26" xr3:uid="{75D37F94-4C01-4D59-A2FA-A87C0084999D}" name="Percentage8" dataDxfId="47" dataCellStyle="Normal 14">
      <calculatedColumnFormula>H9/$H$21*100</calculatedColumnFormula>
    </tableColumn>
    <tableColumn id="5" xr3:uid="{4820D938-1585-4194-ACA5-827EEB3D1AAC}" name="RT2" dataDxfId="46"/>
    <tableColumn id="6" xr3:uid="{518615D2-C977-443C-85D8-B898E40CC117}" name="Intensity [11]" dataDxfId="45" dataCellStyle="Normal 14"/>
    <tableColumn id="7" xr3:uid="{AAF999A1-A0EC-405B-B4ED-E91780DE87E1}" name="Percentage" dataDxfId="44" dataCellStyle="Normal 14">
      <calculatedColumnFormula>K9/$K$21*100</calculatedColumnFormula>
    </tableColumn>
    <tableColumn id="8" xr3:uid="{7D697EC7-9991-4EA3-9723-9855D1F11105}" name="RT3" dataDxfId="43" dataCellStyle="Normal 14"/>
    <tableColumn id="9" xr3:uid="{5514557F-CB7F-4ECB-9791-891649BD1EBD}" name="Intensity4" dataDxfId="42" dataCellStyle="Normal 14"/>
    <tableColumn id="10" xr3:uid="{EC497A86-74A4-4D49-8F1A-A71A6241D0D5}" name="Percentage2" dataDxfId="41" dataCellStyle="Normal 14">
      <calculatedColumnFormula>N9/$N$21*100</calculatedColumnFormula>
    </tableColumn>
    <tableColumn id="11" xr3:uid="{F7D6A789-65E5-458C-8EE9-BA620310DC23}" name="RT5" dataDxfId="40" dataCellStyle="Normal 14"/>
    <tableColumn id="12" xr3:uid="{2EEFACD8-16FE-4DAB-88F4-B0630C7E4520}" name="Intensity5" dataDxfId="39" dataCellStyle="Normal 14"/>
    <tableColumn id="13" xr3:uid="{89766A2D-E09B-44E2-A95D-DB09025A397F}" name="Percentages" dataDxfId="38" dataCellStyle="Normal 14">
      <calculatedColumnFormula>Q9/$Q$21*100</calculatedColumnFormula>
    </tableColumn>
    <tableColumn id="14" xr3:uid="{3D16B9FF-E4D1-4887-A26F-7574F451ECEA}" name="RT6" dataDxfId="37" dataCellStyle="Normal 14"/>
    <tableColumn id="15" xr3:uid="{54DE9809-230A-4A2B-BDD9-102B7AB939DE}" name="Intensity6" dataDxfId="36" dataCellStyle="Normal 14"/>
    <tableColumn id="16" xr3:uid="{7CA3F7D6-85F6-4BB1-B064-FA0C5076E581}" name="Percentage3" dataDxfId="35" dataCellStyle="Normal 14">
      <calculatedColumnFormula>T9/$T$21*100</calculatedColumnFormula>
    </tableColumn>
    <tableColumn id="17" xr3:uid="{422FC9E0-6831-445B-8514-4CF22C8A536D}" name="RT7" dataDxfId="34" dataCellStyle="Normal 14"/>
    <tableColumn id="18" xr3:uid="{55FD68D5-01C2-4FE8-BEDA-F9FB53420787}" name="Intensity7" dataDxfId="33" dataCellStyle="Normal 14"/>
    <tableColumn id="19" xr3:uid="{5BE3169F-08FC-4CC9-B774-B6BE56872BD8}" name="Percentage4" dataDxfId="32" dataCellStyle="Normal 14">
      <calculatedColumnFormula>W9/$W$21*100</calculatedColumnFormula>
    </tableColumn>
    <tableColumn id="20" xr3:uid="{6D2368AF-A52D-4909-A689-60C5A1BA7702}" name="RT4" dataDxfId="31" dataCellStyle="Normal 14"/>
    <tableColumn id="22" xr3:uid="{C7D28605-02B8-4DEB-A3F1-E8B5C2052A32}" name="Intensity" dataDxfId="30" dataCellStyle="Normal 14"/>
    <tableColumn id="23" xr3:uid="{E8854412-AE69-4DF1-9C73-EDF277C59556}" name="Percentage5" dataDxfId="29" dataCellStyle="Normal 14">
      <calculatedColumnFormula>Z9/$Z$21*100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EC2830-5998-4873-B8DF-5C593FA1591F}" name="Table1324" displayName="Table1324" ref="C26:AA35" totalsRowShown="0" headerRowDxfId="28" dataDxfId="26" headerRowBorderDxfId="27" tableBorderDxfId="25" headerRowCellStyle="Normal 14" dataCellStyle="Normal 14">
  <autoFilter ref="C26:AA35" xr:uid="{D9104948-1053-49A6-ADD4-1A87644FE93A}"/>
  <tableColumns count="25">
    <tableColumn id="1" xr3:uid="{05774F4E-A253-4FD9-88FE-71D358C80ED0}" name="Mass[1]" dataDxfId="24" dataCellStyle="Normal 14"/>
    <tableColumn id="2" xr3:uid="{791D5295-B638-4AAB-BF5C-1102D97B2C14}" name="Composition[2]" dataDxfId="23" dataCellStyle="Normal 14"/>
    <tableColumn id="3" xr3:uid="{076CFF13-579A-4894-BE0D-DFCE02F2D248}" name="Putative structures [3]" dataDxfId="22"/>
    <tableColumn id="21" xr3:uid="{906F0603-1982-464E-9A70-B4C7085128B2}" name="Gal [4]" dataDxfId="21"/>
    <tableColumn id="24" xr3:uid="{D1314C46-9950-4485-A15A-1309F32BA403}" name="Percentage6" dataDxfId="20" dataCellStyle="Normal 14"/>
    <tableColumn id="25" xr3:uid="{6C62648B-603F-4BE5-8415-A376E80D28CD}" name="Percentage7" dataDxfId="19" dataCellStyle="Normal 14"/>
    <tableColumn id="26" xr3:uid="{D935A571-BE7A-4485-B6E3-B241EF2B5B93}" name="Percentage8" dataDxfId="18" dataCellStyle="Normal 14">
      <calculatedColumnFormula>H27/$H$36*100</calculatedColumnFormula>
    </tableColumn>
    <tableColumn id="5" xr3:uid="{D0EB147E-A5B1-4DAD-8372-BA63EF4E6B5B}" name="RT2" dataDxfId="17"/>
    <tableColumn id="6" xr3:uid="{D7E03336-E651-4D15-801D-2B22076F8842}" name="Intensity [11]" dataDxfId="16" dataCellStyle="Normal 14"/>
    <tableColumn id="7" xr3:uid="{7EB26C75-617C-4A71-9694-6BDA2E0246EE}" name="Percentage" dataDxfId="15" dataCellStyle="Normal 14">
      <calculatedColumnFormula>K27/$K$36*100</calculatedColumnFormula>
    </tableColumn>
    <tableColumn id="8" xr3:uid="{1E6FD565-8C40-4535-B2AF-F94D6D320B1D}" name="RT3" dataDxfId="14" dataCellStyle="Normal 14"/>
    <tableColumn id="9" xr3:uid="{3D93BAAF-7EF2-4241-9FBC-F8BFE8DCC994}" name="Intensity4" dataDxfId="13" dataCellStyle="Normal 14"/>
    <tableColumn id="10" xr3:uid="{BD11ECB4-BC2D-4DE1-A60F-83C5C7A45177}" name="Percentage2" dataDxfId="12" dataCellStyle="Normal 14">
      <calculatedColumnFormula>N27/$N$36*100</calculatedColumnFormula>
    </tableColumn>
    <tableColumn id="11" xr3:uid="{2DD1C1BC-C444-4679-8F41-DFCA7BE5DE63}" name="RT5" dataDxfId="11" dataCellStyle="Normal 14"/>
    <tableColumn id="12" xr3:uid="{FB077F74-566D-459E-B2BD-946A40E613D2}" name="Intensity5" dataDxfId="10" dataCellStyle="Normal 14"/>
    <tableColumn id="13" xr3:uid="{8A01932E-CA45-456F-94D4-797C536B8EFF}" name="Percentages" dataDxfId="9" dataCellStyle="Normal 14">
      <calculatedColumnFormula>Q27/$Q$36*100</calculatedColumnFormula>
    </tableColumn>
    <tableColumn id="14" xr3:uid="{1B1F22E3-8D7D-4C71-9684-22259D39D20E}" name="RT6" dataDxfId="8" dataCellStyle="Normal 14"/>
    <tableColumn id="15" xr3:uid="{E2E078B0-DCCC-431E-B7FF-A6A9D41B9F03}" name="Intensity6" dataDxfId="7" dataCellStyle="Normal 14"/>
    <tableColumn id="16" xr3:uid="{59F50E23-8911-4155-9EF7-53B46CE36128}" name="Percentage3" dataDxfId="6" dataCellStyle="Normal 14">
      <calculatedColumnFormula>T27/$T$36*100</calculatedColumnFormula>
    </tableColumn>
    <tableColumn id="17" xr3:uid="{6BDE8849-D010-496F-9B55-E75526DDC9A3}" name="RT7" dataDxfId="5" dataCellStyle="Normal 14"/>
    <tableColumn id="18" xr3:uid="{BCF9DEF0-46FE-41FF-ABA0-4C75153004A9}" name="Intensity7" dataDxfId="4" dataCellStyle="Normal 14"/>
    <tableColumn id="19" xr3:uid="{2570A8C8-1EC9-4A64-B9BD-D3F8F73FA858}" name="Percentage4" dataDxfId="3" dataCellStyle="Normal 14">
      <calculatedColumnFormula>W27/$W$36*100</calculatedColumnFormula>
    </tableColumn>
    <tableColumn id="20" xr3:uid="{FBCB6324-D381-47BC-9CB1-FD43D23FB35D}" name="RT4" dataDxfId="2" dataCellStyle="Normal 14"/>
    <tableColumn id="22" xr3:uid="{762A59C6-B907-435D-B5B4-CF6901DE05EB}" name="Intensity" dataDxfId="1" dataCellStyle="Normal 14"/>
    <tableColumn id="23" xr3:uid="{3999F39C-DEA0-4B18-8052-ED257B9E01B6}" name="Percentage5" dataDxfId="0" dataCellStyle="Normal 14">
      <calculatedColumnFormula>Z27/$Z$36*100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CC78-7A7F-497A-94C3-90534995BBC0}">
  <dimension ref="A1:AC41"/>
  <sheetViews>
    <sheetView tabSelected="1" zoomScale="70" zoomScaleNormal="70" workbookViewId="0">
      <pane xSplit="4" ySplit="6" topLeftCell="E7" activePane="bottomRight" state="frozen"/>
      <selection pane="topRight" activeCell="F1" sqref="F1"/>
      <selection pane="bottomLeft" activeCell="A5" sqref="A5"/>
      <selection pane="bottomRight" sqref="A1:L1"/>
    </sheetView>
  </sheetViews>
  <sheetFormatPr defaultColWidth="8.87890625" defaultRowHeight="14.35"/>
  <cols>
    <col min="1" max="1" width="8.87890625" style="3"/>
    <col min="2" max="2" width="9.87890625" style="4" customWidth="1"/>
    <col min="3" max="3" width="19.76171875" style="4" customWidth="1"/>
    <col min="4" max="4" width="54.52734375" style="4" customWidth="1"/>
    <col min="5" max="5" width="8.87890625" style="4" customWidth="1"/>
    <col min="6" max="6" width="8.87890625" style="3"/>
    <col min="7" max="7" width="9.87890625" style="3" customWidth="1"/>
    <col min="8" max="8" width="8.87890625" style="3"/>
    <col min="9" max="9" width="8.87890625" style="8"/>
    <col min="10" max="10" width="10.64453125" style="3" customWidth="1"/>
    <col min="11" max="11" width="8.87890625" style="3"/>
    <col min="12" max="12" width="10.41015625" customWidth="1"/>
    <col min="13" max="13" width="11.3515625" customWidth="1"/>
    <col min="14" max="14" width="10.46875" customWidth="1"/>
    <col min="15" max="15" width="10.1171875" style="3" customWidth="1"/>
    <col min="16" max="16" width="9.9375" style="3" customWidth="1"/>
    <col min="17" max="17" width="10.64453125" style="3" customWidth="1"/>
    <col min="18" max="18" width="9.9375" style="3" customWidth="1"/>
    <col min="19" max="19" width="9.87890625" style="3" customWidth="1"/>
    <col min="20" max="20" width="8.87890625" style="3"/>
    <col min="21" max="21" width="9.87890625" style="3" customWidth="1"/>
    <col min="22" max="22" width="10.41015625" style="3" customWidth="1"/>
    <col min="23" max="23" width="8.87890625" style="3"/>
    <col min="24" max="24" width="10.1171875" style="3" customWidth="1"/>
    <col min="25" max="25" width="10.8203125" style="3" customWidth="1"/>
    <col min="26" max="26" width="10.234375" style="3" customWidth="1"/>
    <col min="30" max="16384" width="8.87890625" style="3"/>
  </cols>
  <sheetData>
    <row r="1" spans="1:29" ht="34" customHeight="1">
      <c r="A1" s="358" t="s">
        <v>530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AA1" s="3"/>
      <c r="AB1" s="3"/>
      <c r="AC1" s="3"/>
    </row>
    <row r="2" spans="1:29">
      <c r="AA2" s="3"/>
      <c r="AB2" s="3"/>
      <c r="AC2" s="3"/>
    </row>
    <row r="3" spans="1:29" ht="20.7">
      <c r="B3" s="37" t="s">
        <v>531</v>
      </c>
      <c r="AA3" s="3"/>
      <c r="AB3" s="3"/>
      <c r="AC3" s="3"/>
    </row>
    <row r="4" spans="1:29" ht="14.7" thickBot="1">
      <c r="I4" s="3"/>
      <c r="L4" s="6"/>
      <c r="M4" s="3"/>
      <c r="N4" s="3"/>
      <c r="O4" s="6"/>
      <c r="R4" s="6"/>
      <c r="AA4" s="3"/>
      <c r="AB4" s="3"/>
      <c r="AC4" s="3"/>
    </row>
    <row r="5" spans="1:29" ht="20.7">
      <c r="F5" s="336" t="s">
        <v>464</v>
      </c>
      <c r="G5" s="337"/>
      <c r="H5" s="338"/>
      <c r="I5" s="339" t="s">
        <v>0</v>
      </c>
      <c r="J5" s="340"/>
      <c r="K5" s="341"/>
      <c r="L5" s="342" t="s">
        <v>51</v>
      </c>
      <c r="M5" s="342"/>
      <c r="N5" s="342"/>
      <c r="O5" s="343" t="s">
        <v>52</v>
      </c>
      <c r="P5" s="344"/>
      <c r="Q5" s="345"/>
      <c r="R5" s="346" t="s">
        <v>2</v>
      </c>
      <c r="S5" s="346"/>
      <c r="T5" s="346"/>
      <c r="U5" s="347" t="s">
        <v>1</v>
      </c>
      <c r="V5" s="348"/>
      <c r="W5" s="349"/>
      <c r="X5" s="332" t="s">
        <v>53</v>
      </c>
      <c r="Y5" s="332"/>
      <c r="Z5" s="333"/>
      <c r="AA5" s="3"/>
      <c r="AB5" s="3"/>
      <c r="AC5" s="3"/>
    </row>
    <row r="6" spans="1:29" ht="16.7" thickBot="1">
      <c r="B6" s="82" t="s">
        <v>11</v>
      </c>
      <c r="C6" s="9" t="s">
        <v>10</v>
      </c>
      <c r="D6" s="7" t="s">
        <v>9</v>
      </c>
      <c r="E6" s="40" t="s">
        <v>467</v>
      </c>
      <c r="F6" s="63" t="s">
        <v>8</v>
      </c>
      <c r="G6" s="5" t="s">
        <v>7</v>
      </c>
      <c r="H6" s="64" t="s">
        <v>279</v>
      </c>
      <c r="I6" s="80" t="s">
        <v>6</v>
      </c>
      <c r="J6" s="6" t="s">
        <v>468</v>
      </c>
      <c r="K6" s="81" t="s">
        <v>77</v>
      </c>
      <c r="L6" s="3" t="s">
        <v>87</v>
      </c>
      <c r="M6" s="5" t="s">
        <v>88</v>
      </c>
      <c r="N6" s="10" t="s">
        <v>83</v>
      </c>
      <c r="O6" s="63" t="s">
        <v>75</v>
      </c>
      <c r="P6" s="5" t="s">
        <v>76</v>
      </c>
      <c r="Q6" s="64" t="s">
        <v>86</v>
      </c>
      <c r="R6" s="3" t="s">
        <v>78</v>
      </c>
      <c r="S6" s="5" t="s">
        <v>79</v>
      </c>
      <c r="T6" s="10" t="s">
        <v>60</v>
      </c>
      <c r="U6" s="63" t="s">
        <v>81</v>
      </c>
      <c r="V6" s="5" t="s">
        <v>82</v>
      </c>
      <c r="W6" s="64" t="s">
        <v>63</v>
      </c>
      <c r="X6" s="3" t="s">
        <v>84</v>
      </c>
      <c r="Y6" s="5" t="s">
        <v>85</v>
      </c>
      <c r="Z6" s="10" t="s">
        <v>89</v>
      </c>
      <c r="AA6" s="3"/>
      <c r="AB6" s="3"/>
      <c r="AC6" s="3"/>
    </row>
    <row r="7" spans="1:29" ht="14.7" thickTop="1">
      <c r="B7" s="92">
        <v>530</v>
      </c>
      <c r="C7" s="94" t="s">
        <v>5</v>
      </c>
      <c r="D7" s="87" t="s">
        <v>12</v>
      </c>
      <c r="E7" s="12" t="s">
        <v>469</v>
      </c>
      <c r="F7" s="65">
        <v>20.88</v>
      </c>
      <c r="G7" s="11">
        <v>2944.35</v>
      </c>
      <c r="H7" s="67">
        <f t="shared" ref="H7:H23" si="0">G7/$G$24*100</f>
        <v>6.0579412997699193E-2</v>
      </c>
      <c r="I7" s="65" t="s">
        <v>3</v>
      </c>
      <c r="J7" s="11">
        <v>0</v>
      </c>
      <c r="K7" s="67">
        <f>J7/$J$24*100</f>
        <v>0</v>
      </c>
      <c r="L7" s="73" t="s">
        <v>3</v>
      </c>
      <c r="M7" s="11">
        <v>0</v>
      </c>
      <c r="N7" s="66">
        <f>M7/$M$24*100</f>
        <v>0</v>
      </c>
      <c r="O7" s="65" t="s">
        <v>3</v>
      </c>
      <c r="P7" s="11">
        <v>0</v>
      </c>
      <c r="Q7" s="67">
        <f>P7/$P$24*100</f>
        <v>0</v>
      </c>
      <c r="R7" s="73" t="s">
        <v>3</v>
      </c>
      <c r="S7" s="11">
        <v>0</v>
      </c>
      <c r="T7" s="66">
        <f>S7/$S$24*100</f>
        <v>0</v>
      </c>
      <c r="U7" s="65">
        <v>22.04</v>
      </c>
      <c r="V7" s="11">
        <v>4255.6099999999997</v>
      </c>
      <c r="W7" s="67">
        <f t="shared" ref="W7:W23" si="1">V7/$V$24*100</f>
        <v>9.4124220433336889E-2</v>
      </c>
      <c r="X7" s="73" t="s">
        <v>3</v>
      </c>
      <c r="Y7" s="11">
        <v>0</v>
      </c>
      <c r="Z7" s="66">
        <f t="shared" ref="Z7:Z23" si="2">Y7/$Y$24*100</f>
        <v>0</v>
      </c>
      <c r="AA7" s="3"/>
      <c r="AB7" s="3"/>
      <c r="AC7" s="3"/>
    </row>
    <row r="8" spans="1:29">
      <c r="B8" s="92" t="s">
        <v>13</v>
      </c>
      <c r="C8" s="89" t="s">
        <v>14</v>
      </c>
      <c r="D8" s="88" t="s">
        <v>15</v>
      </c>
      <c r="E8" s="12">
        <v>0</v>
      </c>
      <c r="F8" s="68" t="s">
        <v>3</v>
      </c>
      <c r="G8" s="11">
        <v>0</v>
      </c>
      <c r="H8" s="67">
        <f t="shared" si="0"/>
        <v>0</v>
      </c>
      <c r="I8" s="68">
        <v>12.98</v>
      </c>
      <c r="J8" s="11">
        <v>39473.760000000002</v>
      </c>
      <c r="K8" s="67">
        <f t="shared" ref="K8:K23" si="3">J8/$J$24*100</f>
        <v>0.6335682464719693</v>
      </c>
      <c r="L8" s="74">
        <v>14.86</v>
      </c>
      <c r="M8" s="11">
        <v>288210.58</v>
      </c>
      <c r="N8" s="66">
        <f t="shared" ref="N8:N23" si="4">M8/$M$24*100</f>
        <v>5.4455062048566258</v>
      </c>
      <c r="O8" s="68">
        <v>16.75</v>
      </c>
      <c r="P8" s="11">
        <v>82300.070000000007</v>
      </c>
      <c r="Q8" s="67">
        <f t="shared" ref="Q8:Q23" si="5">P8/$P$24*100</f>
        <v>2.320109608763266</v>
      </c>
      <c r="R8" s="74">
        <v>17.100000000000001</v>
      </c>
      <c r="S8" s="11">
        <v>49320.66</v>
      </c>
      <c r="T8" s="66">
        <f t="shared" ref="T8:T23" si="6">S8/$S$24*100</f>
        <v>1.2953870924267257</v>
      </c>
      <c r="U8" s="68">
        <v>16.64</v>
      </c>
      <c r="V8" s="11">
        <v>48831.25</v>
      </c>
      <c r="W8" s="67">
        <f>V8/$V$24*100</f>
        <v>1.0800339643518513</v>
      </c>
      <c r="X8" s="74" t="s">
        <v>3</v>
      </c>
      <c r="Y8" s="11">
        <v>0</v>
      </c>
      <c r="Z8" s="66">
        <f t="shared" si="2"/>
        <v>0</v>
      </c>
      <c r="AA8" s="3"/>
      <c r="AB8" s="3"/>
      <c r="AC8" s="3"/>
    </row>
    <row r="9" spans="1:29">
      <c r="B9" s="92" t="s">
        <v>16</v>
      </c>
      <c r="C9" s="89" t="s">
        <v>14</v>
      </c>
      <c r="D9" s="88" t="s">
        <v>17</v>
      </c>
      <c r="E9" s="12">
        <v>0</v>
      </c>
      <c r="F9" s="65" t="s">
        <v>3</v>
      </c>
      <c r="G9" s="11">
        <v>0</v>
      </c>
      <c r="H9" s="67">
        <f t="shared" si="0"/>
        <v>0</v>
      </c>
      <c r="I9" s="65">
        <v>15.11</v>
      </c>
      <c r="J9" s="11">
        <v>41558.89</v>
      </c>
      <c r="K9" s="67">
        <f t="shared" si="3"/>
        <v>0.66703534354521732</v>
      </c>
      <c r="L9" s="73" t="s">
        <v>3</v>
      </c>
      <c r="M9" s="11">
        <v>0</v>
      </c>
      <c r="N9" s="66">
        <f t="shared" si="4"/>
        <v>0</v>
      </c>
      <c r="O9" s="65">
        <v>20.23</v>
      </c>
      <c r="P9" s="11">
        <v>246676.11</v>
      </c>
      <c r="Q9" s="67">
        <f t="shared" si="5"/>
        <v>6.9540112549520829</v>
      </c>
      <c r="R9" s="73">
        <v>20.6</v>
      </c>
      <c r="S9" s="11">
        <v>183202.44</v>
      </c>
      <c r="T9" s="66">
        <f>S9/$S$24*100</f>
        <v>4.8117376384882444</v>
      </c>
      <c r="U9" s="65">
        <v>20.05</v>
      </c>
      <c r="V9" s="11">
        <v>209756.92</v>
      </c>
      <c r="W9" s="67">
        <f t="shared" si="1"/>
        <v>4.6393364465958609</v>
      </c>
      <c r="X9" s="73">
        <v>19.16</v>
      </c>
      <c r="Y9" s="11">
        <v>1638.6</v>
      </c>
      <c r="Z9" s="66">
        <f t="shared" si="2"/>
        <v>2.3847910132144389E-2</v>
      </c>
      <c r="AA9" s="3"/>
      <c r="AB9" s="3"/>
      <c r="AC9" s="3"/>
    </row>
    <row r="10" spans="1:29">
      <c r="B10" s="4">
        <v>587</v>
      </c>
      <c r="C10" s="89" t="s">
        <v>18</v>
      </c>
      <c r="D10" s="88" t="s">
        <v>19</v>
      </c>
      <c r="E10" s="12">
        <v>0</v>
      </c>
      <c r="F10" s="68" t="s">
        <v>3</v>
      </c>
      <c r="G10" s="11">
        <v>0</v>
      </c>
      <c r="H10" s="67">
        <f t="shared" si="0"/>
        <v>0</v>
      </c>
      <c r="I10" s="68">
        <v>13.76</v>
      </c>
      <c r="J10" s="11">
        <v>5482.79</v>
      </c>
      <c r="K10" s="67">
        <f t="shared" si="3"/>
        <v>8.8000779405712756E-2</v>
      </c>
      <c r="L10" s="74" t="s">
        <v>3</v>
      </c>
      <c r="M10" s="11">
        <v>0</v>
      </c>
      <c r="N10" s="66">
        <f t="shared" si="4"/>
        <v>0</v>
      </c>
      <c r="O10" s="68">
        <v>18.05</v>
      </c>
      <c r="P10" s="11">
        <v>11991.34</v>
      </c>
      <c r="Q10" s="67">
        <f t="shared" si="5"/>
        <v>0.33804616637564588</v>
      </c>
      <c r="R10" s="74">
        <v>18.45</v>
      </c>
      <c r="S10" s="11">
        <v>13769.95</v>
      </c>
      <c r="T10" s="66">
        <f t="shared" si="6"/>
        <v>0.36166214104518046</v>
      </c>
      <c r="U10" s="68">
        <v>17.95</v>
      </c>
      <c r="V10" s="11">
        <v>21724.37</v>
      </c>
      <c r="W10" s="67">
        <f t="shared" si="1"/>
        <v>0.48049266513035049</v>
      </c>
      <c r="X10" s="74" t="s">
        <v>3</v>
      </c>
      <c r="Y10" s="11">
        <v>0</v>
      </c>
      <c r="Z10" s="66">
        <f t="shared" si="2"/>
        <v>0</v>
      </c>
      <c r="AA10" s="3"/>
      <c r="AB10" s="3"/>
      <c r="AC10" s="3"/>
    </row>
    <row r="11" spans="1:29">
      <c r="A11" s="6"/>
      <c r="B11" s="92" t="s">
        <v>20</v>
      </c>
      <c r="C11" s="89" t="s">
        <v>21</v>
      </c>
      <c r="D11" s="88" t="s">
        <v>22</v>
      </c>
      <c r="E11" s="12" t="s">
        <v>470</v>
      </c>
      <c r="F11" s="65">
        <v>21.02</v>
      </c>
      <c r="G11" s="11">
        <v>52637.36</v>
      </c>
      <c r="H11" s="67">
        <f t="shared" si="0"/>
        <v>1.0830031655708636</v>
      </c>
      <c r="I11" s="65" t="s">
        <v>3</v>
      </c>
      <c r="J11" s="11">
        <v>0</v>
      </c>
      <c r="K11" s="67">
        <f t="shared" si="3"/>
        <v>0</v>
      </c>
      <c r="L11" s="73">
        <v>21.05</v>
      </c>
      <c r="M11" s="11">
        <v>3918.59</v>
      </c>
      <c r="N11" s="66">
        <f t="shared" si="4"/>
        <v>7.4038594139358538E-2</v>
      </c>
      <c r="O11" s="65" t="s">
        <v>3</v>
      </c>
      <c r="P11" s="11">
        <v>0</v>
      </c>
      <c r="Q11" s="67">
        <f t="shared" si="5"/>
        <v>0</v>
      </c>
      <c r="R11" s="73">
        <v>24.18</v>
      </c>
      <c r="S11" s="11">
        <v>14688</v>
      </c>
      <c r="T11" s="66">
        <f t="shared" si="6"/>
        <v>0.38577435122651937</v>
      </c>
      <c r="U11" s="65" t="s">
        <v>3</v>
      </c>
      <c r="V11" s="11">
        <v>0</v>
      </c>
      <c r="W11" s="67">
        <f t="shared" si="1"/>
        <v>0</v>
      </c>
      <c r="X11" s="73">
        <v>22.24</v>
      </c>
      <c r="Y11" s="11">
        <v>67155.92</v>
      </c>
      <c r="Z11" s="66">
        <f>Y11/$Y$24*100</f>
        <v>0.97737601916360184</v>
      </c>
      <c r="AA11" s="3"/>
      <c r="AB11" s="3"/>
      <c r="AC11" s="3"/>
    </row>
    <row r="12" spans="1:29">
      <c r="A12" s="6"/>
      <c r="B12" s="92" t="s">
        <v>23</v>
      </c>
      <c r="C12" s="89" t="s">
        <v>21</v>
      </c>
      <c r="D12" s="88" t="s">
        <v>24</v>
      </c>
      <c r="E12" s="12" t="s">
        <v>469</v>
      </c>
      <c r="F12" s="68">
        <v>23.72</v>
      </c>
      <c r="G12" s="11">
        <v>61837.03</v>
      </c>
      <c r="H12" s="67">
        <f t="shared" si="0"/>
        <v>1.2722845378168748</v>
      </c>
      <c r="I12" s="68">
        <v>19.260000000000002</v>
      </c>
      <c r="J12" s="11">
        <v>391976.09</v>
      </c>
      <c r="K12" s="67">
        <f t="shared" si="3"/>
        <v>6.2913592219296763</v>
      </c>
      <c r="L12" s="74">
        <v>23</v>
      </c>
      <c r="M12" s="11">
        <v>459246.33</v>
      </c>
      <c r="N12" s="66">
        <f t="shared" si="4"/>
        <v>8.677088605049244</v>
      </c>
      <c r="O12" s="68" t="s">
        <v>3</v>
      </c>
      <c r="P12" s="11">
        <v>0</v>
      </c>
      <c r="Q12" s="67">
        <f t="shared" si="5"/>
        <v>0</v>
      </c>
      <c r="R12" s="74" t="s">
        <v>3</v>
      </c>
      <c r="S12" s="11">
        <v>0</v>
      </c>
      <c r="T12" s="66">
        <f t="shared" si="6"/>
        <v>0</v>
      </c>
      <c r="U12" s="68" t="s">
        <v>3</v>
      </c>
      <c r="V12" s="11">
        <v>0</v>
      </c>
      <c r="W12" s="67">
        <f t="shared" si="1"/>
        <v>0</v>
      </c>
      <c r="X12" s="74">
        <v>25.07</v>
      </c>
      <c r="Y12" s="11">
        <v>82326.820000000007</v>
      </c>
      <c r="Z12" s="66">
        <f t="shared" si="2"/>
        <v>1.1981707584677332</v>
      </c>
      <c r="AA12" s="3"/>
      <c r="AB12" s="3"/>
      <c r="AC12" s="3"/>
    </row>
    <row r="13" spans="1:29">
      <c r="B13" s="92">
        <v>749</v>
      </c>
      <c r="C13" s="89" t="s">
        <v>25</v>
      </c>
      <c r="D13" s="88" t="s">
        <v>26</v>
      </c>
      <c r="E13" s="12">
        <v>0</v>
      </c>
      <c r="F13" s="65" t="s">
        <v>3</v>
      </c>
      <c r="G13" s="11">
        <v>0</v>
      </c>
      <c r="H13" s="67">
        <f t="shared" si="0"/>
        <v>0</v>
      </c>
      <c r="I13" s="65">
        <v>17.23</v>
      </c>
      <c r="J13" s="11">
        <v>573995.46</v>
      </c>
      <c r="K13" s="67">
        <f t="shared" si="3"/>
        <v>9.2128365039223858</v>
      </c>
      <c r="L13" s="73" t="s">
        <v>27</v>
      </c>
      <c r="M13" s="11">
        <v>88846.1</v>
      </c>
      <c r="N13" s="66">
        <f t="shared" si="4"/>
        <v>1.6786753242275572</v>
      </c>
      <c r="O13" s="76">
        <v>23.7</v>
      </c>
      <c r="P13" s="58">
        <v>3077926.87</v>
      </c>
      <c r="Q13" s="77">
        <f t="shared" si="5"/>
        <v>86.769400149448757</v>
      </c>
      <c r="R13" s="78">
        <v>24.28</v>
      </c>
      <c r="S13" s="58">
        <v>2910006.97</v>
      </c>
      <c r="T13" s="69">
        <f t="shared" si="6"/>
        <v>76.430150525354009</v>
      </c>
      <c r="U13" s="76">
        <v>23.48</v>
      </c>
      <c r="V13" s="58">
        <v>3981672.61</v>
      </c>
      <c r="W13" s="77">
        <f>V13/$V$24*100</f>
        <v>88.065360885283155</v>
      </c>
      <c r="X13" s="73" t="s">
        <v>3</v>
      </c>
      <c r="Y13" s="11">
        <v>0</v>
      </c>
      <c r="Z13" s="66">
        <f t="shared" si="2"/>
        <v>0</v>
      </c>
      <c r="AA13" s="3"/>
      <c r="AB13" s="3"/>
      <c r="AC13" s="3"/>
    </row>
    <row r="14" spans="1:29">
      <c r="B14" s="92" t="s">
        <v>28</v>
      </c>
      <c r="C14" s="89" t="s">
        <v>29</v>
      </c>
      <c r="D14" s="88" t="s">
        <v>30</v>
      </c>
      <c r="E14" s="12" t="s">
        <v>470</v>
      </c>
      <c r="F14" s="68" t="s">
        <v>3</v>
      </c>
      <c r="G14" s="11">
        <v>0</v>
      </c>
      <c r="H14" s="67">
        <f t="shared" si="0"/>
        <v>0</v>
      </c>
      <c r="I14" s="68" t="s">
        <v>3</v>
      </c>
      <c r="J14" s="11">
        <v>0</v>
      </c>
      <c r="K14" s="67">
        <f t="shared" si="3"/>
        <v>0</v>
      </c>
      <c r="L14" s="74" t="s">
        <v>3</v>
      </c>
      <c r="M14" s="11">
        <v>0</v>
      </c>
      <c r="N14" s="66">
        <f t="shared" si="4"/>
        <v>0</v>
      </c>
      <c r="O14" s="68" t="s">
        <v>3</v>
      </c>
      <c r="P14" s="11">
        <v>0</v>
      </c>
      <c r="Q14" s="67">
        <f t="shared" si="5"/>
        <v>0</v>
      </c>
      <c r="R14" s="74" t="s">
        <v>31</v>
      </c>
      <c r="S14" s="11">
        <v>23485.1</v>
      </c>
      <c r="T14" s="66">
        <f t="shared" si="6"/>
        <v>0.61682660784245169</v>
      </c>
      <c r="U14" s="68">
        <v>26.93</v>
      </c>
      <c r="V14" s="11">
        <v>81678.100000000006</v>
      </c>
      <c r="W14" s="67">
        <f t="shared" si="1"/>
        <v>1.806530083578179</v>
      </c>
      <c r="X14" s="74" t="s">
        <v>3</v>
      </c>
      <c r="Y14" s="11">
        <v>0</v>
      </c>
      <c r="Z14" s="66">
        <f t="shared" si="2"/>
        <v>0</v>
      </c>
      <c r="AA14" s="3"/>
      <c r="AB14" s="3"/>
      <c r="AC14" s="3"/>
    </row>
    <row r="15" spans="1:29">
      <c r="B15" s="92" t="s">
        <v>32</v>
      </c>
      <c r="C15" s="89" t="s">
        <v>29</v>
      </c>
      <c r="D15" s="89" t="s">
        <v>33</v>
      </c>
      <c r="E15" s="12" t="s">
        <v>471</v>
      </c>
      <c r="F15" s="65">
        <v>23.96</v>
      </c>
      <c r="G15" s="11">
        <v>32714.28</v>
      </c>
      <c r="H15" s="67">
        <f t="shared" si="0"/>
        <v>0.67308977500717337</v>
      </c>
      <c r="I15" s="65" t="s">
        <v>3</v>
      </c>
      <c r="J15" s="11">
        <v>0</v>
      </c>
      <c r="K15" s="67">
        <f t="shared" si="3"/>
        <v>0</v>
      </c>
      <c r="L15" s="73" t="s">
        <v>3</v>
      </c>
      <c r="M15" s="11">
        <v>0</v>
      </c>
      <c r="N15" s="66">
        <f t="shared" si="4"/>
        <v>0</v>
      </c>
      <c r="O15" s="65" t="s">
        <v>3</v>
      </c>
      <c r="P15" s="11">
        <v>0</v>
      </c>
      <c r="Q15" s="67">
        <f t="shared" si="5"/>
        <v>0</v>
      </c>
      <c r="R15" s="73" t="s">
        <v>3</v>
      </c>
      <c r="S15" s="11">
        <v>0</v>
      </c>
      <c r="T15" s="66">
        <f t="shared" si="6"/>
        <v>0</v>
      </c>
      <c r="U15" s="68" t="s">
        <v>3</v>
      </c>
      <c r="V15" s="11">
        <v>0</v>
      </c>
      <c r="W15" s="67">
        <f t="shared" si="1"/>
        <v>0</v>
      </c>
      <c r="X15" s="74">
        <v>25.51</v>
      </c>
      <c r="Y15" s="11">
        <v>117453.99</v>
      </c>
      <c r="Z15" s="66">
        <f t="shared" si="2"/>
        <v>1.7094057110837213</v>
      </c>
      <c r="AA15" s="3"/>
      <c r="AB15" s="3"/>
      <c r="AC15" s="3"/>
    </row>
    <row r="16" spans="1:29">
      <c r="B16" s="92" t="s">
        <v>34</v>
      </c>
      <c r="C16" s="89" t="s">
        <v>29</v>
      </c>
      <c r="D16" s="88" t="s">
        <v>35</v>
      </c>
      <c r="E16" s="12" t="s">
        <v>469</v>
      </c>
      <c r="F16" s="65">
        <v>25.17</v>
      </c>
      <c r="G16" s="11">
        <v>28941.41</v>
      </c>
      <c r="H16" s="67">
        <f t="shared" si="0"/>
        <v>0.59546372853965779</v>
      </c>
      <c r="I16" s="76">
        <v>20.47</v>
      </c>
      <c r="J16" s="58">
        <v>5054596.6900000004</v>
      </c>
      <c r="K16" s="77">
        <f t="shared" si="3"/>
        <v>81.128120592168571</v>
      </c>
      <c r="L16" s="78">
        <v>24.58</v>
      </c>
      <c r="M16" s="58">
        <v>4336708.75</v>
      </c>
      <c r="N16" s="69">
        <f t="shared" si="4"/>
        <v>81.938610327146975</v>
      </c>
      <c r="O16" s="65" t="s">
        <v>3</v>
      </c>
      <c r="P16" s="11">
        <v>0</v>
      </c>
      <c r="Q16" s="67">
        <f t="shared" si="5"/>
        <v>0</v>
      </c>
      <c r="R16" s="79">
        <v>27.86</v>
      </c>
      <c r="S16" s="58">
        <v>483385.27</v>
      </c>
      <c r="T16" s="69">
        <f t="shared" si="6"/>
        <v>12.695917682918431</v>
      </c>
      <c r="U16" s="65" t="s">
        <v>3</v>
      </c>
      <c r="V16" s="11">
        <v>0</v>
      </c>
      <c r="W16" s="67">
        <f t="shared" si="1"/>
        <v>0</v>
      </c>
      <c r="X16" s="73">
        <v>26.79</v>
      </c>
      <c r="Y16" s="11">
        <v>54645.85</v>
      </c>
      <c r="Z16" s="66">
        <f t="shared" si="2"/>
        <v>0.7953065543113893</v>
      </c>
      <c r="AA16" s="3"/>
      <c r="AB16" s="3"/>
      <c r="AC16" s="3"/>
    </row>
    <row r="17" spans="2:29">
      <c r="B17" s="92" t="s">
        <v>36</v>
      </c>
      <c r="C17" s="89" t="s">
        <v>29</v>
      </c>
      <c r="D17" s="89" t="s">
        <v>37</v>
      </c>
      <c r="E17" s="83">
        <v>0</v>
      </c>
      <c r="F17" s="68" t="s">
        <v>3</v>
      </c>
      <c r="G17" s="11">
        <v>0</v>
      </c>
      <c r="H17" s="67">
        <f t="shared" si="0"/>
        <v>0</v>
      </c>
      <c r="I17" s="68" t="s">
        <v>3</v>
      </c>
      <c r="J17" s="11">
        <v>0</v>
      </c>
      <c r="K17" s="67">
        <f t="shared" si="3"/>
        <v>0</v>
      </c>
      <c r="L17" s="74" t="s">
        <v>3</v>
      </c>
      <c r="M17" s="11">
        <v>0</v>
      </c>
      <c r="N17" s="66">
        <f t="shared" si="4"/>
        <v>0</v>
      </c>
      <c r="O17" s="68">
        <v>29.74</v>
      </c>
      <c r="P17" s="11">
        <v>47061.99</v>
      </c>
      <c r="Q17" s="67">
        <f t="shared" si="5"/>
        <v>1.3267178898696042</v>
      </c>
      <c r="R17" s="74" t="s">
        <v>38</v>
      </c>
      <c r="S17" s="11">
        <v>48139.4</v>
      </c>
      <c r="T17" s="66">
        <f t="shared" si="6"/>
        <v>1.26436177855623</v>
      </c>
      <c r="U17" s="68">
        <v>29.36</v>
      </c>
      <c r="V17" s="11">
        <v>84147.38</v>
      </c>
      <c r="W17" s="67">
        <f t="shared" si="1"/>
        <v>1.8611448285927905</v>
      </c>
      <c r="X17" s="74" t="s">
        <v>3</v>
      </c>
      <c r="Y17" s="11">
        <v>0</v>
      </c>
      <c r="Z17" s="66">
        <f t="shared" si="2"/>
        <v>0</v>
      </c>
      <c r="AA17" s="3"/>
      <c r="AB17" s="3"/>
      <c r="AC17" s="3"/>
    </row>
    <row r="18" spans="2:29">
      <c r="B18" s="92" t="s">
        <v>39</v>
      </c>
      <c r="C18" s="89" t="s">
        <v>29</v>
      </c>
      <c r="D18" s="88" t="s">
        <v>40</v>
      </c>
      <c r="E18" s="12" t="s">
        <v>469</v>
      </c>
      <c r="F18" s="65">
        <v>26.61</v>
      </c>
      <c r="G18" s="11">
        <v>16176.21</v>
      </c>
      <c r="H18" s="67">
        <f t="shared" si="0"/>
        <v>0.33282228890162913</v>
      </c>
      <c r="I18" s="65" t="s">
        <v>3</v>
      </c>
      <c r="J18" s="11">
        <v>0</v>
      </c>
      <c r="K18" s="67">
        <f t="shared" si="3"/>
        <v>0</v>
      </c>
      <c r="L18" s="73" t="s">
        <v>3</v>
      </c>
      <c r="M18" s="11">
        <v>0</v>
      </c>
      <c r="N18" s="66">
        <f t="shared" si="4"/>
        <v>0</v>
      </c>
      <c r="O18" s="65" t="s">
        <v>3</v>
      </c>
      <c r="P18" s="11">
        <v>0</v>
      </c>
      <c r="Q18" s="67">
        <f t="shared" si="5"/>
        <v>0</v>
      </c>
      <c r="R18" s="73" t="s">
        <v>3</v>
      </c>
      <c r="S18" s="11">
        <v>0</v>
      </c>
      <c r="T18" s="66">
        <f t="shared" si="6"/>
        <v>0</v>
      </c>
      <c r="U18" s="65" t="s">
        <v>3</v>
      </c>
      <c r="V18" s="11">
        <v>0</v>
      </c>
      <c r="W18" s="67">
        <f t="shared" si="1"/>
        <v>0</v>
      </c>
      <c r="X18" s="73">
        <v>28.63</v>
      </c>
      <c r="Y18" s="11">
        <v>13580.55</v>
      </c>
      <c r="Z18" s="66">
        <f t="shared" si="2"/>
        <v>0.19764905159593157</v>
      </c>
      <c r="AA18" s="3"/>
      <c r="AB18" s="3"/>
      <c r="AC18" s="3"/>
    </row>
    <row r="19" spans="2:29">
      <c r="B19" s="92" t="s">
        <v>41</v>
      </c>
      <c r="C19" s="89" t="s">
        <v>29</v>
      </c>
      <c r="D19" s="88" t="s">
        <v>42</v>
      </c>
      <c r="E19" s="12">
        <v>0</v>
      </c>
      <c r="F19" s="68" t="s">
        <v>3</v>
      </c>
      <c r="G19" s="11">
        <v>0</v>
      </c>
      <c r="H19" s="67">
        <f t="shared" si="0"/>
        <v>0</v>
      </c>
      <c r="I19" s="68" t="s">
        <v>3</v>
      </c>
      <c r="J19" s="11">
        <v>0</v>
      </c>
      <c r="K19" s="67">
        <f t="shared" si="3"/>
        <v>0</v>
      </c>
      <c r="L19" s="74" t="s">
        <v>3</v>
      </c>
      <c r="M19" s="11">
        <v>0</v>
      </c>
      <c r="N19" s="66">
        <f t="shared" si="4"/>
        <v>0</v>
      </c>
      <c r="O19" s="68">
        <v>32.950000000000003</v>
      </c>
      <c r="P19" s="11">
        <v>81292.84</v>
      </c>
      <c r="Q19" s="67">
        <f t="shared" si="5"/>
        <v>2.291714930590639</v>
      </c>
      <c r="R19" s="74">
        <v>33.450000000000003</v>
      </c>
      <c r="S19" s="11">
        <v>81409.3</v>
      </c>
      <c r="T19" s="66">
        <f t="shared" si="6"/>
        <v>2.1381821821422307</v>
      </c>
      <c r="U19" s="68">
        <v>32.33</v>
      </c>
      <c r="V19" s="11">
        <v>89203.61</v>
      </c>
      <c r="W19" s="67">
        <f t="shared" si="1"/>
        <v>1.9729769060344853</v>
      </c>
      <c r="X19" s="74" t="s">
        <v>3</v>
      </c>
      <c r="Y19" s="11">
        <v>0</v>
      </c>
      <c r="Z19" s="66">
        <f t="shared" si="2"/>
        <v>0</v>
      </c>
      <c r="AA19" s="3"/>
      <c r="AB19" s="3"/>
      <c r="AC19" s="3"/>
    </row>
    <row r="20" spans="2:29">
      <c r="B20" s="93" t="s">
        <v>43</v>
      </c>
      <c r="C20" s="95" t="s">
        <v>4</v>
      </c>
      <c r="D20" s="90" t="s">
        <v>44</v>
      </c>
      <c r="E20" s="84" t="s">
        <v>471</v>
      </c>
      <c r="F20" s="70">
        <v>27.49</v>
      </c>
      <c r="G20" s="59">
        <v>4621175.7</v>
      </c>
      <c r="H20" s="72">
        <f t="shared" si="0"/>
        <v>95.079766761842748</v>
      </c>
      <c r="I20" s="68" t="s">
        <v>3</v>
      </c>
      <c r="J20" s="11">
        <v>0</v>
      </c>
      <c r="K20" s="67">
        <f t="shared" si="3"/>
        <v>0</v>
      </c>
      <c r="L20" s="74" t="s">
        <v>3</v>
      </c>
      <c r="M20" s="11">
        <v>0</v>
      </c>
      <c r="N20" s="66">
        <f t="shared" si="4"/>
        <v>0</v>
      </c>
      <c r="O20" s="68" t="s">
        <v>3</v>
      </c>
      <c r="P20" s="11">
        <v>0</v>
      </c>
      <c r="Q20" s="67">
        <f t="shared" si="5"/>
        <v>0</v>
      </c>
      <c r="R20" s="74" t="s">
        <v>3</v>
      </c>
      <c r="S20" s="11">
        <v>0</v>
      </c>
      <c r="T20" s="66">
        <f t="shared" si="6"/>
        <v>0</v>
      </c>
      <c r="U20" s="68" t="s">
        <v>3</v>
      </c>
      <c r="V20" s="11">
        <v>0</v>
      </c>
      <c r="W20" s="67">
        <f t="shared" si="1"/>
        <v>0</v>
      </c>
      <c r="X20" s="75">
        <v>29.26</v>
      </c>
      <c r="Y20" s="59">
        <v>6475354.5800000001</v>
      </c>
      <c r="Z20" s="71">
        <f t="shared" si="2"/>
        <v>94.241226716471132</v>
      </c>
      <c r="AA20" s="3"/>
      <c r="AB20" s="3"/>
      <c r="AC20" s="3"/>
    </row>
    <row r="21" spans="2:29">
      <c r="B21" s="92" t="s">
        <v>45</v>
      </c>
      <c r="C21" s="96" t="s">
        <v>4</v>
      </c>
      <c r="D21" s="88" t="s">
        <v>46</v>
      </c>
      <c r="E21" s="12" t="s">
        <v>469</v>
      </c>
      <c r="F21" s="65" t="s">
        <v>3</v>
      </c>
      <c r="G21" s="11">
        <v>0</v>
      </c>
      <c r="H21" s="67">
        <f t="shared" si="0"/>
        <v>0</v>
      </c>
      <c r="I21" s="65">
        <v>24.02</v>
      </c>
      <c r="J21" s="11">
        <v>46868.33</v>
      </c>
      <c r="K21" s="67">
        <f t="shared" si="3"/>
        <v>0.75225379221968192</v>
      </c>
      <c r="L21" s="73">
        <v>29.29</v>
      </c>
      <c r="M21" s="11">
        <v>47595.9</v>
      </c>
      <c r="N21" s="66">
        <f t="shared" si="4"/>
        <v>0.89928610107143003</v>
      </c>
      <c r="O21" s="65" t="s">
        <v>3</v>
      </c>
      <c r="P21" s="11">
        <v>0</v>
      </c>
      <c r="Q21" s="67">
        <f t="shared" si="5"/>
        <v>0</v>
      </c>
      <c r="R21" s="73" t="s">
        <v>3</v>
      </c>
      <c r="S21" s="11">
        <v>0</v>
      </c>
      <c r="T21" s="66">
        <f t="shared" si="6"/>
        <v>0</v>
      </c>
      <c r="U21" s="65" t="s">
        <v>3</v>
      </c>
      <c r="V21" s="11">
        <v>0</v>
      </c>
      <c r="W21" s="67">
        <f t="shared" si="1"/>
        <v>0</v>
      </c>
      <c r="X21" s="73" t="s">
        <v>3</v>
      </c>
      <c r="Y21" s="11">
        <v>0</v>
      </c>
      <c r="Z21" s="66">
        <f t="shared" si="2"/>
        <v>0</v>
      </c>
      <c r="AA21" s="3"/>
      <c r="AB21" s="3"/>
      <c r="AC21" s="3"/>
    </row>
    <row r="22" spans="2:29">
      <c r="B22" s="92" t="s">
        <v>47</v>
      </c>
      <c r="C22" s="96" t="s">
        <v>4</v>
      </c>
      <c r="D22" s="88" t="s">
        <v>48</v>
      </c>
      <c r="E22" s="12" t="s">
        <v>469</v>
      </c>
      <c r="F22" s="65" t="s">
        <v>3</v>
      </c>
      <c r="G22" s="11">
        <v>0</v>
      </c>
      <c r="H22" s="67">
        <f t="shared" si="0"/>
        <v>0</v>
      </c>
      <c r="I22" s="65">
        <v>26.06</v>
      </c>
      <c r="J22" s="11">
        <v>76435.990000000005</v>
      </c>
      <c r="K22" s="67">
        <f t="shared" si="3"/>
        <v>1.2268255203367751</v>
      </c>
      <c r="L22" s="73">
        <v>31.62</v>
      </c>
      <c r="M22" s="11">
        <v>68105.31</v>
      </c>
      <c r="N22" s="66">
        <f t="shared" si="4"/>
        <v>1.2867948435088121</v>
      </c>
      <c r="O22" s="65" t="s">
        <v>3</v>
      </c>
      <c r="P22" s="11">
        <v>0</v>
      </c>
      <c r="Q22" s="67">
        <f t="shared" si="5"/>
        <v>0</v>
      </c>
      <c r="R22" s="73" t="s">
        <v>3</v>
      </c>
      <c r="S22" s="11">
        <v>0</v>
      </c>
      <c r="T22" s="66">
        <f t="shared" si="6"/>
        <v>0</v>
      </c>
      <c r="U22" s="65" t="s">
        <v>3</v>
      </c>
      <c r="V22" s="11">
        <v>0</v>
      </c>
      <c r="W22" s="67">
        <f t="shared" si="1"/>
        <v>0</v>
      </c>
      <c r="X22" s="73" t="s">
        <v>3</v>
      </c>
      <c r="Y22" s="11">
        <v>0</v>
      </c>
      <c r="Z22" s="66">
        <f t="shared" si="2"/>
        <v>0</v>
      </c>
      <c r="AA22" s="3"/>
      <c r="AB22" s="3"/>
      <c r="AC22" s="3"/>
    </row>
    <row r="23" spans="2:29">
      <c r="B23" s="4">
        <v>1235</v>
      </c>
      <c r="C23" s="89" t="s">
        <v>49</v>
      </c>
      <c r="D23" s="88" t="s">
        <v>50</v>
      </c>
      <c r="E23" s="12" t="s">
        <v>469</v>
      </c>
      <c r="F23" s="65">
        <v>31.36</v>
      </c>
      <c r="G23" s="11">
        <v>43888.17</v>
      </c>
      <c r="H23" s="67">
        <f t="shared" si="0"/>
        <v>0.90299032932335888</v>
      </c>
      <c r="I23" s="65" t="s">
        <v>3</v>
      </c>
      <c r="J23" s="11">
        <v>0</v>
      </c>
      <c r="K23" s="67">
        <f t="shared" si="3"/>
        <v>0</v>
      </c>
      <c r="L23" s="73" t="s">
        <v>3</v>
      </c>
      <c r="M23" s="11">
        <v>0</v>
      </c>
      <c r="N23" s="66">
        <f t="shared" si="4"/>
        <v>0</v>
      </c>
      <c r="O23" s="65" t="s">
        <v>3</v>
      </c>
      <c r="P23" s="11">
        <v>0</v>
      </c>
      <c r="Q23" s="67">
        <f t="shared" si="5"/>
        <v>0</v>
      </c>
      <c r="R23" s="73" t="s">
        <v>3</v>
      </c>
      <c r="S23" s="11">
        <v>0</v>
      </c>
      <c r="T23" s="66">
        <f t="shared" si="6"/>
        <v>0</v>
      </c>
      <c r="U23" s="65" t="s">
        <v>3</v>
      </c>
      <c r="V23" s="11">
        <v>0</v>
      </c>
      <c r="W23" s="67">
        <f t="shared" si="1"/>
        <v>0</v>
      </c>
      <c r="X23" s="73">
        <v>33.51</v>
      </c>
      <c r="Y23" s="11">
        <v>58886.02</v>
      </c>
      <c r="Z23" s="66">
        <f t="shared" si="2"/>
        <v>0.8570172787743543</v>
      </c>
      <c r="AA23" s="3"/>
      <c r="AB23" s="3"/>
      <c r="AC23" s="3"/>
    </row>
    <row r="24" spans="2:29" ht="14.7" thickBot="1">
      <c r="B24" s="12"/>
      <c r="C24" s="91"/>
      <c r="D24" s="91"/>
      <c r="E24" s="12"/>
      <c r="F24" s="85"/>
      <c r="G24" s="13">
        <f>SUM(G7:G23)</f>
        <v>4860314.51</v>
      </c>
      <c r="H24" s="86"/>
      <c r="I24" s="85"/>
      <c r="J24" s="13">
        <f>SUM(J7:J23)</f>
        <v>6230388.0000000009</v>
      </c>
      <c r="K24" s="86"/>
      <c r="M24" s="13">
        <f>SUM(M7:M23)</f>
        <v>5292631.5599999996</v>
      </c>
      <c r="N24" s="13"/>
      <c r="O24" s="85"/>
      <c r="P24" s="13">
        <f>SUM(P7:P23)</f>
        <v>3547249.22</v>
      </c>
      <c r="Q24" s="86"/>
      <c r="R24"/>
      <c r="S24" s="13">
        <f>SUM(S7:S23)</f>
        <v>3807407.09</v>
      </c>
      <c r="T24" s="13"/>
      <c r="U24" s="85"/>
      <c r="V24" s="13">
        <f>SUM(V7:V23)</f>
        <v>4521269.8499999996</v>
      </c>
      <c r="W24" s="86"/>
      <c r="X24"/>
      <c r="Y24" s="13">
        <f>SUM(Y7:Y23)</f>
        <v>6871042.3300000001</v>
      </c>
      <c r="Z24" s="13"/>
      <c r="AA24" s="3"/>
      <c r="AB24" s="3"/>
      <c r="AC24" s="3"/>
    </row>
    <row r="25" spans="2:29" ht="14.7" thickTop="1">
      <c r="D25" s="60" t="s">
        <v>465</v>
      </c>
      <c r="E25" s="60"/>
    </row>
    <row r="26" spans="2:29">
      <c r="D26" s="3" t="s">
        <v>466</v>
      </c>
      <c r="E26" s="3"/>
    </row>
    <row r="28" spans="2:29">
      <c r="D28" t="s">
        <v>489</v>
      </c>
    </row>
    <row r="29" spans="2:29">
      <c r="D29" t="s">
        <v>472</v>
      </c>
    </row>
    <row r="31" spans="2:29" customFormat="1" ht="20.7">
      <c r="B31" s="34" t="s">
        <v>272</v>
      </c>
      <c r="D31" s="12"/>
      <c r="E31" s="12"/>
      <c r="F31" s="15"/>
      <c r="G31" s="16"/>
      <c r="H31" s="15"/>
      <c r="I31" s="2"/>
      <c r="J31" s="36"/>
      <c r="K31" s="36"/>
      <c r="L31" s="36"/>
      <c r="M31" s="36"/>
      <c r="N31" s="36"/>
      <c r="O31" s="36"/>
      <c r="P31" s="36"/>
      <c r="Q31" s="36"/>
      <c r="R31" s="36"/>
    </row>
    <row r="32" spans="2:29" customFormat="1">
      <c r="B32" s="12" t="s">
        <v>473</v>
      </c>
      <c r="C32" t="s">
        <v>474</v>
      </c>
      <c r="D32" s="12"/>
      <c r="G32" s="12"/>
      <c r="H32" s="12"/>
      <c r="J32" s="12"/>
      <c r="M32" s="12"/>
      <c r="P32" s="12"/>
      <c r="R32" s="36"/>
    </row>
    <row r="33" spans="2:18" customFormat="1">
      <c r="B33" s="12" t="s">
        <v>475</v>
      </c>
      <c r="C33" t="s">
        <v>476</v>
      </c>
      <c r="D33" s="12"/>
      <c r="G33" s="12"/>
      <c r="H33" s="12"/>
      <c r="J33" s="12"/>
      <c r="M33" s="12"/>
      <c r="P33" s="12"/>
      <c r="R33" s="36"/>
    </row>
    <row r="34" spans="2:18" customFormat="1">
      <c r="B34" s="12" t="s">
        <v>457</v>
      </c>
      <c r="C34" t="s">
        <v>477</v>
      </c>
      <c r="D34" s="12"/>
      <c r="G34" s="12"/>
      <c r="H34" s="12"/>
      <c r="J34" s="12"/>
      <c r="M34" s="12"/>
      <c r="P34" s="12"/>
      <c r="R34" s="36"/>
    </row>
    <row r="35" spans="2:18" customFormat="1">
      <c r="C35" t="s">
        <v>458</v>
      </c>
      <c r="D35" s="12"/>
      <c r="G35" s="12"/>
      <c r="H35" s="12"/>
      <c r="J35" s="12"/>
      <c r="M35" s="12"/>
      <c r="P35" s="12"/>
      <c r="R35" s="36"/>
    </row>
    <row r="36" spans="2:18" customFormat="1">
      <c r="B36" s="12" t="s">
        <v>459</v>
      </c>
      <c r="C36" t="s">
        <v>490</v>
      </c>
      <c r="D36" s="12"/>
      <c r="G36" s="12"/>
      <c r="H36" s="12"/>
      <c r="J36" s="12"/>
      <c r="M36" s="12"/>
      <c r="P36" s="12"/>
      <c r="R36" s="36"/>
    </row>
    <row r="37" spans="2:18" customFormat="1">
      <c r="B37" s="12" t="s">
        <v>478</v>
      </c>
      <c r="C37" t="s">
        <v>462</v>
      </c>
      <c r="D37" s="12"/>
      <c r="G37" s="12"/>
      <c r="H37" s="12"/>
      <c r="J37" s="12"/>
      <c r="M37" s="12"/>
      <c r="P37" s="12"/>
      <c r="R37" s="36"/>
    </row>
    <row r="38" spans="2:18" customFormat="1">
      <c r="B38" s="12" t="s">
        <v>479</v>
      </c>
      <c r="C38" t="s">
        <v>463</v>
      </c>
      <c r="D38" s="12"/>
      <c r="G38" s="12"/>
      <c r="H38" s="12"/>
      <c r="J38" s="12"/>
      <c r="M38" s="12"/>
      <c r="P38" s="12"/>
      <c r="R38" s="36"/>
    </row>
    <row r="39" spans="2:18" customFormat="1">
      <c r="B39" s="12"/>
      <c r="D39" s="12"/>
      <c r="E39" s="12"/>
      <c r="F39" s="15"/>
      <c r="G39" s="16"/>
      <c r="H39" s="15"/>
      <c r="I39" s="2"/>
      <c r="J39" s="36"/>
      <c r="K39" s="36"/>
      <c r="L39" s="36"/>
      <c r="M39" s="36"/>
      <c r="N39" s="36"/>
      <c r="O39" s="36"/>
      <c r="P39" s="36"/>
      <c r="Q39" s="36"/>
      <c r="R39" s="36"/>
    </row>
    <row r="40" spans="2:18" customFormat="1">
      <c r="B40" s="61"/>
      <c r="C40" s="334" t="s">
        <v>480</v>
      </c>
      <c r="D40" s="335"/>
      <c r="E40" s="12"/>
      <c r="F40" s="15"/>
      <c r="G40" s="16"/>
      <c r="H40" s="15"/>
      <c r="I40" s="2"/>
      <c r="J40" s="36"/>
      <c r="K40" s="36"/>
      <c r="L40" s="36"/>
      <c r="M40" s="36"/>
      <c r="N40" s="36"/>
      <c r="O40" s="36"/>
      <c r="P40" s="36"/>
      <c r="Q40" s="36"/>
      <c r="R40" s="36"/>
    </row>
    <row r="41" spans="2:18" customFormat="1">
      <c r="B41" s="62"/>
      <c r="C41" s="334" t="s">
        <v>481</v>
      </c>
      <c r="D41" s="335"/>
      <c r="E41" s="12"/>
      <c r="F41" s="15"/>
      <c r="G41" s="16"/>
      <c r="H41" s="15"/>
      <c r="I41" s="2"/>
      <c r="J41" s="36"/>
      <c r="K41" s="36"/>
      <c r="L41" s="36"/>
      <c r="M41" s="36"/>
      <c r="N41" s="36"/>
      <c r="O41" s="36"/>
      <c r="P41" s="36"/>
      <c r="Q41" s="36"/>
      <c r="R41" s="36"/>
    </row>
  </sheetData>
  <mergeCells count="10">
    <mergeCell ref="A1:L1"/>
    <mergeCell ref="X5:Z5"/>
    <mergeCell ref="C40:D40"/>
    <mergeCell ref="C41:D41"/>
    <mergeCell ref="F5:H5"/>
    <mergeCell ref="I5:K5"/>
    <mergeCell ref="L5:N5"/>
    <mergeCell ref="O5:Q5"/>
    <mergeCell ref="R5:T5"/>
    <mergeCell ref="U5:W5"/>
  </mergeCells>
  <phoneticPr fontId="18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3E16-C2B0-4EA4-BA46-B89350A26C21}">
  <dimension ref="A1:BY78"/>
  <sheetViews>
    <sheetView zoomScale="70" zoomScaleNormal="70" workbookViewId="0">
      <pane xSplit="8" ySplit="4" topLeftCell="I5" activePane="bottomRight" state="frozen"/>
      <selection pane="topRight" activeCell="F1" sqref="F1"/>
      <selection pane="bottomLeft" activeCell="A4" sqref="A4"/>
      <selection pane="bottomRight" sqref="A1:I1"/>
    </sheetView>
  </sheetViews>
  <sheetFormatPr defaultRowHeight="14.35"/>
  <cols>
    <col min="1" max="1" width="7.64453125" customWidth="1"/>
    <col min="2" max="2" width="7.64453125" style="12" customWidth="1"/>
    <col min="3" max="3" width="27.64453125" customWidth="1"/>
    <col min="4" max="4" width="55.41015625" style="12" customWidth="1"/>
    <col min="5" max="5" width="14.1171875" style="2" customWidth="1"/>
    <col min="6" max="6" width="7.52734375" style="15" customWidth="1"/>
    <col min="7" max="7" width="8.52734375" style="15" customWidth="1"/>
    <col min="8" max="8" width="7.46875" style="2" customWidth="1"/>
    <col min="10" max="10" width="10.9375" customWidth="1"/>
    <col min="11" max="11" width="5.76171875" customWidth="1"/>
    <col min="12" max="12" width="6.52734375" style="35" customWidth="1"/>
    <col min="13" max="13" width="9.1171875" style="12" customWidth="1"/>
    <col min="14" max="14" width="7.76171875" style="12" customWidth="1"/>
    <col min="15" max="15" width="9.1171875" style="12" customWidth="1"/>
    <col min="16" max="16" width="11.87890625" style="12" customWidth="1"/>
    <col min="17" max="17" width="7" style="12" customWidth="1"/>
    <col min="18" max="18" width="9.1171875" style="35" customWidth="1"/>
    <col min="19" max="19" width="11.52734375" style="12" customWidth="1"/>
    <col min="20" max="20" width="6.3515625" style="12" customWidth="1"/>
    <col min="21" max="21" width="9.1171875" style="12" customWidth="1"/>
    <col min="22" max="22" width="12.17578125" style="12" customWidth="1"/>
    <col min="23" max="23" width="7.234375" style="12" customWidth="1"/>
    <col min="24" max="24" width="9.1171875" style="35" customWidth="1"/>
    <col min="25" max="25" width="11.52734375" style="12" customWidth="1"/>
    <col min="26" max="26" width="6.64453125" style="12" customWidth="1"/>
    <col min="27" max="27" width="9.1171875" style="35" customWidth="1"/>
    <col min="28" max="28" width="12.5859375" style="12" customWidth="1"/>
    <col min="29" max="29" width="6.52734375" style="12" customWidth="1"/>
    <col min="30" max="32" width="8.1171875" style="36" customWidth="1"/>
    <col min="39" max="56" width="8.1171875" style="36" customWidth="1"/>
    <col min="57" max="57" width="8.1171875" style="13" customWidth="1"/>
    <col min="58" max="58" width="8.1171875" customWidth="1"/>
    <col min="59" max="59" width="8.1171875" style="36" customWidth="1"/>
    <col min="60" max="76" width="8.1171875" customWidth="1"/>
    <col min="77" max="77" width="8.1171875" style="36" customWidth="1"/>
    <col min="78" max="85" width="8.1171875" customWidth="1"/>
  </cols>
  <sheetData>
    <row r="1" spans="1:77" ht="29.35" customHeight="1">
      <c r="A1" s="357" t="s">
        <v>482</v>
      </c>
      <c r="B1" s="357"/>
      <c r="C1" s="357"/>
      <c r="D1" s="357"/>
      <c r="E1" s="357"/>
      <c r="F1" s="357"/>
      <c r="G1" s="357"/>
      <c r="H1" s="357"/>
      <c r="I1" s="357"/>
      <c r="AD1"/>
      <c r="AE1"/>
      <c r="AF1"/>
      <c r="AJ1" s="36"/>
      <c r="AK1" s="36"/>
      <c r="AL1" s="36"/>
      <c r="BB1" s="13"/>
      <c r="BC1"/>
      <c r="BE1"/>
      <c r="BG1"/>
      <c r="BV1" s="36"/>
      <c r="BY1"/>
    </row>
    <row r="2" spans="1:77" ht="14.7" thickBot="1">
      <c r="AD2"/>
      <c r="AE2"/>
      <c r="AF2"/>
      <c r="AJ2" s="36"/>
      <c r="AK2" s="36"/>
      <c r="AL2" s="36"/>
      <c r="BB2" s="13"/>
      <c r="BC2"/>
      <c r="BE2"/>
      <c r="BG2"/>
      <c r="BV2" s="36"/>
      <c r="BY2"/>
    </row>
    <row r="3" spans="1:77" s="20" customFormat="1" ht="21" thickBot="1">
      <c r="A3" s="37"/>
      <c r="B3" s="38"/>
      <c r="D3" s="17"/>
      <c r="E3" s="19"/>
      <c r="F3" s="18"/>
      <c r="G3" s="18"/>
      <c r="H3" s="19"/>
      <c r="I3" s="336" t="s">
        <v>464</v>
      </c>
      <c r="J3" s="337"/>
      <c r="K3" s="337"/>
      <c r="L3" s="339" t="s">
        <v>0</v>
      </c>
      <c r="M3" s="340"/>
      <c r="N3" s="341"/>
      <c r="O3" s="342" t="s">
        <v>51</v>
      </c>
      <c r="P3" s="342"/>
      <c r="Q3" s="342"/>
      <c r="R3" s="343" t="s">
        <v>52</v>
      </c>
      <c r="S3" s="344"/>
      <c r="T3" s="345"/>
      <c r="U3" s="346" t="s">
        <v>2</v>
      </c>
      <c r="V3" s="346"/>
      <c r="W3" s="346"/>
      <c r="X3" s="347" t="s">
        <v>1</v>
      </c>
      <c r="Y3" s="348"/>
      <c r="Z3" s="349"/>
      <c r="AA3" s="332" t="s">
        <v>53</v>
      </c>
      <c r="AB3" s="332"/>
      <c r="AC3" s="333"/>
    </row>
    <row r="4" spans="1:77" ht="17" thickTop="1" thickBot="1">
      <c r="B4" s="82" t="s">
        <v>11</v>
      </c>
      <c r="C4" s="9" t="s">
        <v>10</v>
      </c>
      <c r="D4" s="135" t="s">
        <v>9</v>
      </c>
      <c r="E4" s="138" t="s">
        <v>467</v>
      </c>
      <c r="F4" s="145" t="s">
        <v>491</v>
      </c>
      <c r="G4" s="153" t="s">
        <v>492</v>
      </c>
      <c r="H4" s="146" t="s">
        <v>493</v>
      </c>
      <c r="I4" s="100" t="s">
        <v>8</v>
      </c>
      <c r="J4" s="21" t="s">
        <v>7</v>
      </c>
      <c r="K4" s="40" t="s">
        <v>73</v>
      </c>
      <c r="L4" s="100" t="s">
        <v>55</v>
      </c>
      <c r="M4" s="21" t="s">
        <v>56</v>
      </c>
      <c r="N4" s="101" t="s">
        <v>57</v>
      </c>
      <c r="O4" s="106" t="s">
        <v>58</v>
      </c>
      <c r="P4" s="21" t="s">
        <v>59</v>
      </c>
      <c r="Q4" s="40" t="s">
        <v>60</v>
      </c>
      <c r="R4" s="110" t="s">
        <v>61</v>
      </c>
      <c r="S4" s="21" t="s">
        <v>62</v>
      </c>
      <c r="T4" s="101" t="s">
        <v>63</v>
      </c>
      <c r="U4" s="106" t="s">
        <v>64</v>
      </c>
      <c r="V4" s="21" t="s">
        <v>65</v>
      </c>
      <c r="W4" s="40" t="s">
        <v>66</v>
      </c>
      <c r="X4" s="110" t="s">
        <v>67</v>
      </c>
      <c r="Y4" s="21" t="s">
        <v>68</v>
      </c>
      <c r="Z4" s="101" t="s">
        <v>69</v>
      </c>
      <c r="AA4" s="106" t="s">
        <v>70</v>
      </c>
      <c r="AB4" s="21" t="s">
        <v>71</v>
      </c>
      <c r="AC4" s="40" t="s">
        <v>72</v>
      </c>
      <c r="AD4"/>
      <c r="AE4"/>
      <c r="AF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G4"/>
      <c r="BY4"/>
    </row>
    <row r="5" spans="1:77" ht="14.7" thickTop="1">
      <c r="A5" s="113"/>
      <c r="B5" s="115" t="s">
        <v>91</v>
      </c>
      <c r="C5" s="132" t="s">
        <v>92</v>
      </c>
      <c r="D5" s="12" t="s">
        <v>93</v>
      </c>
      <c r="E5" s="139">
        <v>0</v>
      </c>
      <c r="F5" s="15">
        <v>0</v>
      </c>
      <c r="G5" s="154">
        <v>0</v>
      </c>
      <c r="H5" s="2">
        <v>0</v>
      </c>
      <c r="I5" s="102">
        <v>6.97</v>
      </c>
      <c r="J5" s="99">
        <v>144839.53</v>
      </c>
      <c r="K5" s="99">
        <f t="shared" ref="K5:K36" si="0">J5/$J$61*100</f>
        <v>4.8189039441273103</v>
      </c>
      <c r="L5" s="102">
        <v>6.78</v>
      </c>
      <c r="M5" s="99">
        <v>77627.56</v>
      </c>
      <c r="N5" s="103">
        <f>M5/$M$61*100</f>
        <v>7.7904077406591581</v>
      </c>
      <c r="O5" s="107">
        <v>7.3</v>
      </c>
      <c r="P5" s="99">
        <v>85850.06</v>
      </c>
      <c r="Q5" s="99">
        <f t="shared" ref="Q5:Q60" si="1">P5/$P$61*100</f>
        <v>2.6667027735174242</v>
      </c>
      <c r="R5" s="102">
        <v>7.23</v>
      </c>
      <c r="S5" s="99">
        <v>307825.37</v>
      </c>
      <c r="T5" s="103">
        <f t="shared" ref="T5:T60" si="2">S5/$S$61*100</f>
        <v>7.0739249048293669</v>
      </c>
      <c r="U5" s="107">
        <v>7.25</v>
      </c>
      <c r="V5" s="99">
        <v>197076.32</v>
      </c>
      <c r="W5" s="99">
        <f>V5/$V$61*100</f>
        <v>6.9412672170098766</v>
      </c>
      <c r="X5" s="102">
        <v>7.28</v>
      </c>
      <c r="Y5" s="99">
        <v>194634.43</v>
      </c>
      <c r="Z5" s="103">
        <f t="shared" ref="Z5:Z60" si="3">Y5/$Y$61*100</f>
        <v>4.0244963696666058</v>
      </c>
      <c r="AA5" s="107">
        <v>7.15</v>
      </c>
      <c r="AB5" s="99">
        <v>232294.36</v>
      </c>
      <c r="AC5" s="99">
        <f>AB5/$AB$61*100</f>
        <v>5.1933440629577197</v>
      </c>
      <c r="AD5"/>
      <c r="AE5" s="12"/>
      <c r="AF5" s="2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G5"/>
      <c r="BY5"/>
    </row>
    <row r="6" spans="1:77">
      <c r="B6" s="115" t="s">
        <v>94</v>
      </c>
      <c r="C6" s="133" t="s">
        <v>92</v>
      </c>
      <c r="D6" s="12" t="s">
        <v>95</v>
      </c>
      <c r="E6" s="139">
        <v>0</v>
      </c>
      <c r="F6" s="15">
        <v>0</v>
      </c>
      <c r="G6" s="154">
        <v>0</v>
      </c>
      <c r="H6" s="2">
        <v>0</v>
      </c>
      <c r="I6" s="102" t="s">
        <v>98</v>
      </c>
      <c r="J6" s="99">
        <v>28233.599999999999</v>
      </c>
      <c r="K6" s="99">
        <f t="shared" si="0"/>
        <v>0.93934995782513819</v>
      </c>
      <c r="L6" s="102" t="s">
        <v>96</v>
      </c>
      <c r="M6" s="99">
        <v>18459.099999999999</v>
      </c>
      <c r="N6" s="103">
        <f t="shared" ref="N6:N60" si="4">M6/$M$61*100</f>
        <v>1.8524853225529885</v>
      </c>
      <c r="O6" s="107">
        <v>10.84</v>
      </c>
      <c r="P6" s="99">
        <v>69805.350000000006</v>
      </c>
      <c r="Q6" s="99">
        <f t="shared" si="1"/>
        <v>2.1683167193051993</v>
      </c>
      <c r="R6" s="102">
        <v>10.85</v>
      </c>
      <c r="S6" s="99">
        <v>63951.07</v>
      </c>
      <c r="T6" s="103">
        <f t="shared" si="2"/>
        <v>1.46961592789927</v>
      </c>
      <c r="U6" s="107">
        <v>10.79</v>
      </c>
      <c r="V6" s="99">
        <v>36848.800000000003</v>
      </c>
      <c r="W6" s="99">
        <f t="shared" ref="W6:W60" si="5">V6/$V$61*100</f>
        <v>1.2978594659477789</v>
      </c>
      <c r="X6" s="102">
        <v>11.18</v>
      </c>
      <c r="Y6" s="99">
        <v>37187.19</v>
      </c>
      <c r="Z6" s="103">
        <f t="shared" si="3"/>
        <v>0.768927219881407</v>
      </c>
      <c r="AA6" s="107" t="s">
        <v>97</v>
      </c>
      <c r="AB6" s="99">
        <v>34869.1</v>
      </c>
      <c r="AC6" s="99">
        <f t="shared" ref="AC6:AC60" si="6">AB6/$AB$61*100</f>
        <v>0.77955932062095268</v>
      </c>
      <c r="AD6"/>
      <c r="AE6" s="12"/>
      <c r="AF6" s="25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G6"/>
      <c r="BY6"/>
    </row>
    <row r="7" spans="1:77">
      <c r="B7" s="115">
        <v>464</v>
      </c>
      <c r="C7" s="133" t="s">
        <v>99</v>
      </c>
      <c r="D7" s="115" t="s">
        <v>100</v>
      </c>
      <c r="E7" s="140">
        <v>1</v>
      </c>
      <c r="F7" s="117">
        <v>0</v>
      </c>
      <c r="G7" s="155">
        <v>1</v>
      </c>
      <c r="H7" s="2">
        <v>0</v>
      </c>
      <c r="I7" s="102">
        <v>9.42</v>
      </c>
      <c r="J7" s="99">
        <v>4279.24</v>
      </c>
      <c r="K7" s="99">
        <f t="shared" si="0"/>
        <v>0.14237305598732164</v>
      </c>
      <c r="L7" s="102">
        <v>9.64</v>
      </c>
      <c r="M7" s="99">
        <v>828.8</v>
      </c>
      <c r="N7" s="103">
        <f t="shared" si="4"/>
        <v>8.3175227141730465E-2</v>
      </c>
      <c r="O7" s="107" t="s">
        <v>101</v>
      </c>
      <c r="P7" s="99">
        <v>9273.52</v>
      </c>
      <c r="Q7" s="99">
        <f t="shared" si="1"/>
        <v>0.28805712546117385</v>
      </c>
      <c r="R7" s="102">
        <v>9.6199999999999992</v>
      </c>
      <c r="S7" s="99">
        <v>6532.44</v>
      </c>
      <c r="T7" s="103">
        <f t="shared" si="2"/>
        <v>0.15011754880796063</v>
      </c>
      <c r="U7" s="107">
        <v>9.4700000000000006</v>
      </c>
      <c r="V7" s="99">
        <v>4221.83</v>
      </c>
      <c r="W7" s="99">
        <f t="shared" si="5"/>
        <v>0.14869797738657189</v>
      </c>
      <c r="X7" s="102">
        <v>9.42</v>
      </c>
      <c r="Y7" s="99">
        <v>7150.68</v>
      </c>
      <c r="Z7" s="103">
        <f t="shared" si="3"/>
        <v>0.1478560894937633</v>
      </c>
      <c r="AA7" s="107">
        <v>9.32</v>
      </c>
      <c r="AB7" s="99">
        <v>6273.03</v>
      </c>
      <c r="AC7" s="99">
        <f t="shared" si="6"/>
        <v>0.14024448594987696</v>
      </c>
      <c r="AD7"/>
      <c r="AE7" s="12"/>
      <c r="AF7" s="25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G7"/>
      <c r="BY7"/>
    </row>
    <row r="8" spans="1:77">
      <c r="B8" s="115">
        <v>513</v>
      </c>
      <c r="C8" s="133" t="s">
        <v>102</v>
      </c>
      <c r="D8" s="12" t="s">
        <v>103</v>
      </c>
      <c r="E8" s="139">
        <v>0</v>
      </c>
      <c r="F8" s="15">
        <v>1</v>
      </c>
      <c r="G8" s="154">
        <v>0</v>
      </c>
      <c r="H8" s="2">
        <v>0</v>
      </c>
      <c r="I8" s="102">
        <v>10.02</v>
      </c>
      <c r="J8" s="99">
        <v>433313.17</v>
      </c>
      <c r="K8" s="99">
        <f t="shared" si="0"/>
        <v>14.416606736816309</v>
      </c>
      <c r="L8" s="102">
        <v>10.49</v>
      </c>
      <c r="M8" s="99">
        <v>95664.54</v>
      </c>
      <c r="N8" s="103">
        <f t="shared" si="4"/>
        <v>9.6005306996973463</v>
      </c>
      <c r="O8" s="107">
        <v>10.3</v>
      </c>
      <c r="P8" s="99">
        <v>443950.28</v>
      </c>
      <c r="Q8" s="99">
        <f t="shared" si="1"/>
        <v>13.790129476669405</v>
      </c>
      <c r="R8" s="102">
        <v>10.27</v>
      </c>
      <c r="S8" s="99">
        <v>477243.43</v>
      </c>
      <c r="T8" s="103">
        <f t="shared" si="2"/>
        <v>10.967205806146486</v>
      </c>
      <c r="U8" s="107">
        <v>10.25</v>
      </c>
      <c r="V8" s="99">
        <v>265232.40000000002</v>
      </c>
      <c r="W8" s="99">
        <f t="shared" si="5"/>
        <v>9.3418070877761998</v>
      </c>
      <c r="X8" s="102">
        <v>10.14</v>
      </c>
      <c r="Y8" s="99">
        <v>662133.62</v>
      </c>
      <c r="Z8" s="103">
        <f t="shared" si="3"/>
        <v>13.691073824524306</v>
      </c>
      <c r="AA8" s="107">
        <v>10.02</v>
      </c>
      <c r="AB8" s="99">
        <v>536153.44999999995</v>
      </c>
      <c r="AC8" s="99">
        <f t="shared" si="6"/>
        <v>11.986642019168258</v>
      </c>
      <c r="AD8"/>
      <c r="AE8" s="12"/>
      <c r="AF8" s="25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G8"/>
      <c r="BY8"/>
    </row>
    <row r="9" spans="1:77">
      <c r="B9" s="115">
        <v>529</v>
      </c>
      <c r="C9" s="133" t="s">
        <v>104</v>
      </c>
      <c r="D9" s="12" t="s">
        <v>105</v>
      </c>
      <c r="E9" s="139">
        <v>0</v>
      </c>
      <c r="F9" s="15">
        <v>1</v>
      </c>
      <c r="G9" s="154">
        <v>0</v>
      </c>
      <c r="H9" s="2">
        <v>0</v>
      </c>
      <c r="I9" s="102">
        <v>9.84</v>
      </c>
      <c r="J9" s="99">
        <v>195721.95</v>
      </c>
      <c r="K9" s="99">
        <f t="shared" si="0"/>
        <v>6.5117946516899661</v>
      </c>
      <c r="L9" s="102">
        <v>10.3</v>
      </c>
      <c r="M9" s="99">
        <v>62603.72</v>
      </c>
      <c r="N9" s="103">
        <f t="shared" si="4"/>
        <v>6.2826720932882427</v>
      </c>
      <c r="O9" s="107">
        <v>10.119999999999999</v>
      </c>
      <c r="P9" s="99">
        <v>281250.33</v>
      </c>
      <c r="Q9" s="99">
        <f t="shared" si="1"/>
        <v>8.7362901675746159</v>
      </c>
      <c r="R9" s="102">
        <v>10.08</v>
      </c>
      <c r="S9" s="99">
        <v>269962.48</v>
      </c>
      <c r="T9" s="103">
        <f t="shared" si="2"/>
        <v>6.2038236505376396</v>
      </c>
      <c r="U9" s="107">
        <v>10</v>
      </c>
      <c r="V9" s="99">
        <v>155841.32999999999</v>
      </c>
      <c r="W9" s="99">
        <f t="shared" si="5"/>
        <v>5.4889208149625359</v>
      </c>
      <c r="X9" s="102">
        <v>9.8800000000000008</v>
      </c>
      <c r="Y9" s="99">
        <v>350311.78</v>
      </c>
      <c r="Z9" s="103">
        <f t="shared" si="3"/>
        <v>7.2434691378161968</v>
      </c>
      <c r="AA9" s="107">
        <v>9.7899999999999991</v>
      </c>
      <c r="AB9" s="99">
        <v>280517.87</v>
      </c>
      <c r="AC9" s="99">
        <f t="shared" si="6"/>
        <v>6.2714644243538471</v>
      </c>
      <c r="AD9"/>
      <c r="AE9" s="12"/>
      <c r="AF9" s="25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G9"/>
      <c r="BY9"/>
    </row>
    <row r="10" spans="1:77">
      <c r="B10" s="115" t="s">
        <v>106</v>
      </c>
      <c r="C10" s="133" t="s">
        <v>5</v>
      </c>
      <c r="D10" s="12" t="s">
        <v>107</v>
      </c>
      <c r="E10" s="139" t="s">
        <v>484</v>
      </c>
      <c r="F10" s="15">
        <v>0</v>
      </c>
      <c r="G10" s="154">
        <v>0</v>
      </c>
      <c r="H10" s="2" t="s">
        <v>108</v>
      </c>
      <c r="I10" s="102">
        <v>21.18</v>
      </c>
      <c r="J10" s="99">
        <v>81174.820000000007</v>
      </c>
      <c r="K10" s="99">
        <f t="shared" si="0"/>
        <v>2.7007382602099339</v>
      </c>
      <c r="L10" s="102">
        <v>23.36</v>
      </c>
      <c r="M10" s="99">
        <v>42428.98</v>
      </c>
      <c r="N10" s="103">
        <f t="shared" si="4"/>
        <v>4.2580116420028231</v>
      </c>
      <c r="O10" s="107">
        <v>22.92</v>
      </c>
      <c r="P10" s="99">
        <v>113998.47</v>
      </c>
      <c r="Q10" s="99">
        <f t="shared" si="1"/>
        <v>3.5410579343304232</v>
      </c>
      <c r="R10" s="102">
        <v>22.58</v>
      </c>
      <c r="S10" s="99">
        <v>143492.5</v>
      </c>
      <c r="T10" s="103">
        <f t="shared" si="2"/>
        <v>3.2975032870300063</v>
      </c>
      <c r="U10" s="107">
        <v>22.31</v>
      </c>
      <c r="V10" s="99">
        <v>104620.32</v>
      </c>
      <c r="W10" s="99">
        <f t="shared" si="5"/>
        <v>3.6848546667051765</v>
      </c>
      <c r="X10" s="102">
        <v>22.09</v>
      </c>
      <c r="Y10" s="99">
        <v>130213.05</v>
      </c>
      <c r="Z10" s="103">
        <f t="shared" si="3"/>
        <v>2.692442169703563</v>
      </c>
      <c r="AA10" s="107">
        <v>21.95</v>
      </c>
      <c r="AB10" s="99">
        <v>97955.5</v>
      </c>
      <c r="AC10" s="99">
        <f t="shared" si="6"/>
        <v>2.1899654143951444</v>
      </c>
      <c r="AD10"/>
      <c r="AE10" s="12"/>
      <c r="AF10" s="25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G10"/>
      <c r="BY10"/>
    </row>
    <row r="11" spans="1:77">
      <c r="B11" s="115" t="s">
        <v>109</v>
      </c>
      <c r="C11" s="133" t="s">
        <v>18</v>
      </c>
      <c r="D11" s="12" t="s">
        <v>110</v>
      </c>
      <c r="E11" s="139" t="s">
        <v>483</v>
      </c>
      <c r="F11" s="15">
        <v>0</v>
      </c>
      <c r="G11" s="154">
        <v>0</v>
      </c>
      <c r="H11" s="2">
        <v>0</v>
      </c>
      <c r="I11" s="102">
        <v>11.1</v>
      </c>
      <c r="J11" s="99">
        <v>19001.43</v>
      </c>
      <c r="K11" s="99">
        <f t="shared" si="0"/>
        <v>0.63218974799945149</v>
      </c>
      <c r="L11" s="102">
        <v>11.92</v>
      </c>
      <c r="M11" s="99">
        <v>15241.23</v>
      </c>
      <c r="N11" s="103">
        <f t="shared" si="4"/>
        <v>1.5295520839398609</v>
      </c>
      <c r="O11" s="107">
        <v>11.68</v>
      </c>
      <c r="P11" s="99">
        <v>26391.15</v>
      </c>
      <c r="Q11" s="99">
        <f t="shared" si="1"/>
        <v>0.81977057326825831</v>
      </c>
      <c r="R11" s="102">
        <v>11.63</v>
      </c>
      <c r="S11" s="99">
        <v>32125.119999999999</v>
      </c>
      <c r="T11" s="103">
        <f t="shared" si="2"/>
        <v>0.73824547482435243</v>
      </c>
      <c r="U11" s="108" t="s">
        <v>3</v>
      </c>
      <c r="V11" s="104">
        <v>0</v>
      </c>
      <c r="W11" s="104">
        <f t="shared" si="5"/>
        <v>0</v>
      </c>
      <c r="X11" s="102">
        <v>11.47</v>
      </c>
      <c r="Y11" s="99">
        <v>19780.16</v>
      </c>
      <c r="Z11" s="103">
        <f t="shared" si="3"/>
        <v>0.4089984598892632</v>
      </c>
      <c r="AA11" s="107">
        <v>11.4</v>
      </c>
      <c r="AB11" s="99">
        <v>23210.720000000001</v>
      </c>
      <c r="AC11" s="99">
        <f t="shared" si="6"/>
        <v>0.51891597759400621</v>
      </c>
      <c r="AD11"/>
      <c r="AE11" s="12"/>
      <c r="AF11" s="25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G11"/>
      <c r="BY11"/>
    </row>
    <row r="12" spans="1:77">
      <c r="A12" s="113"/>
      <c r="B12" s="115" t="s">
        <v>90</v>
      </c>
      <c r="C12" s="133" t="s">
        <v>18</v>
      </c>
      <c r="D12" s="55" t="s">
        <v>111</v>
      </c>
      <c r="E12" s="141" t="s">
        <v>112</v>
      </c>
      <c r="F12" s="116">
        <v>0</v>
      </c>
      <c r="G12" s="156">
        <v>0</v>
      </c>
      <c r="H12" s="147">
        <v>0</v>
      </c>
      <c r="I12" s="102">
        <v>12.43</v>
      </c>
      <c r="J12" s="99">
        <v>38648.89</v>
      </c>
      <c r="K12" s="99">
        <f t="shared" si="0"/>
        <v>1.2858733279315571</v>
      </c>
      <c r="L12" s="105" t="s">
        <v>3</v>
      </c>
      <c r="M12" s="104">
        <v>0</v>
      </c>
      <c r="N12" s="109">
        <f t="shared" si="4"/>
        <v>0</v>
      </c>
      <c r="O12" s="108" t="s">
        <v>3</v>
      </c>
      <c r="P12" s="104">
        <v>0</v>
      </c>
      <c r="Q12" s="104">
        <f t="shared" si="1"/>
        <v>0</v>
      </c>
      <c r="R12" s="105" t="s">
        <v>3</v>
      </c>
      <c r="S12" s="104">
        <v>0</v>
      </c>
      <c r="T12" s="109">
        <f t="shared" si="2"/>
        <v>0</v>
      </c>
      <c r="U12" s="108" t="s">
        <v>3</v>
      </c>
      <c r="V12" s="104">
        <v>0</v>
      </c>
      <c r="W12" s="104">
        <f t="shared" si="5"/>
        <v>0</v>
      </c>
      <c r="X12" s="102">
        <v>12.86</v>
      </c>
      <c r="Y12" s="99">
        <v>49261.62</v>
      </c>
      <c r="Z12" s="103">
        <f t="shared" si="3"/>
        <v>1.0185927066136031</v>
      </c>
      <c r="AA12" s="107">
        <v>12.75</v>
      </c>
      <c r="AB12" s="99">
        <v>52028.81</v>
      </c>
      <c r="AC12" s="99">
        <f t="shared" si="6"/>
        <v>1.1631944551570481</v>
      </c>
      <c r="AD12"/>
      <c r="AE12" s="12"/>
      <c r="AF12" s="25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G12"/>
      <c r="BY12"/>
    </row>
    <row r="13" spans="1:77">
      <c r="B13" s="115" t="s">
        <v>113</v>
      </c>
      <c r="C13" s="133" t="s">
        <v>114</v>
      </c>
      <c r="D13" s="12" t="s">
        <v>115</v>
      </c>
      <c r="E13" s="140">
        <v>0</v>
      </c>
      <c r="F13" s="117">
        <v>0</v>
      </c>
      <c r="G13" s="155">
        <v>0</v>
      </c>
      <c r="H13" s="130">
        <v>0</v>
      </c>
      <c r="I13" s="102">
        <v>10.86</v>
      </c>
      <c r="J13" s="99">
        <v>12388.2</v>
      </c>
      <c r="K13" s="99">
        <f t="shared" si="0"/>
        <v>0.41216334960930873</v>
      </c>
      <c r="L13" s="102">
        <v>11.63</v>
      </c>
      <c r="M13" s="99">
        <v>7139.13</v>
      </c>
      <c r="N13" s="103">
        <f t="shared" si="4"/>
        <v>0.71645603202744002</v>
      </c>
      <c r="O13" s="107" t="s">
        <v>116</v>
      </c>
      <c r="P13" s="99">
        <v>8983.14</v>
      </c>
      <c r="Q13" s="99">
        <f t="shared" si="1"/>
        <v>0.27903724648410627</v>
      </c>
      <c r="R13" s="102">
        <v>11.38</v>
      </c>
      <c r="S13" s="99">
        <v>22079.919999999998</v>
      </c>
      <c r="T13" s="103">
        <f t="shared" si="2"/>
        <v>0.50740358400166952</v>
      </c>
      <c r="U13" s="107">
        <v>11.27</v>
      </c>
      <c r="V13" s="99">
        <v>15086.36</v>
      </c>
      <c r="W13" s="99">
        <f t="shared" si="5"/>
        <v>0.53135991220055823</v>
      </c>
      <c r="X13" s="102">
        <v>11.18</v>
      </c>
      <c r="Y13" s="99">
        <v>16955.189999999999</v>
      </c>
      <c r="Z13" s="103">
        <f t="shared" si="3"/>
        <v>0.35058597084805365</v>
      </c>
      <c r="AA13" s="107">
        <v>11.11</v>
      </c>
      <c r="AB13" s="99">
        <v>15689.57</v>
      </c>
      <c r="AC13" s="99">
        <f t="shared" si="6"/>
        <v>0.35076760025451992</v>
      </c>
      <c r="AD13"/>
      <c r="AE13" s="12"/>
      <c r="AF13" s="25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G13"/>
      <c r="BY13"/>
    </row>
    <row r="14" spans="1:77">
      <c r="B14" s="115" t="s">
        <v>117</v>
      </c>
      <c r="C14" s="133" t="s">
        <v>114</v>
      </c>
      <c r="D14" s="12" t="s">
        <v>118</v>
      </c>
      <c r="E14" s="139">
        <v>0</v>
      </c>
      <c r="F14" s="15">
        <v>0</v>
      </c>
      <c r="G14" s="154">
        <v>0</v>
      </c>
      <c r="H14" s="2">
        <v>0</v>
      </c>
      <c r="I14" s="102">
        <v>12.08</v>
      </c>
      <c r="J14" s="99">
        <v>34521.15</v>
      </c>
      <c r="K14" s="99">
        <f t="shared" si="0"/>
        <v>1.1485407739918136</v>
      </c>
      <c r="L14" s="102">
        <v>13.07</v>
      </c>
      <c r="M14" s="99">
        <v>24748.63</v>
      </c>
      <c r="N14" s="103">
        <f t="shared" si="4"/>
        <v>2.4836787182633264</v>
      </c>
      <c r="O14" s="107">
        <v>12.8</v>
      </c>
      <c r="P14" s="99">
        <v>44570.58</v>
      </c>
      <c r="Q14" s="99">
        <f t="shared" si="1"/>
        <v>1.3844660015762391</v>
      </c>
      <c r="R14" s="102">
        <v>12.73</v>
      </c>
      <c r="S14" s="99">
        <v>82026.11</v>
      </c>
      <c r="T14" s="103">
        <f t="shared" si="2"/>
        <v>1.8849860957700568</v>
      </c>
      <c r="U14" s="107">
        <v>12.58</v>
      </c>
      <c r="V14" s="99">
        <v>54611.05</v>
      </c>
      <c r="W14" s="99">
        <f t="shared" si="5"/>
        <v>1.9234674721523479</v>
      </c>
      <c r="X14" s="102">
        <v>12.51</v>
      </c>
      <c r="Y14" s="99">
        <v>59015.23</v>
      </c>
      <c r="Z14" s="103">
        <f t="shared" si="3"/>
        <v>1.2202701181391173</v>
      </c>
      <c r="AA14" s="107">
        <v>12.41</v>
      </c>
      <c r="AB14" s="99">
        <v>58167.83</v>
      </c>
      <c r="AC14" s="99">
        <f t="shared" si="6"/>
        <v>1.3004429146951046</v>
      </c>
      <c r="AD14"/>
      <c r="AE14" s="12"/>
      <c r="AF14" s="25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G14"/>
      <c r="BY14"/>
    </row>
    <row r="15" spans="1:77">
      <c r="B15" s="115" t="s">
        <v>119</v>
      </c>
      <c r="C15" s="133" t="s">
        <v>120</v>
      </c>
      <c r="D15" s="12" t="s">
        <v>121</v>
      </c>
      <c r="E15" s="139" t="s">
        <v>112</v>
      </c>
      <c r="F15" s="15">
        <v>0</v>
      </c>
      <c r="G15" s="154">
        <v>1</v>
      </c>
      <c r="H15" s="2">
        <v>0</v>
      </c>
      <c r="I15" s="181" t="s">
        <v>3</v>
      </c>
      <c r="J15" s="182">
        <v>0</v>
      </c>
      <c r="K15" s="182">
        <f t="shared" si="0"/>
        <v>0</v>
      </c>
      <c r="L15" s="102">
        <v>16.73</v>
      </c>
      <c r="M15" s="99">
        <v>2035.97</v>
      </c>
      <c r="N15" s="103">
        <f t="shared" si="4"/>
        <v>0.204322233595257</v>
      </c>
      <c r="O15" s="107">
        <v>16.420000000000002</v>
      </c>
      <c r="P15" s="99">
        <v>6082.24</v>
      </c>
      <c r="Q15" s="99">
        <f t="shared" si="1"/>
        <v>0.18892853746635258</v>
      </c>
      <c r="R15" s="102">
        <v>17.62</v>
      </c>
      <c r="S15" s="99">
        <v>2414.14</v>
      </c>
      <c r="T15" s="103">
        <f t="shared" si="2"/>
        <v>5.5477705004447056E-2</v>
      </c>
      <c r="U15" s="107">
        <v>17.43</v>
      </c>
      <c r="V15" s="99">
        <v>2739.32</v>
      </c>
      <c r="W15" s="99">
        <f t="shared" si="5"/>
        <v>9.6482175600292791E-2</v>
      </c>
      <c r="X15" s="102">
        <v>17.25</v>
      </c>
      <c r="Y15" s="99">
        <v>2538</v>
      </c>
      <c r="Z15" s="103">
        <f t="shared" si="3"/>
        <v>5.2478750990838804E-2</v>
      </c>
      <c r="AA15" s="107">
        <v>17.14</v>
      </c>
      <c r="AB15" s="99">
        <v>2182.23</v>
      </c>
      <c r="AC15" s="99">
        <f t="shared" si="6"/>
        <v>4.8787543591278862E-2</v>
      </c>
      <c r="AD15"/>
      <c r="AE15" s="12"/>
      <c r="AF15" s="2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G15"/>
      <c r="BY15"/>
    </row>
    <row r="16" spans="1:77">
      <c r="B16" s="115" t="s">
        <v>122</v>
      </c>
      <c r="C16" s="133" t="s">
        <v>123</v>
      </c>
      <c r="D16" s="121" t="s">
        <v>124</v>
      </c>
      <c r="E16" s="139" t="s">
        <v>484</v>
      </c>
      <c r="F16" s="118">
        <v>1</v>
      </c>
      <c r="G16" s="157">
        <v>0</v>
      </c>
      <c r="H16" s="148">
        <v>0</v>
      </c>
      <c r="I16" s="102">
        <v>11.29</v>
      </c>
      <c r="J16" s="99">
        <v>36185.050000000003</v>
      </c>
      <c r="K16" s="99">
        <f t="shared" si="0"/>
        <v>1.2038997928496726</v>
      </c>
      <c r="L16" s="102">
        <v>12.12</v>
      </c>
      <c r="M16" s="99">
        <v>14504.45</v>
      </c>
      <c r="N16" s="103">
        <f t="shared" si="4"/>
        <v>1.4556116352749429</v>
      </c>
      <c r="O16" s="107">
        <v>11.9</v>
      </c>
      <c r="P16" s="99">
        <v>42776.12</v>
      </c>
      <c r="Q16" s="99">
        <f t="shared" si="1"/>
        <v>1.3287258954078094</v>
      </c>
      <c r="R16" s="102">
        <v>11.85</v>
      </c>
      <c r="S16" s="99">
        <v>57241.31</v>
      </c>
      <c r="T16" s="103">
        <f t="shared" si="2"/>
        <v>1.3154235090956221</v>
      </c>
      <c r="U16" s="108" t="s">
        <v>3</v>
      </c>
      <c r="V16" s="104">
        <v>0</v>
      </c>
      <c r="W16" s="104">
        <f t="shared" si="5"/>
        <v>0</v>
      </c>
      <c r="X16" s="102">
        <v>11.61</v>
      </c>
      <c r="Y16" s="99">
        <v>64163.61</v>
      </c>
      <c r="Z16" s="103">
        <f t="shared" si="3"/>
        <v>1.3267242363527558</v>
      </c>
      <c r="AA16" s="107">
        <v>11.57</v>
      </c>
      <c r="AB16" s="99">
        <v>61368.06</v>
      </c>
      <c r="AC16" s="99">
        <f t="shared" si="6"/>
        <v>1.3719896172091011</v>
      </c>
      <c r="AD16"/>
      <c r="AE16" s="12"/>
      <c r="AF16" s="25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G16"/>
      <c r="BY16"/>
    </row>
    <row r="17" spans="1:77">
      <c r="B17" s="115" t="s">
        <v>125</v>
      </c>
      <c r="C17" s="133" t="s">
        <v>123</v>
      </c>
      <c r="D17" s="121" t="s">
        <v>126</v>
      </c>
      <c r="E17" s="142">
        <v>0</v>
      </c>
      <c r="F17" s="118">
        <v>1</v>
      </c>
      <c r="G17" s="157">
        <v>0</v>
      </c>
      <c r="H17" s="148">
        <v>0</v>
      </c>
      <c r="I17" s="102">
        <v>13.26</v>
      </c>
      <c r="J17" s="99">
        <v>32872.35</v>
      </c>
      <c r="K17" s="99">
        <f t="shared" si="0"/>
        <v>1.0936841418066836</v>
      </c>
      <c r="L17" s="102">
        <v>14.46</v>
      </c>
      <c r="M17" s="99">
        <v>9249.73</v>
      </c>
      <c r="N17" s="103">
        <f t="shared" si="4"/>
        <v>0.92826784960144615</v>
      </c>
      <c r="O17" s="107">
        <v>14.17</v>
      </c>
      <c r="P17" s="99">
        <v>41191.71</v>
      </c>
      <c r="Q17" s="99">
        <f t="shared" si="1"/>
        <v>1.279510431360507</v>
      </c>
      <c r="R17" s="102">
        <v>13.95</v>
      </c>
      <c r="S17" s="99">
        <v>33161.47</v>
      </c>
      <c r="T17" s="103">
        <f t="shared" si="2"/>
        <v>0.76206112742998378</v>
      </c>
      <c r="U17" s="107">
        <v>13.86</v>
      </c>
      <c r="V17" s="99">
        <v>22379.38</v>
      </c>
      <c r="W17" s="99">
        <f t="shared" si="5"/>
        <v>0.78822892943711598</v>
      </c>
      <c r="X17" s="102">
        <v>13.75</v>
      </c>
      <c r="Y17" s="99">
        <v>41420.89</v>
      </c>
      <c r="Z17" s="103">
        <f t="shared" si="3"/>
        <v>0.85646831053149131</v>
      </c>
      <c r="AA17" s="107">
        <v>13.67</v>
      </c>
      <c r="AB17" s="99">
        <v>40398.410000000003</v>
      </c>
      <c r="AC17" s="99">
        <f t="shared" si="6"/>
        <v>0.9031766536494118</v>
      </c>
      <c r="AD17"/>
      <c r="AE17" s="12"/>
      <c r="AF17" s="25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G17"/>
      <c r="BY17"/>
    </row>
    <row r="18" spans="1:77">
      <c r="B18" s="115" t="s">
        <v>127</v>
      </c>
      <c r="C18" s="133" t="s">
        <v>128</v>
      </c>
      <c r="D18" s="12" t="s">
        <v>129</v>
      </c>
      <c r="E18" s="139">
        <v>0</v>
      </c>
      <c r="F18" s="15">
        <v>1</v>
      </c>
      <c r="G18" s="154">
        <v>0</v>
      </c>
      <c r="H18" s="2">
        <v>0</v>
      </c>
      <c r="I18" s="102">
        <v>12.97</v>
      </c>
      <c r="J18" s="99">
        <v>7704.66</v>
      </c>
      <c r="K18" s="99">
        <f t="shared" si="0"/>
        <v>0.25633897363627128</v>
      </c>
      <c r="L18" s="102" t="s">
        <v>130</v>
      </c>
      <c r="M18" s="99">
        <v>3351.8</v>
      </c>
      <c r="N18" s="103">
        <f t="shared" si="4"/>
        <v>0.33637394586589314</v>
      </c>
      <c r="O18" s="107">
        <v>13.79</v>
      </c>
      <c r="P18" s="99">
        <v>13893.76</v>
      </c>
      <c r="Q18" s="99">
        <f t="shared" si="1"/>
        <v>0.43157253852339117</v>
      </c>
      <c r="R18" s="102">
        <v>13.7</v>
      </c>
      <c r="S18" s="99">
        <v>10086.33</v>
      </c>
      <c r="T18" s="103">
        <f t="shared" si="2"/>
        <v>0.23178707130386161</v>
      </c>
      <c r="U18" s="107">
        <v>13.57</v>
      </c>
      <c r="V18" s="99">
        <v>6746.74</v>
      </c>
      <c r="W18" s="99">
        <f t="shared" si="5"/>
        <v>0.23762837251928193</v>
      </c>
      <c r="X18" s="102">
        <v>13.45</v>
      </c>
      <c r="Y18" s="99">
        <v>10442.51</v>
      </c>
      <c r="Z18" s="103">
        <f t="shared" si="3"/>
        <v>0.21592193932598269</v>
      </c>
      <c r="AA18" s="107">
        <v>13.28</v>
      </c>
      <c r="AB18" s="99">
        <v>10487.53</v>
      </c>
      <c r="AC18" s="99">
        <f t="shared" si="6"/>
        <v>0.23446695675517468</v>
      </c>
      <c r="AD18"/>
      <c r="AE18" s="12"/>
      <c r="AF18" s="25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G18"/>
      <c r="BY18"/>
    </row>
    <row r="19" spans="1:77">
      <c r="B19" s="115">
        <v>708</v>
      </c>
      <c r="C19" s="133" t="s">
        <v>131</v>
      </c>
      <c r="D19" s="12" t="s">
        <v>132</v>
      </c>
      <c r="E19" s="140">
        <v>0</v>
      </c>
      <c r="F19" s="117">
        <v>0</v>
      </c>
      <c r="G19" s="155">
        <v>1</v>
      </c>
      <c r="H19" s="130">
        <v>0</v>
      </c>
      <c r="I19" s="102" t="s">
        <v>139</v>
      </c>
      <c r="J19" s="99">
        <v>2745.07</v>
      </c>
      <c r="K19" s="99">
        <f t="shared" si="0"/>
        <v>9.1330237331656322E-2</v>
      </c>
      <c r="L19" s="102" t="s">
        <v>133</v>
      </c>
      <c r="M19" s="99">
        <v>1049.8599999999999</v>
      </c>
      <c r="N19" s="103">
        <f t="shared" si="4"/>
        <v>0.10535997100267512</v>
      </c>
      <c r="O19" s="107" t="s">
        <v>134</v>
      </c>
      <c r="P19" s="99">
        <v>5526.77</v>
      </c>
      <c r="Q19" s="99">
        <f t="shared" si="1"/>
        <v>0.17167434580235463</v>
      </c>
      <c r="R19" s="102" t="s">
        <v>135</v>
      </c>
      <c r="S19" s="99">
        <v>4595.5600000000004</v>
      </c>
      <c r="T19" s="103">
        <f t="shared" si="2"/>
        <v>0.10560743039353009</v>
      </c>
      <c r="U19" s="107" t="s">
        <v>136</v>
      </c>
      <c r="V19" s="99">
        <v>4061.99</v>
      </c>
      <c r="W19" s="99">
        <f t="shared" si="5"/>
        <v>0.14306821856031179</v>
      </c>
      <c r="X19" s="102" t="s">
        <v>137</v>
      </c>
      <c r="Y19" s="99">
        <v>4574.9399999999996</v>
      </c>
      <c r="Z19" s="103">
        <f t="shared" si="3"/>
        <v>9.4596980716323123E-2</v>
      </c>
      <c r="AA19" s="107" t="s">
        <v>138</v>
      </c>
      <c r="AB19" s="99">
        <v>4130.59</v>
      </c>
      <c r="AC19" s="99">
        <f t="shared" si="6"/>
        <v>9.2346516949496874E-2</v>
      </c>
      <c r="AD19"/>
      <c r="AE19" s="12"/>
      <c r="AF19" s="25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G19"/>
      <c r="BY19"/>
    </row>
    <row r="20" spans="1:77">
      <c r="A20" s="113"/>
      <c r="B20" s="115" t="s">
        <v>140</v>
      </c>
      <c r="C20" s="133" t="s">
        <v>141</v>
      </c>
      <c r="D20" s="83" t="s">
        <v>142</v>
      </c>
      <c r="E20" s="143">
        <v>0</v>
      </c>
      <c r="F20" s="119">
        <v>1</v>
      </c>
      <c r="G20" s="158">
        <v>0</v>
      </c>
      <c r="H20" s="149">
        <v>0</v>
      </c>
      <c r="I20" s="102">
        <v>11.51</v>
      </c>
      <c r="J20" s="99">
        <v>735504.38</v>
      </c>
      <c r="K20" s="99">
        <f t="shared" si="0"/>
        <v>24.470701870579891</v>
      </c>
      <c r="L20" s="102">
        <v>12.3</v>
      </c>
      <c r="M20" s="99">
        <v>220390.01</v>
      </c>
      <c r="N20" s="103">
        <f t="shared" si="4"/>
        <v>22.117506203569317</v>
      </c>
      <c r="O20" s="107">
        <v>12.09</v>
      </c>
      <c r="P20" s="99">
        <v>805563.99</v>
      </c>
      <c r="Q20" s="99">
        <f t="shared" si="1"/>
        <v>25.02269336071241</v>
      </c>
      <c r="R20" s="102">
        <v>12.02</v>
      </c>
      <c r="S20" s="99">
        <v>1159690.6399999999</v>
      </c>
      <c r="T20" s="103">
        <f t="shared" si="2"/>
        <v>26.650059740668897</v>
      </c>
      <c r="U20" s="107">
        <v>11.93</v>
      </c>
      <c r="V20" s="99">
        <v>750306.22</v>
      </c>
      <c r="W20" s="99">
        <f>V20/$V$61*100</f>
        <v>26.426695848616411</v>
      </c>
      <c r="X20" s="102">
        <v>11.85</v>
      </c>
      <c r="Y20" s="99">
        <v>1219942.73</v>
      </c>
      <c r="Z20" s="103">
        <f>Y20/$Y$61*100</f>
        <v>25.225008176026044</v>
      </c>
      <c r="AA20" s="107">
        <v>11.71</v>
      </c>
      <c r="AB20" s="99">
        <v>1162156.8899999999</v>
      </c>
      <c r="AC20" s="99">
        <f>AB20/$AB$61*100</f>
        <v>25.982036692181882</v>
      </c>
      <c r="AD20"/>
      <c r="AE20" s="12"/>
      <c r="AF20" s="25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G20"/>
      <c r="BY20"/>
    </row>
    <row r="21" spans="1:77">
      <c r="B21" s="115" t="s">
        <v>143</v>
      </c>
      <c r="C21" s="133" t="s">
        <v>141</v>
      </c>
      <c r="D21" s="12" t="s">
        <v>144</v>
      </c>
      <c r="E21" s="139">
        <v>0</v>
      </c>
      <c r="F21" s="15">
        <v>1</v>
      </c>
      <c r="G21" s="154">
        <v>0</v>
      </c>
      <c r="H21" s="2">
        <v>0</v>
      </c>
      <c r="I21" s="102">
        <v>14.14</v>
      </c>
      <c r="J21" s="99">
        <v>147493.92000000001</v>
      </c>
      <c r="K21" s="99">
        <f t="shared" si="0"/>
        <v>4.9072171997713472</v>
      </c>
      <c r="L21" s="102">
        <v>15.43</v>
      </c>
      <c r="M21" s="99">
        <v>42948.3</v>
      </c>
      <c r="N21" s="103">
        <f t="shared" si="4"/>
        <v>4.3101286291640717</v>
      </c>
      <c r="O21" s="107">
        <v>15.1</v>
      </c>
      <c r="P21" s="99">
        <v>176049.71</v>
      </c>
      <c r="Q21" s="99">
        <f t="shared" si="1"/>
        <v>5.4685139408631533</v>
      </c>
      <c r="R21" s="102">
        <v>14.91</v>
      </c>
      <c r="S21" s="99">
        <v>188992.72</v>
      </c>
      <c r="T21" s="103">
        <f t="shared" si="2"/>
        <v>4.3431128137341091</v>
      </c>
      <c r="U21" s="107">
        <v>14.84</v>
      </c>
      <c r="V21" s="99">
        <v>109493.51</v>
      </c>
      <c r="W21" s="99">
        <f t="shared" si="5"/>
        <v>3.8564943339633242</v>
      </c>
      <c r="X21" s="102">
        <v>14.63</v>
      </c>
      <c r="Y21" s="99">
        <v>246061.42</v>
      </c>
      <c r="Z21" s="103">
        <f t="shared" si="3"/>
        <v>5.0878628796817198</v>
      </c>
      <c r="AA21" s="107">
        <v>14.51</v>
      </c>
      <c r="AB21" s="99">
        <v>225773.87</v>
      </c>
      <c r="AC21" s="99">
        <f t="shared" si="6"/>
        <v>5.0475671787101852</v>
      </c>
      <c r="AD21"/>
      <c r="AE21" s="12"/>
      <c r="AF21" s="25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G21"/>
      <c r="BY21"/>
    </row>
    <row r="22" spans="1:77">
      <c r="A22" s="113"/>
      <c r="B22" s="115" t="s">
        <v>145</v>
      </c>
      <c r="C22" s="133" t="s">
        <v>146</v>
      </c>
      <c r="D22" s="83" t="s">
        <v>147</v>
      </c>
      <c r="E22" s="143">
        <v>0</v>
      </c>
      <c r="F22" s="119">
        <v>1</v>
      </c>
      <c r="G22" s="158">
        <v>0</v>
      </c>
      <c r="H22" s="149">
        <v>0</v>
      </c>
      <c r="I22" s="102">
        <v>11.33</v>
      </c>
      <c r="J22" s="99">
        <v>343963.65</v>
      </c>
      <c r="K22" s="99">
        <f t="shared" si="0"/>
        <v>11.443890971072786</v>
      </c>
      <c r="L22" s="102">
        <v>12.16</v>
      </c>
      <c r="M22" s="99">
        <v>137835.96</v>
      </c>
      <c r="N22" s="103">
        <f t="shared" si="4"/>
        <v>13.832694596161287</v>
      </c>
      <c r="O22" s="107">
        <v>11.9</v>
      </c>
      <c r="P22" s="99">
        <v>345967.72</v>
      </c>
      <c r="Q22" s="99">
        <f t="shared" si="1"/>
        <v>10.746563001487704</v>
      </c>
      <c r="R22" s="102">
        <v>11.85</v>
      </c>
      <c r="S22" s="99">
        <v>602163.5</v>
      </c>
      <c r="T22" s="103">
        <f t="shared" si="2"/>
        <v>13.837908744913449</v>
      </c>
      <c r="U22" s="107">
        <v>11.79</v>
      </c>
      <c r="V22" s="99">
        <v>463391.58</v>
      </c>
      <c r="W22" s="99">
        <f t="shared" si="5"/>
        <v>16.321213948446012</v>
      </c>
      <c r="X22" s="102">
        <v>11.72</v>
      </c>
      <c r="Y22" s="99">
        <v>617500.26</v>
      </c>
      <c r="Z22" s="103">
        <f t="shared" si="3"/>
        <v>12.768180607296383</v>
      </c>
      <c r="AA22" s="107">
        <v>11.57</v>
      </c>
      <c r="AB22" s="99">
        <v>585675.36</v>
      </c>
      <c r="AC22" s="99">
        <f t="shared" si="6"/>
        <v>13.093790368722791</v>
      </c>
      <c r="AD22"/>
      <c r="AE22" s="12"/>
      <c r="AF22" s="25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G22"/>
      <c r="BY22"/>
    </row>
    <row r="23" spans="1:77">
      <c r="B23" s="115" t="s">
        <v>148</v>
      </c>
      <c r="C23" s="133" t="s">
        <v>146</v>
      </c>
      <c r="D23" s="12" t="s">
        <v>149</v>
      </c>
      <c r="E23" s="139">
        <v>0</v>
      </c>
      <c r="F23" s="15">
        <v>1</v>
      </c>
      <c r="G23" s="154">
        <v>0</v>
      </c>
      <c r="H23" s="2">
        <v>0</v>
      </c>
      <c r="I23" s="102">
        <v>13.9</v>
      </c>
      <c r="J23" s="99">
        <v>64481.98</v>
      </c>
      <c r="K23" s="99">
        <f t="shared" si="0"/>
        <v>2.1453567803426203</v>
      </c>
      <c r="L23" s="102">
        <v>15.24</v>
      </c>
      <c r="M23" s="99">
        <v>18167.400000000001</v>
      </c>
      <c r="N23" s="103">
        <f t="shared" si="4"/>
        <v>1.8232114159926089</v>
      </c>
      <c r="O23" s="107">
        <v>14.87</v>
      </c>
      <c r="P23" s="99">
        <v>75494.31</v>
      </c>
      <c r="Q23" s="99">
        <f t="shared" si="1"/>
        <v>2.345029064182182</v>
      </c>
      <c r="R23" s="102">
        <v>14.67</v>
      </c>
      <c r="S23" s="99">
        <v>77922.210000000006</v>
      </c>
      <c r="T23" s="103">
        <f t="shared" si="2"/>
        <v>1.7906771685463871</v>
      </c>
      <c r="U23" s="107">
        <v>14.6</v>
      </c>
      <c r="V23" s="99">
        <v>56274.34</v>
      </c>
      <c r="W23" s="99">
        <f t="shared" si="5"/>
        <v>1.9820505649834925</v>
      </c>
      <c r="X23" s="102">
        <v>14.44</v>
      </c>
      <c r="Y23" s="99">
        <v>99394.559999999998</v>
      </c>
      <c r="Z23" s="103">
        <f t="shared" si="3"/>
        <v>2.0552018771016494</v>
      </c>
      <c r="AA23" s="107">
        <v>14.31</v>
      </c>
      <c r="AB23" s="99">
        <v>90741.98</v>
      </c>
      <c r="AC23" s="99">
        <f t="shared" si="6"/>
        <v>2.028694640257422</v>
      </c>
      <c r="AD23"/>
      <c r="AE23" s="12"/>
      <c r="AF23" s="25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G23"/>
      <c r="BY23"/>
    </row>
    <row r="24" spans="1:77">
      <c r="B24" s="115" t="s">
        <v>150</v>
      </c>
      <c r="C24" s="133" t="s">
        <v>151</v>
      </c>
      <c r="D24" s="12" t="s">
        <v>152</v>
      </c>
      <c r="E24" s="139" t="s">
        <v>112</v>
      </c>
      <c r="F24" s="15">
        <v>0</v>
      </c>
      <c r="G24" s="154">
        <v>0</v>
      </c>
      <c r="H24" s="2" t="s">
        <v>153</v>
      </c>
      <c r="I24" s="102">
        <v>9.8800000000000008</v>
      </c>
      <c r="J24" s="99">
        <v>18697.38</v>
      </c>
      <c r="K24" s="99">
        <f t="shared" si="0"/>
        <v>0.6220738097316878</v>
      </c>
      <c r="L24" s="102">
        <v>10.39</v>
      </c>
      <c r="M24" s="99">
        <v>10255.07</v>
      </c>
      <c r="N24" s="103">
        <f t="shared" si="4"/>
        <v>1.0291599621191432</v>
      </c>
      <c r="O24" s="107">
        <v>10.3</v>
      </c>
      <c r="P24" s="99">
        <v>30056.41</v>
      </c>
      <c r="Q24" s="99">
        <f t="shared" si="1"/>
        <v>0.93362208376996869</v>
      </c>
      <c r="R24" s="102">
        <v>10.27</v>
      </c>
      <c r="S24" s="99">
        <v>32053.88</v>
      </c>
      <c r="T24" s="103">
        <f t="shared" si="2"/>
        <v>0.73660835696684768</v>
      </c>
      <c r="U24" s="107">
        <v>10.25</v>
      </c>
      <c r="V24" s="99">
        <v>25230.73</v>
      </c>
      <c r="W24" s="99">
        <f t="shared" si="5"/>
        <v>0.88865693762816145</v>
      </c>
      <c r="X24" s="102" t="s">
        <v>154</v>
      </c>
      <c r="Y24" s="99">
        <v>28216.59</v>
      </c>
      <c r="Z24" s="103">
        <f t="shared" si="3"/>
        <v>0.58344026809322003</v>
      </c>
      <c r="AA24" s="107" t="s">
        <v>155</v>
      </c>
      <c r="AB24" s="99">
        <v>25452.52</v>
      </c>
      <c r="AC24" s="99">
        <f t="shared" si="6"/>
        <v>0.56903531204680391</v>
      </c>
      <c r="AD24"/>
      <c r="AE24" s="12"/>
      <c r="AF24" s="25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G24"/>
      <c r="BY24"/>
    </row>
    <row r="25" spans="1:77">
      <c r="B25" s="115" t="s">
        <v>156</v>
      </c>
      <c r="C25" s="133" t="s">
        <v>151</v>
      </c>
      <c r="D25" s="115" t="s">
        <v>157</v>
      </c>
      <c r="E25" s="140">
        <v>0</v>
      </c>
      <c r="F25" s="117">
        <v>0</v>
      </c>
      <c r="G25" s="155">
        <v>0</v>
      </c>
      <c r="H25" s="130" t="s">
        <v>158</v>
      </c>
      <c r="I25" s="102" t="s">
        <v>164</v>
      </c>
      <c r="J25" s="99">
        <v>10706</v>
      </c>
      <c r="K25" s="99">
        <f t="shared" si="0"/>
        <v>0.35619547802887092</v>
      </c>
      <c r="L25" s="102">
        <v>16.54</v>
      </c>
      <c r="M25" s="99">
        <v>4094.16</v>
      </c>
      <c r="N25" s="103">
        <f t="shared" si="4"/>
        <v>0.41087438218458883</v>
      </c>
      <c r="O25" s="107" t="s">
        <v>159</v>
      </c>
      <c r="P25" s="99">
        <v>9681.5</v>
      </c>
      <c r="Q25" s="99">
        <f t="shared" si="1"/>
        <v>0.30072993428087225</v>
      </c>
      <c r="R25" s="102" t="s">
        <v>160</v>
      </c>
      <c r="S25" s="99">
        <v>11270.5</v>
      </c>
      <c r="T25" s="103">
        <f t="shared" si="2"/>
        <v>0.25899967452286138</v>
      </c>
      <c r="U25" s="107" t="s">
        <v>161</v>
      </c>
      <c r="V25" s="99">
        <v>8572.9</v>
      </c>
      <c r="W25" s="99">
        <f t="shared" si="5"/>
        <v>0.30194794445473694</v>
      </c>
      <c r="X25" s="102" t="s">
        <v>162</v>
      </c>
      <c r="Y25" s="99">
        <v>11588.2</v>
      </c>
      <c r="Z25" s="103">
        <f t="shared" si="3"/>
        <v>0.23961160844445953</v>
      </c>
      <c r="AA25" s="107" t="s">
        <v>163</v>
      </c>
      <c r="AB25" s="99">
        <v>11697.2</v>
      </c>
      <c r="AC25" s="99">
        <f t="shared" si="6"/>
        <v>0.26151123158232958</v>
      </c>
      <c r="AD25"/>
      <c r="AE25" s="12"/>
      <c r="AF25" s="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G25"/>
      <c r="BY25"/>
    </row>
    <row r="26" spans="1:77">
      <c r="B26" s="115" t="s">
        <v>165</v>
      </c>
      <c r="C26" s="133" t="s">
        <v>151</v>
      </c>
      <c r="D26" s="35" t="s">
        <v>166</v>
      </c>
      <c r="E26" s="139" t="s">
        <v>112</v>
      </c>
      <c r="F26" s="15">
        <v>0</v>
      </c>
      <c r="G26" s="154">
        <v>0</v>
      </c>
      <c r="H26" s="150" t="s">
        <v>108</v>
      </c>
      <c r="I26" s="102">
        <v>17.600000000000001</v>
      </c>
      <c r="J26" s="99">
        <v>15567.85</v>
      </c>
      <c r="K26" s="99">
        <f t="shared" si="0"/>
        <v>0.5179523419233848</v>
      </c>
      <c r="L26" s="102">
        <v>19.350000000000001</v>
      </c>
      <c r="M26" s="99">
        <v>10230.280000000001</v>
      </c>
      <c r="N26" s="103">
        <f t="shared" si="4"/>
        <v>1.0266721316644576</v>
      </c>
      <c r="O26" s="107">
        <v>18.95</v>
      </c>
      <c r="P26" s="99">
        <v>24466.06</v>
      </c>
      <c r="Q26" s="99">
        <f t="shared" si="1"/>
        <v>0.75997279511562033</v>
      </c>
      <c r="R26" s="102">
        <v>18.7</v>
      </c>
      <c r="S26" s="99">
        <v>25528.71</v>
      </c>
      <c r="T26" s="103">
        <f t="shared" si="2"/>
        <v>0.58665787507107192</v>
      </c>
      <c r="U26" s="107">
        <v>18.510000000000002</v>
      </c>
      <c r="V26" s="99">
        <v>19979.97</v>
      </c>
      <c r="W26" s="99">
        <f t="shared" si="5"/>
        <v>0.70371879664609538</v>
      </c>
      <c r="X26" s="102">
        <v>18.27</v>
      </c>
      <c r="Y26" s="99">
        <v>21171.29</v>
      </c>
      <c r="Z26" s="103">
        <f t="shared" si="3"/>
        <v>0.43776314265753974</v>
      </c>
      <c r="AA26" s="107">
        <v>18.170000000000002</v>
      </c>
      <c r="AB26" s="99">
        <v>22014.59</v>
      </c>
      <c r="AC26" s="99">
        <f t="shared" si="6"/>
        <v>0.49217441299456599</v>
      </c>
      <c r="AD26"/>
      <c r="AE26" s="12"/>
      <c r="AF26" s="25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G26"/>
      <c r="BY26"/>
    </row>
    <row r="27" spans="1:77">
      <c r="B27" s="115" t="s">
        <v>167</v>
      </c>
      <c r="C27" s="133" t="s">
        <v>151</v>
      </c>
      <c r="D27" s="35" t="s">
        <v>168</v>
      </c>
      <c r="E27" s="139" t="s">
        <v>483</v>
      </c>
      <c r="F27" s="15">
        <v>0</v>
      </c>
      <c r="G27" s="154">
        <v>0</v>
      </c>
      <c r="H27" s="150" t="s">
        <v>108</v>
      </c>
      <c r="I27" s="102">
        <v>21.68</v>
      </c>
      <c r="J27" s="99">
        <v>76351.759999999995</v>
      </c>
      <c r="K27" s="99">
        <f t="shared" si="0"/>
        <v>2.5402719644634431</v>
      </c>
      <c r="L27" s="102">
        <v>23.92</v>
      </c>
      <c r="M27" s="99">
        <v>35745.870000000003</v>
      </c>
      <c r="N27" s="103">
        <f t="shared" si="4"/>
        <v>3.5873200490211983</v>
      </c>
      <c r="O27" s="107">
        <v>23.42</v>
      </c>
      <c r="P27" s="99">
        <v>102027.76</v>
      </c>
      <c r="Q27" s="99">
        <f t="shared" si="1"/>
        <v>3.1692198068093385</v>
      </c>
      <c r="R27" s="102">
        <v>23.08</v>
      </c>
      <c r="S27" s="99">
        <v>124815.63</v>
      </c>
      <c r="T27" s="103">
        <f t="shared" si="2"/>
        <v>2.8683028743503742</v>
      </c>
      <c r="U27" s="107">
        <v>22.82</v>
      </c>
      <c r="V27" s="99">
        <v>75312.850000000006</v>
      </c>
      <c r="W27" s="99">
        <f t="shared" si="5"/>
        <v>2.6526099976120028</v>
      </c>
      <c r="X27" s="102">
        <v>22.55</v>
      </c>
      <c r="Y27" s="99">
        <v>92665.47</v>
      </c>
      <c r="Z27" s="103">
        <f t="shared" si="3"/>
        <v>1.9160630912446981</v>
      </c>
      <c r="AA27" s="107">
        <v>22.36</v>
      </c>
      <c r="AB27" s="99">
        <v>89560.04</v>
      </c>
      <c r="AC27" s="99">
        <f t="shared" si="6"/>
        <v>2.002270317765166</v>
      </c>
      <c r="AD27"/>
      <c r="AE27" s="12"/>
      <c r="AF27" s="25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G27"/>
      <c r="BY27"/>
    </row>
    <row r="28" spans="1:77">
      <c r="A28" s="113"/>
      <c r="B28" s="115" t="s">
        <v>169</v>
      </c>
      <c r="C28" s="133" t="s">
        <v>170</v>
      </c>
      <c r="D28" s="12" t="s">
        <v>171</v>
      </c>
      <c r="E28" s="139" t="s">
        <v>112</v>
      </c>
      <c r="F28" s="15">
        <v>0</v>
      </c>
      <c r="G28" s="154">
        <v>0</v>
      </c>
      <c r="H28" s="2">
        <v>0</v>
      </c>
      <c r="I28" s="102">
        <v>14.56</v>
      </c>
      <c r="J28" s="99">
        <v>21470.65</v>
      </c>
      <c r="K28" s="99">
        <f t="shared" si="0"/>
        <v>0.71434227912764592</v>
      </c>
      <c r="L28" s="105" t="s">
        <v>3</v>
      </c>
      <c r="M28" s="104">
        <v>0</v>
      </c>
      <c r="N28" s="109">
        <f t="shared" si="4"/>
        <v>0</v>
      </c>
      <c r="O28" s="108" t="s">
        <v>3</v>
      </c>
      <c r="P28" s="104">
        <v>0</v>
      </c>
      <c r="Q28" s="104">
        <f t="shared" si="1"/>
        <v>0</v>
      </c>
      <c r="R28" s="102">
        <v>15.48</v>
      </c>
      <c r="S28" s="99">
        <v>3286.02</v>
      </c>
      <c r="T28" s="103">
        <f t="shared" si="2"/>
        <v>7.5513784701265518E-2</v>
      </c>
      <c r="U28" s="107">
        <v>15.35</v>
      </c>
      <c r="V28" s="99">
        <v>18009.689999999999</v>
      </c>
      <c r="W28" s="99">
        <f t="shared" si="5"/>
        <v>0.63432314336654239</v>
      </c>
      <c r="X28" s="102">
        <v>15.15</v>
      </c>
      <c r="Y28" s="99">
        <v>30307.62</v>
      </c>
      <c r="Z28" s="103">
        <f t="shared" si="3"/>
        <v>0.62667692793733887</v>
      </c>
      <c r="AA28" s="107">
        <v>15.07</v>
      </c>
      <c r="AB28" s="99">
        <v>32364.12</v>
      </c>
      <c r="AC28" s="99">
        <f t="shared" si="6"/>
        <v>0.72355613995471602</v>
      </c>
      <c r="AD28"/>
      <c r="AE28" s="12"/>
      <c r="AF28" s="25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G28"/>
      <c r="BY28"/>
    </row>
    <row r="29" spans="1:77">
      <c r="B29" s="115" t="s">
        <v>172</v>
      </c>
      <c r="C29" s="133" t="s">
        <v>173</v>
      </c>
      <c r="D29" s="12" t="s">
        <v>174</v>
      </c>
      <c r="E29" s="139" t="s">
        <v>112</v>
      </c>
      <c r="F29" s="15">
        <v>0</v>
      </c>
      <c r="G29" s="154">
        <v>1</v>
      </c>
      <c r="H29" s="2" t="s">
        <v>153</v>
      </c>
      <c r="I29" s="102" t="s">
        <v>179</v>
      </c>
      <c r="J29" s="99">
        <v>2392.3000000000002</v>
      </c>
      <c r="K29" s="99">
        <f t="shared" si="0"/>
        <v>7.9593353454928822E-2</v>
      </c>
      <c r="L29" s="105" t="s">
        <v>3</v>
      </c>
      <c r="M29" s="104">
        <v>0</v>
      </c>
      <c r="N29" s="109">
        <f t="shared" si="4"/>
        <v>0</v>
      </c>
      <c r="O29" s="108" t="s">
        <v>3</v>
      </c>
      <c r="P29" s="104">
        <v>0</v>
      </c>
      <c r="Q29" s="104">
        <f t="shared" si="1"/>
        <v>0</v>
      </c>
      <c r="R29" s="111" t="s">
        <v>175</v>
      </c>
      <c r="S29" s="99">
        <v>4759.7299999999996</v>
      </c>
      <c r="T29" s="103">
        <f t="shared" si="2"/>
        <v>0.1093801092069295</v>
      </c>
      <c r="U29" s="107" t="s">
        <v>176</v>
      </c>
      <c r="V29" s="99">
        <v>5692</v>
      </c>
      <c r="W29" s="99">
        <f t="shared" si="5"/>
        <v>0.20047914939359643</v>
      </c>
      <c r="X29" s="111" t="s">
        <v>177</v>
      </c>
      <c r="Y29" s="99">
        <v>5142.47</v>
      </c>
      <c r="Z29" s="103">
        <f t="shared" si="3"/>
        <v>0.10633191592114216</v>
      </c>
      <c r="AA29" s="107" t="s">
        <v>178</v>
      </c>
      <c r="AB29" s="99">
        <v>4855.51</v>
      </c>
      <c r="AC29" s="99">
        <f t="shared" si="6"/>
        <v>0.10855336320318686</v>
      </c>
      <c r="AD29"/>
      <c r="AE29" s="12"/>
      <c r="AF29" s="25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G29"/>
      <c r="BY29"/>
    </row>
    <row r="30" spans="1:77">
      <c r="B30" s="115">
        <v>821</v>
      </c>
      <c r="C30" s="133" t="s">
        <v>180</v>
      </c>
      <c r="D30" s="12" t="s">
        <v>181</v>
      </c>
      <c r="E30" s="139" t="s">
        <v>484</v>
      </c>
      <c r="F30" s="15">
        <v>1</v>
      </c>
      <c r="G30" s="154">
        <v>0</v>
      </c>
      <c r="H30" s="2" t="s">
        <v>108</v>
      </c>
      <c r="I30" s="102">
        <v>24.07</v>
      </c>
      <c r="J30" s="99">
        <v>46669.49</v>
      </c>
      <c r="K30" s="99">
        <f t="shared" si="0"/>
        <v>1.5527238277520652</v>
      </c>
      <c r="L30" s="102">
        <v>26.51</v>
      </c>
      <c r="M30" s="99">
        <v>10283.049999999999</v>
      </c>
      <c r="N30" s="103">
        <f t="shared" si="4"/>
        <v>1.0319679288848593</v>
      </c>
      <c r="O30" s="107">
        <v>25.86</v>
      </c>
      <c r="P30" s="99">
        <v>37910.300000000003</v>
      </c>
      <c r="Q30" s="99">
        <f t="shared" si="1"/>
        <v>1.1775821956895267</v>
      </c>
      <c r="R30" s="102">
        <v>25.47</v>
      </c>
      <c r="S30" s="99">
        <v>51564.2</v>
      </c>
      <c r="T30" s="103">
        <f t="shared" si="2"/>
        <v>1.1849617157208401</v>
      </c>
      <c r="U30" s="107">
        <v>25.17</v>
      </c>
      <c r="V30" s="99">
        <v>26421.82</v>
      </c>
      <c r="W30" s="99">
        <f t="shared" si="5"/>
        <v>0.93060857326611279</v>
      </c>
      <c r="X30" s="102">
        <v>24.89</v>
      </c>
      <c r="Y30" s="99">
        <v>59518.63</v>
      </c>
      <c r="Z30" s="103">
        <f t="shared" si="3"/>
        <v>1.2306790240685059</v>
      </c>
      <c r="AA30" s="107">
        <v>24.72</v>
      </c>
      <c r="AB30" s="99">
        <v>52412.45</v>
      </c>
      <c r="AC30" s="99">
        <f t="shared" si="6"/>
        <v>1.1717713939872165</v>
      </c>
      <c r="AD30"/>
      <c r="AE30" s="12"/>
      <c r="AF30" s="25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G30"/>
      <c r="BY30"/>
    </row>
    <row r="31" spans="1:77">
      <c r="B31" s="115">
        <v>829</v>
      </c>
      <c r="C31" s="133" t="s">
        <v>182</v>
      </c>
      <c r="D31" s="12" t="s">
        <v>183</v>
      </c>
      <c r="E31" s="139" t="s">
        <v>486</v>
      </c>
      <c r="F31" s="15">
        <v>0</v>
      </c>
      <c r="G31" s="154">
        <v>1</v>
      </c>
      <c r="H31" s="2">
        <v>0</v>
      </c>
      <c r="I31" s="181" t="s">
        <v>3</v>
      </c>
      <c r="J31" s="182">
        <v>0</v>
      </c>
      <c r="K31" s="182">
        <f t="shared" si="0"/>
        <v>0</v>
      </c>
      <c r="L31" s="181" t="s">
        <v>3</v>
      </c>
      <c r="M31" s="182">
        <v>0</v>
      </c>
      <c r="N31" s="183">
        <f t="shared" si="4"/>
        <v>0</v>
      </c>
      <c r="O31" s="184" t="s">
        <v>3</v>
      </c>
      <c r="P31" s="182">
        <v>0</v>
      </c>
      <c r="Q31" s="182">
        <f t="shared" si="1"/>
        <v>0</v>
      </c>
      <c r="R31" s="102">
        <v>17.43</v>
      </c>
      <c r="S31" s="99">
        <v>2405.2199999999998</v>
      </c>
      <c r="T31" s="103">
        <f t="shared" si="2"/>
        <v>5.5272720567488276E-2</v>
      </c>
      <c r="U31" s="184" t="s">
        <v>3</v>
      </c>
      <c r="V31" s="182">
        <v>0</v>
      </c>
      <c r="W31" s="182">
        <f t="shared" si="5"/>
        <v>0</v>
      </c>
      <c r="X31" s="102">
        <v>16.96</v>
      </c>
      <c r="Y31" s="99">
        <v>2928.21</v>
      </c>
      <c r="Z31" s="103">
        <f t="shared" si="3"/>
        <v>6.0547203876628881E-2</v>
      </c>
      <c r="AA31" s="107">
        <v>16.850000000000001</v>
      </c>
      <c r="AB31" s="99">
        <v>3501.68</v>
      </c>
      <c r="AC31" s="99">
        <f t="shared" si="6"/>
        <v>7.8286141077113486E-2</v>
      </c>
      <c r="AD31"/>
      <c r="AE31" s="12"/>
      <c r="AF31" s="25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G31"/>
      <c r="BY31"/>
    </row>
    <row r="32" spans="1:77">
      <c r="B32" s="115">
        <v>837</v>
      </c>
      <c r="C32" s="133" t="s">
        <v>184</v>
      </c>
      <c r="D32" s="12" t="s">
        <v>185</v>
      </c>
      <c r="E32" s="139" t="s">
        <v>484</v>
      </c>
      <c r="F32" s="15">
        <v>1</v>
      </c>
      <c r="G32" s="154">
        <v>0</v>
      </c>
      <c r="H32" s="2" t="s">
        <v>108</v>
      </c>
      <c r="I32" s="102">
        <v>24.07</v>
      </c>
      <c r="J32" s="99">
        <v>11343.96</v>
      </c>
      <c r="K32" s="99">
        <f t="shared" si="0"/>
        <v>0.37742081589205961</v>
      </c>
      <c r="L32" s="102" t="s">
        <v>186</v>
      </c>
      <c r="M32" s="99">
        <v>6612.7</v>
      </c>
      <c r="N32" s="103">
        <f t="shared" si="4"/>
        <v>0.66362551221057076</v>
      </c>
      <c r="O32" s="107">
        <v>25.86</v>
      </c>
      <c r="P32" s="99">
        <v>10024.76</v>
      </c>
      <c r="Q32" s="99">
        <f t="shared" si="1"/>
        <v>0.31139238919397993</v>
      </c>
      <c r="R32" s="102">
        <v>25.42</v>
      </c>
      <c r="S32" s="99">
        <v>13021.86</v>
      </c>
      <c r="T32" s="103">
        <f t="shared" si="2"/>
        <v>0.29924648433363804</v>
      </c>
      <c r="U32" s="107">
        <v>25.12</v>
      </c>
      <c r="V32" s="99">
        <v>9746.39</v>
      </c>
      <c r="W32" s="99">
        <f t="shared" si="5"/>
        <v>0.3432796867284354</v>
      </c>
      <c r="X32" s="102">
        <v>24.89</v>
      </c>
      <c r="Y32" s="99">
        <v>15567.43</v>
      </c>
      <c r="Z32" s="103">
        <f t="shared" si="3"/>
        <v>0.32189097026686908</v>
      </c>
      <c r="AA32" s="107">
        <v>24.72</v>
      </c>
      <c r="AB32" s="99">
        <v>13820.07</v>
      </c>
      <c r="AC32" s="99">
        <f t="shared" si="6"/>
        <v>0.30897167922699492</v>
      </c>
      <c r="AD32"/>
      <c r="AE32" s="12"/>
      <c r="AF32" s="25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G32"/>
      <c r="BY32"/>
    </row>
    <row r="33" spans="1:77">
      <c r="A33" s="113"/>
      <c r="B33" s="131">
        <v>870</v>
      </c>
      <c r="C33" s="133" t="s">
        <v>187</v>
      </c>
      <c r="D33" s="12" t="s">
        <v>188</v>
      </c>
      <c r="E33" s="139" t="s">
        <v>112</v>
      </c>
      <c r="F33" s="15">
        <v>0</v>
      </c>
      <c r="G33" s="154">
        <v>1</v>
      </c>
      <c r="H33" s="2">
        <v>0</v>
      </c>
      <c r="I33" s="102">
        <v>17.55</v>
      </c>
      <c r="J33" s="99">
        <v>12835.97</v>
      </c>
      <c r="K33" s="99">
        <f t="shared" si="0"/>
        <v>0.42706094434095332</v>
      </c>
      <c r="L33" s="102">
        <v>19.260000000000002</v>
      </c>
      <c r="M33" s="99">
        <v>5656.16</v>
      </c>
      <c r="N33" s="103">
        <f>M33/$M$61*100</f>
        <v>0.56763078275816869</v>
      </c>
      <c r="O33" s="107">
        <v>18.899999999999999</v>
      </c>
      <c r="P33" s="99">
        <v>16312.48</v>
      </c>
      <c r="Q33" s="99">
        <f t="shared" si="1"/>
        <v>0.50670361393978647</v>
      </c>
      <c r="R33" s="102">
        <v>18.649999999999999</v>
      </c>
      <c r="S33" s="99">
        <v>28461.79</v>
      </c>
      <c r="T33" s="103">
        <f t="shared" si="2"/>
        <v>0.65406098632163878</v>
      </c>
      <c r="U33" s="107">
        <v>18.399999999999999</v>
      </c>
      <c r="V33" s="99">
        <v>21487.96</v>
      </c>
      <c r="W33" s="99">
        <f t="shared" si="5"/>
        <v>0.75683203496198603</v>
      </c>
      <c r="X33" s="102">
        <v>18.170000000000002</v>
      </c>
      <c r="Y33" s="99">
        <v>24352.76</v>
      </c>
      <c r="Z33" s="103">
        <f t="shared" si="3"/>
        <v>0.50354705594155225</v>
      </c>
      <c r="AA33" s="107">
        <v>18.07</v>
      </c>
      <c r="AB33" s="99">
        <v>24351.360000000001</v>
      </c>
      <c r="AC33" s="99">
        <f t="shared" si="6"/>
        <v>0.54441696682151941</v>
      </c>
      <c r="AD33"/>
      <c r="AE33" s="12"/>
      <c r="AF33" s="25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G33"/>
      <c r="BY33"/>
    </row>
    <row r="34" spans="1:77">
      <c r="A34" s="113"/>
      <c r="B34" s="115">
        <v>878</v>
      </c>
      <c r="C34" s="133" t="s">
        <v>189</v>
      </c>
      <c r="D34" s="12" t="s">
        <v>190</v>
      </c>
      <c r="E34" s="139" t="s">
        <v>112</v>
      </c>
      <c r="F34" s="15">
        <v>1</v>
      </c>
      <c r="G34" s="154">
        <v>0</v>
      </c>
      <c r="H34" s="2">
        <v>0</v>
      </c>
      <c r="I34" s="102">
        <v>13.9</v>
      </c>
      <c r="J34" s="99">
        <v>61586.34</v>
      </c>
      <c r="K34" s="99">
        <f t="shared" si="0"/>
        <v>2.0490169826591234</v>
      </c>
      <c r="L34" s="102" t="s">
        <v>191</v>
      </c>
      <c r="M34" s="99">
        <v>1335.5</v>
      </c>
      <c r="N34" s="103">
        <f t="shared" si="4"/>
        <v>0.13402571892830725</v>
      </c>
      <c r="O34" s="107">
        <v>14.31</v>
      </c>
      <c r="P34" s="99">
        <v>16870.32</v>
      </c>
      <c r="Q34" s="99">
        <f t="shared" si="1"/>
        <v>0.5240314233225517</v>
      </c>
      <c r="R34" s="102">
        <v>14.67</v>
      </c>
      <c r="S34" s="99">
        <v>17962.3</v>
      </c>
      <c r="T34" s="103">
        <f t="shared" si="2"/>
        <v>0.4127793668144264</v>
      </c>
      <c r="U34" s="107">
        <v>14.5</v>
      </c>
      <c r="V34" s="99">
        <v>26698</v>
      </c>
      <c r="W34" s="99">
        <f t="shared" si="5"/>
        <v>0.94033596811493969</v>
      </c>
      <c r="X34" s="102">
        <v>14.39</v>
      </c>
      <c r="Y34" s="99">
        <v>109417.21</v>
      </c>
      <c r="Z34" s="103">
        <f t="shared" si="3"/>
        <v>2.2624422843586753</v>
      </c>
      <c r="AA34" s="107">
        <v>14.26</v>
      </c>
      <c r="AB34" s="99">
        <v>104252.27</v>
      </c>
      <c r="AC34" s="99">
        <f t="shared" si="6"/>
        <v>2.3307406492967164</v>
      </c>
      <c r="AD34"/>
      <c r="AE34" s="12"/>
      <c r="AF34" s="25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G34"/>
      <c r="BY34"/>
    </row>
    <row r="35" spans="1:77">
      <c r="B35" s="115">
        <v>879</v>
      </c>
      <c r="C35" s="133" t="s">
        <v>193</v>
      </c>
      <c r="D35" s="136" t="s">
        <v>194</v>
      </c>
      <c r="E35" s="139" t="s">
        <v>485</v>
      </c>
      <c r="F35" s="120">
        <v>0</v>
      </c>
      <c r="G35" s="159">
        <v>0</v>
      </c>
      <c r="H35" s="151" t="s">
        <v>222</v>
      </c>
      <c r="I35" s="102">
        <v>15.63</v>
      </c>
      <c r="J35" s="99">
        <v>5361.4</v>
      </c>
      <c r="K35" s="99">
        <f t="shared" si="0"/>
        <v>0.17837721239529128</v>
      </c>
      <c r="L35" s="102" t="s">
        <v>195</v>
      </c>
      <c r="M35" s="99">
        <v>3803.3</v>
      </c>
      <c r="N35" s="103">
        <f t="shared" si="4"/>
        <v>0.38168477484090679</v>
      </c>
      <c r="O35" s="107">
        <v>16.84</v>
      </c>
      <c r="P35" s="99">
        <v>9046.2900000000009</v>
      </c>
      <c r="Q35" s="99">
        <f t="shared" si="1"/>
        <v>0.28099883253480473</v>
      </c>
      <c r="R35" s="102">
        <v>16.670000000000002</v>
      </c>
      <c r="S35" s="99">
        <v>9136.48</v>
      </c>
      <c r="T35" s="103">
        <f t="shared" si="2"/>
        <v>0.20995921620909744</v>
      </c>
      <c r="U35" s="107">
        <v>16.45</v>
      </c>
      <c r="V35" s="99">
        <v>8493.86</v>
      </c>
      <c r="W35" s="99">
        <f t="shared" si="5"/>
        <v>0.29916405970981957</v>
      </c>
      <c r="X35" s="102">
        <v>16.239999999999998</v>
      </c>
      <c r="Y35" s="99">
        <v>8665.4599999999991</v>
      </c>
      <c r="Z35" s="103">
        <f t="shared" si="3"/>
        <v>0.17917750888931205</v>
      </c>
      <c r="AA35" s="107">
        <v>16.170000000000002</v>
      </c>
      <c r="AB35" s="99">
        <v>8789.35</v>
      </c>
      <c r="AC35" s="99">
        <f t="shared" si="6"/>
        <v>0.19650119202100919</v>
      </c>
      <c r="AD35"/>
      <c r="AE35" s="12"/>
      <c r="AF35" s="2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G35"/>
      <c r="BY35"/>
    </row>
    <row r="36" spans="1:77">
      <c r="B36" s="115">
        <v>894</v>
      </c>
      <c r="C36" s="133" t="s">
        <v>196</v>
      </c>
      <c r="D36" s="12" t="s">
        <v>197</v>
      </c>
      <c r="E36" s="139" t="s">
        <v>112</v>
      </c>
      <c r="F36" s="15">
        <v>1</v>
      </c>
      <c r="G36" s="154">
        <v>0</v>
      </c>
      <c r="H36" s="2">
        <v>0</v>
      </c>
      <c r="I36" s="102">
        <v>13.7</v>
      </c>
      <c r="J36" s="99">
        <v>29148.63</v>
      </c>
      <c r="K36" s="99">
        <f t="shared" si="0"/>
        <v>0.9697935920732943</v>
      </c>
      <c r="L36" s="102" t="s">
        <v>133</v>
      </c>
      <c r="M36" s="99">
        <v>646.80999999999995</v>
      </c>
      <c r="N36" s="103">
        <f t="shared" si="4"/>
        <v>6.4911400419332382E-2</v>
      </c>
      <c r="O36" s="107" t="s">
        <v>192</v>
      </c>
      <c r="P36" s="99">
        <v>4517.2</v>
      </c>
      <c r="Q36" s="99">
        <f t="shared" si="1"/>
        <v>0.14031475072391222</v>
      </c>
      <c r="R36" s="102">
        <v>14.48</v>
      </c>
      <c r="S36" s="99">
        <v>6261.25</v>
      </c>
      <c r="T36" s="103">
        <f t="shared" si="2"/>
        <v>0.14388551635741678</v>
      </c>
      <c r="U36" s="107">
        <v>14.4</v>
      </c>
      <c r="V36" s="99">
        <v>15596.99</v>
      </c>
      <c r="W36" s="99">
        <f t="shared" si="5"/>
        <v>0.54934492064308316</v>
      </c>
      <c r="X36" s="102">
        <v>14.19</v>
      </c>
      <c r="Y36" s="99">
        <v>44481.79</v>
      </c>
      <c r="Z36" s="103">
        <f t="shared" si="3"/>
        <v>0.91975917298533627</v>
      </c>
      <c r="AA36" s="107">
        <v>14.11</v>
      </c>
      <c r="AB36" s="99">
        <v>43591.34</v>
      </c>
      <c r="AC36" s="99">
        <f t="shared" si="6"/>
        <v>0.9745601519785988</v>
      </c>
      <c r="AD36"/>
      <c r="AE36" s="12"/>
      <c r="AF36" s="25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G36"/>
      <c r="BY36"/>
    </row>
    <row r="37" spans="1:77">
      <c r="A37" s="113"/>
      <c r="B37" s="115">
        <v>895</v>
      </c>
      <c r="C37" s="133" t="s">
        <v>199</v>
      </c>
      <c r="D37" s="12" t="s">
        <v>200</v>
      </c>
      <c r="E37" s="139" t="s">
        <v>486</v>
      </c>
      <c r="F37" s="15">
        <v>0</v>
      </c>
      <c r="G37" s="154">
        <v>0</v>
      </c>
      <c r="H37" s="2" t="s">
        <v>108</v>
      </c>
      <c r="I37" s="102">
        <v>21.92</v>
      </c>
      <c r="J37" s="99">
        <v>29567.09</v>
      </c>
      <c r="K37" s="99">
        <f t="shared" ref="K37:K60" si="7">J37/$J$61*100</f>
        <v>0.98371602432959537</v>
      </c>
      <c r="L37" s="105" t="s">
        <v>3</v>
      </c>
      <c r="M37" s="104">
        <v>0</v>
      </c>
      <c r="N37" s="109">
        <f t="shared" si="4"/>
        <v>0</v>
      </c>
      <c r="O37" s="108" t="s">
        <v>3</v>
      </c>
      <c r="P37" s="104">
        <v>0</v>
      </c>
      <c r="Q37" s="104">
        <f t="shared" si="1"/>
        <v>0</v>
      </c>
      <c r="R37" s="105" t="s">
        <v>3</v>
      </c>
      <c r="S37" s="104">
        <v>0</v>
      </c>
      <c r="T37" s="109">
        <f t="shared" si="2"/>
        <v>0</v>
      </c>
      <c r="U37" s="107">
        <v>23.02</v>
      </c>
      <c r="V37" s="99">
        <v>10919.09</v>
      </c>
      <c r="W37" s="99">
        <f t="shared" si="5"/>
        <v>0.38458360424317023</v>
      </c>
      <c r="X37" s="102">
        <v>22.79</v>
      </c>
      <c r="Y37" s="99">
        <v>38090.36</v>
      </c>
      <c r="Z37" s="103">
        <f t="shared" si="3"/>
        <v>0.78760225279409257</v>
      </c>
      <c r="AA37" s="107">
        <v>22.61</v>
      </c>
      <c r="AB37" s="99">
        <v>36278.78</v>
      </c>
      <c r="AC37" s="99">
        <f t="shared" si="6"/>
        <v>0.81107516654450529</v>
      </c>
      <c r="AD37"/>
      <c r="AE37" s="12"/>
      <c r="AF37" s="25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G37"/>
      <c r="BY37"/>
    </row>
    <row r="38" spans="1:77">
      <c r="B38" s="115">
        <v>909</v>
      </c>
      <c r="C38" s="133" t="s">
        <v>201</v>
      </c>
      <c r="D38" s="121" t="s">
        <v>202</v>
      </c>
      <c r="E38" s="139" t="s">
        <v>484</v>
      </c>
      <c r="F38" s="117">
        <v>0</v>
      </c>
      <c r="G38" s="155">
        <v>1</v>
      </c>
      <c r="H38" s="130">
        <v>0</v>
      </c>
      <c r="I38" s="181" t="s">
        <v>3</v>
      </c>
      <c r="J38" s="182">
        <v>0</v>
      </c>
      <c r="K38" s="182">
        <f t="shared" si="7"/>
        <v>0</v>
      </c>
      <c r="L38" s="181" t="s">
        <v>3</v>
      </c>
      <c r="M38" s="182">
        <v>0</v>
      </c>
      <c r="N38" s="183">
        <f t="shared" si="4"/>
        <v>0</v>
      </c>
      <c r="O38" s="107">
        <v>20.440000000000001</v>
      </c>
      <c r="P38" s="99">
        <v>4841.54</v>
      </c>
      <c r="Q38" s="99">
        <f t="shared" si="1"/>
        <v>0.15038950638002524</v>
      </c>
      <c r="R38" s="102">
        <v>20.13</v>
      </c>
      <c r="S38" s="99">
        <v>2625.79</v>
      </c>
      <c r="T38" s="103">
        <f t="shared" si="2"/>
        <v>6.034148931860913E-2</v>
      </c>
      <c r="U38" s="107">
        <v>19.87</v>
      </c>
      <c r="V38" s="99">
        <v>3009.43</v>
      </c>
      <c r="W38" s="99">
        <f t="shared" si="5"/>
        <v>0.10599577768088034</v>
      </c>
      <c r="X38" s="102">
        <v>19.61</v>
      </c>
      <c r="Y38" s="99">
        <v>4720.95</v>
      </c>
      <c r="Z38" s="103">
        <f t="shared" si="3"/>
        <v>9.7616059688810264E-2</v>
      </c>
      <c r="AA38" s="107">
        <v>19.510000000000002</v>
      </c>
      <c r="AB38" s="99">
        <v>4714.0200000000004</v>
      </c>
      <c r="AC38" s="99">
        <f t="shared" si="6"/>
        <v>0.10539010839378087</v>
      </c>
      <c r="AD38"/>
      <c r="AE38" s="12"/>
      <c r="AF38" s="25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G38"/>
      <c r="BY38"/>
    </row>
    <row r="39" spans="1:77">
      <c r="B39" s="115" t="s">
        <v>203</v>
      </c>
      <c r="C39" s="133" t="s">
        <v>204</v>
      </c>
      <c r="D39" s="12" t="s">
        <v>487</v>
      </c>
      <c r="E39" s="139" t="s">
        <v>112</v>
      </c>
      <c r="F39" s="117">
        <v>0</v>
      </c>
      <c r="G39" s="155">
        <v>0</v>
      </c>
      <c r="H39" s="130" t="s">
        <v>153</v>
      </c>
      <c r="I39" s="102">
        <v>12.87</v>
      </c>
      <c r="J39" s="99">
        <v>8380.32</v>
      </c>
      <c r="K39" s="99">
        <f t="shared" si="7"/>
        <v>0.27881861464925345</v>
      </c>
      <c r="L39" s="102" t="s">
        <v>198</v>
      </c>
      <c r="M39" s="99">
        <v>4801.16</v>
      </c>
      <c r="N39" s="103">
        <f t="shared" si="4"/>
        <v>0.48182622290515281</v>
      </c>
      <c r="O39" s="107">
        <v>13.75</v>
      </c>
      <c r="P39" s="99">
        <v>11255.13</v>
      </c>
      <c r="Q39" s="99">
        <f t="shared" si="1"/>
        <v>0.34961054642593337</v>
      </c>
      <c r="R39" s="102">
        <v>13.6</v>
      </c>
      <c r="S39" s="99">
        <v>18284.48</v>
      </c>
      <c r="T39" s="103">
        <f t="shared" si="2"/>
        <v>0.42018316568206981</v>
      </c>
      <c r="U39" s="107">
        <v>13.47</v>
      </c>
      <c r="V39" s="99">
        <v>12604.88</v>
      </c>
      <c r="W39" s="99">
        <f t="shared" si="5"/>
        <v>0.4439591743865699</v>
      </c>
      <c r="X39" s="102">
        <v>13.35</v>
      </c>
      <c r="Y39" s="99">
        <v>16073.03</v>
      </c>
      <c r="Z39" s="103">
        <f t="shared" si="3"/>
        <v>0.33234536605133252</v>
      </c>
      <c r="AA39" s="107">
        <v>13.24</v>
      </c>
      <c r="AB39" s="99">
        <v>15483.4</v>
      </c>
      <c r="AC39" s="99">
        <f t="shared" si="6"/>
        <v>0.3461583116542285</v>
      </c>
      <c r="AD39"/>
      <c r="AE39" s="12"/>
      <c r="AF39" s="25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G39"/>
      <c r="BY39"/>
    </row>
    <row r="40" spans="1:77">
      <c r="B40" s="115" t="s">
        <v>205</v>
      </c>
      <c r="C40" s="133" t="s">
        <v>204</v>
      </c>
      <c r="D40" s="92" t="s">
        <v>206</v>
      </c>
      <c r="E40" s="139" t="s">
        <v>485</v>
      </c>
      <c r="F40" s="122">
        <v>0</v>
      </c>
      <c r="G40" s="160">
        <v>0</v>
      </c>
      <c r="H40" s="152" t="s">
        <v>108</v>
      </c>
      <c r="I40" s="102" t="s">
        <v>161</v>
      </c>
      <c r="J40" s="99">
        <v>5717.15</v>
      </c>
      <c r="K40" s="99">
        <f t="shared" si="7"/>
        <v>0.19021324278094143</v>
      </c>
      <c r="L40" s="102" t="s">
        <v>207</v>
      </c>
      <c r="M40" s="99">
        <v>2756.04</v>
      </c>
      <c r="N40" s="103">
        <f t="shared" si="4"/>
        <v>0.27658572998515302</v>
      </c>
      <c r="O40" s="107">
        <v>17.03</v>
      </c>
      <c r="P40" s="99">
        <v>9272.7099999999991</v>
      </c>
      <c r="Q40" s="99">
        <f t="shared" si="1"/>
        <v>0.28803196497501282</v>
      </c>
      <c r="R40" s="102">
        <v>16.86</v>
      </c>
      <c r="S40" s="99">
        <v>11264.54</v>
      </c>
      <c r="T40" s="103">
        <f t="shared" si="2"/>
        <v>0.25886271182731496</v>
      </c>
      <c r="U40" s="107">
        <v>16.649999999999999</v>
      </c>
      <c r="V40" s="99">
        <v>6998.07</v>
      </c>
      <c r="W40" s="99">
        <f t="shared" si="5"/>
        <v>0.24648052020324057</v>
      </c>
      <c r="X40" s="102">
        <v>16.48</v>
      </c>
      <c r="Y40" s="99">
        <v>8025.46</v>
      </c>
      <c r="Z40" s="103">
        <f t="shared" si="3"/>
        <v>0.16594409650391537</v>
      </c>
      <c r="AA40" s="107">
        <v>16.350000000000001</v>
      </c>
      <c r="AB40" s="99">
        <v>7870.71</v>
      </c>
      <c r="AC40" s="99">
        <f t="shared" si="6"/>
        <v>0.17596339855070933</v>
      </c>
      <c r="AD40"/>
      <c r="AE40" s="12"/>
      <c r="AF40" s="25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G40"/>
      <c r="BY40"/>
    </row>
    <row r="41" spans="1:77">
      <c r="B41" s="115" t="s">
        <v>208</v>
      </c>
      <c r="C41" s="133" t="s">
        <v>204</v>
      </c>
      <c r="D41" s="92" t="s">
        <v>209</v>
      </c>
      <c r="E41" s="139" t="s">
        <v>112</v>
      </c>
      <c r="F41" s="122">
        <v>0</v>
      </c>
      <c r="G41" s="160">
        <v>0</v>
      </c>
      <c r="H41" s="152">
        <v>0</v>
      </c>
      <c r="I41" s="102">
        <v>18.34</v>
      </c>
      <c r="J41" s="99">
        <v>13262.17</v>
      </c>
      <c r="K41" s="99">
        <f t="shared" si="7"/>
        <v>0.44124089135532885</v>
      </c>
      <c r="L41" s="102">
        <v>20.190000000000001</v>
      </c>
      <c r="M41" s="99">
        <v>5728.85</v>
      </c>
      <c r="N41" s="103">
        <f t="shared" si="4"/>
        <v>0.57492567568883046</v>
      </c>
      <c r="O41" s="107">
        <v>19.82</v>
      </c>
      <c r="P41" s="99">
        <v>12714.04</v>
      </c>
      <c r="Q41" s="99">
        <f t="shared" si="1"/>
        <v>0.3949276882347138</v>
      </c>
      <c r="R41" s="102">
        <v>19.54</v>
      </c>
      <c r="S41" s="99">
        <v>23739.53</v>
      </c>
      <c r="T41" s="103">
        <f t="shared" si="2"/>
        <v>0.54554194963184444</v>
      </c>
      <c r="U41" s="107">
        <v>19.3</v>
      </c>
      <c r="V41" s="99">
        <v>15835.29</v>
      </c>
      <c r="W41" s="99">
        <f t="shared" si="5"/>
        <v>0.55773813591021149</v>
      </c>
      <c r="X41" s="102">
        <v>19.12</v>
      </c>
      <c r="Y41" s="99">
        <v>19901.3</v>
      </c>
      <c r="Z41" s="103">
        <f t="shared" si="3"/>
        <v>0.4115032967273366</v>
      </c>
      <c r="AA41" s="107">
        <v>18.98</v>
      </c>
      <c r="AB41" s="99">
        <v>16408.939999999999</v>
      </c>
      <c r="AC41" s="99">
        <f t="shared" si="6"/>
        <v>0.36685036661427955</v>
      </c>
      <c r="AD41"/>
      <c r="AE41" s="12"/>
      <c r="AF41" s="25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G41"/>
      <c r="BY41"/>
    </row>
    <row r="42" spans="1:77">
      <c r="A42" s="113"/>
      <c r="B42" s="115">
        <v>952</v>
      </c>
      <c r="C42" s="133" t="s">
        <v>210</v>
      </c>
      <c r="D42" s="115" t="s">
        <v>211</v>
      </c>
      <c r="E42" s="139" t="s">
        <v>112</v>
      </c>
      <c r="F42" s="122">
        <v>0</v>
      </c>
      <c r="G42" s="160">
        <v>0</v>
      </c>
      <c r="H42" s="152">
        <v>0</v>
      </c>
      <c r="I42" s="102" t="s">
        <v>212</v>
      </c>
      <c r="J42" s="99">
        <v>3185.36</v>
      </c>
      <c r="K42" s="99">
        <f t="shared" si="7"/>
        <v>0.10597896767177697</v>
      </c>
      <c r="L42" s="105" t="s">
        <v>3</v>
      </c>
      <c r="M42" s="104">
        <v>0</v>
      </c>
      <c r="N42" s="109">
        <f t="shared" si="4"/>
        <v>0</v>
      </c>
      <c r="O42" s="108" t="s">
        <v>3</v>
      </c>
      <c r="P42" s="104">
        <v>0</v>
      </c>
      <c r="Q42" s="104">
        <f t="shared" si="1"/>
        <v>0</v>
      </c>
      <c r="R42" s="112" t="s">
        <v>3</v>
      </c>
      <c r="S42" s="104">
        <v>0</v>
      </c>
      <c r="T42" s="109">
        <f t="shared" si="2"/>
        <v>0</v>
      </c>
      <c r="U42" s="108" t="s">
        <v>3</v>
      </c>
      <c r="V42" s="104">
        <v>0</v>
      </c>
      <c r="W42" s="104">
        <f t="shared" si="5"/>
        <v>0</v>
      </c>
      <c r="X42" s="111">
        <v>17.53</v>
      </c>
      <c r="Y42" s="99">
        <v>4261.99</v>
      </c>
      <c r="Z42" s="103">
        <f t="shared" si="3"/>
        <v>8.8126048831932646E-2</v>
      </c>
      <c r="AA42" s="107">
        <v>17.38</v>
      </c>
      <c r="AB42" s="99">
        <v>3996.2</v>
      </c>
      <c r="AC42" s="99">
        <f t="shared" si="6"/>
        <v>8.9341994977371122E-2</v>
      </c>
      <c r="AD42"/>
      <c r="AE42" s="12"/>
      <c r="AF42" s="25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G42"/>
      <c r="BY42"/>
    </row>
    <row r="43" spans="1:77">
      <c r="B43" s="131">
        <v>966</v>
      </c>
      <c r="C43" s="133" t="s">
        <v>213</v>
      </c>
      <c r="D43" s="55" t="s">
        <v>214</v>
      </c>
      <c r="E43" s="141">
        <v>0</v>
      </c>
      <c r="F43" s="116">
        <v>1</v>
      </c>
      <c r="G43" s="156">
        <v>0</v>
      </c>
      <c r="H43" s="147">
        <v>0</v>
      </c>
      <c r="I43" s="102">
        <v>14.85</v>
      </c>
      <c r="J43" s="99">
        <v>6026.62</v>
      </c>
      <c r="K43" s="99">
        <f t="shared" si="7"/>
        <v>0.20050950792063835</v>
      </c>
      <c r="L43" s="102">
        <v>16.335000000000001</v>
      </c>
      <c r="M43" s="99">
        <v>4032.59</v>
      </c>
      <c r="N43" s="103">
        <f t="shared" si="4"/>
        <v>0.40469545031306814</v>
      </c>
      <c r="O43" s="107">
        <v>15.95</v>
      </c>
      <c r="P43" s="99">
        <v>12737.68</v>
      </c>
      <c r="Q43" s="99">
        <f t="shared" si="1"/>
        <v>0.39566200168267118</v>
      </c>
      <c r="R43" s="102">
        <v>15.68</v>
      </c>
      <c r="S43" s="99">
        <v>20009.73</v>
      </c>
      <c r="T43" s="103">
        <f t="shared" si="2"/>
        <v>0.45982995938869925</v>
      </c>
      <c r="U43" s="107">
        <v>15.53</v>
      </c>
      <c r="V43" s="99">
        <v>13933.42</v>
      </c>
      <c r="W43" s="99">
        <f t="shared" si="5"/>
        <v>0.49075196587205278</v>
      </c>
      <c r="X43" s="102">
        <v>15.35</v>
      </c>
      <c r="Y43" s="99">
        <v>25052.76</v>
      </c>
      <c r="Z43" s="103">
        <f t="shared" si="3"/>
        <v>0.51802110073807983</v>
      </c>
      <c r="AA43" s="107">
        <v>15.22</v>
      </c>
      <c r="AB43" s="99">
        <v>24049.96</v>
      </c>
      <c r="AC43" s="99">
        <f t="shared" si="6"/>
        <v>0.5376786460952846</v>
      </c>
      <c r="AD43"/>
      <c r="AE43" s="12"/>
      <c r="AF43" s="25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G43"/>
      <c r="BY43"/>
    </row>
    <row r="44" spans="1:77">
      <c r="B44" s="131" t="s">
        <v>215</v>
      </c>
      <c r="C44" s="133" t="s">
        <v>216</v>
      </c>
      <c r="D44" s="12" t="s">
        <v>217</v>
      </c>
      <c r="E44" s="139" t="s">
        <v>486</v>
      </c>
      <c r="F44" s="15">
        <v>0</v>
      </c>
      <c r="G44" s="154">
        <v>1</v>
      </c>
      <c r="H44" s="2" t="s">
        <v>108</v>
      </c>
      <c r="I44" s="102">
        <v>24.07</v>
      </c>
      <c r="J44" s="99">
        <v>10419.58</v>
      </c>
      <c r="K44" s="99">
        <f t="shared" si="7"/>
        <v>0.34666610115449864</v>
      </c>
      <c r="L44" s="102" t="s">
        <v>218</v>
      </c>
      <c r="M44" s="99">
        <v>3419.67</v>
      </c>
      <c r="N44" s="103">
        <f t="shared" si="4"/>
        <v>0.34318512186264655</v>
      </c>
      <c r="O44" s="107">
        <v>25.91</v>
      </c>
      <c r="P44" s="99">
        <v>15242.04</v>
      </c>
      <c r="Q44" s="99">
        <f t="shared" si="1"/>
        <v>0.47345325491983958</v>
      </c>
      <c r="R44" s="102">
        <v>25.47</v>
      </c>
      <c r="S44" s="99">
        <v>21293.360000000001</v>
      </c>
      <c r="T44" s="103">
        <f t="shared" si="2"/>
        <v>0.48932818504042552</v>
      </c>
      <c r="U44" s="107">
        <v>25.22</v>
      </c>
      <c r="V44" s="99">
        <v>10514.51</v>
      </c>
      <c r="W44" s="99">
        <f t="shared" si="5"/>
        <v>0.37033380553240752</v>
      </c>
      <c r="X44" s="102">
        <v>24.949000000000002</v>
      </c>
      <c r="Y44" s="99">
        <v>17186.259999999998</v>
      </c>
      <c r="Z44" s="103">
        <f t="shared" si="3"/>
        <v>0.35536385303538742</v>
      </c>
      <c r="AA44" s="107">
        <v>24.77</v>
      </c>
      <c r="AB44" s="99">
        <v>14783.98</v>
      </c>
      <c r="AC44" s="99">
        <f t="shared" si="6"/>
        <v>0.33052156221048873</v>
      </c>
      <c r="AD44"/>
      <c r="AE44" s="12"/>
      <c r="AF44" s="25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G44"/>
      <c r="BY44"/>
    </row>
    <row r="45" spans="1:77">
      <c r="B45" s="115" t="s">
        <v>219</v>
      </c>
      <c r="C45" s="133" t="s">
        <v>220</v>
      </c>
      <c r="D45" s="12" t="s">
        <v>221</v>
      </c>
      <c r="E45" s="139" t="s">
        <v>112</v>
      </c>
      <c r="F45" s="15">
        <v>0</v>
      </c>
      <c r="G45" s="154">
        <v>1</v>
      </c>
      <c r="H45" s="2" t="s">
        <v>222</v>
      </c>
      <c r="I45" s="102">
        <v>15.53</v>
      </c>
      <c r="J45" s="99">
        <v>15208.89</v>
      </c>
      <c r="K45" s="99">
        <f t="shared" si="7"/>
        <v>0.50600951278147899</v>
      </c>
      <c r="L45" s="102">
        <v>16.920000000000002</v>
      </c>
      <c r="M45" s="99">
        <v>10202.82</v>
      </c>
      <c r="N45" s="103">
        <f t="shared" si="4"/>
        <v>1.0239163501281254</v>
      </c>
      <c r="O45" s="107">
        <v>16.649999999999999</v>
      </c>
      <c r="P45" s="99">
        <v>23766.59</v>
      </c>
      <c r="Q45" s="99">
        <f t="shared" si="1"/>
        <v>0.73824562813411521</v>
      </c>
      <c r="R45" s="102">
        <v>16.46</v>
      </c>
      <c r="S45" s="99">
        <v>38521.67</v>
      </c>
      <c r="T45" s="103">
        <f t="shared" si="2"/>
        <v>0.88524022821321791</v>
      </c>
      <c r="U45" s="107">
        <v>16.25</v>
      </c>
      <c r="V45" s="99">
        <v>30974.27</v>
      </c>
      <c r="W45" s="99">
        <f t="shared" si="5"/>
        <v>1.0909513883850304</v>
      </c>
      <c r="X45" s="102">
        <v>16.09</v>
      </c>
      <c r="Y45" s="99">
        <v>37847.449999999997</v>
      </c>
      <c r="Z45" s="103">
        <f t="shared" si="3"/>
        <v>0.78257955247762889</v>
      </c>
      <c r="AA45" s="107">
        <v>15.96</v>
      </c>
      <c r="AB45" s="99">
        <v>34530.239999999998</v>
      </c>
      <c r="AC45" s="99">
        <f t="shared" si="6"/>
        <v>0.77198351650253216</v>
      </c>
      <c r="AD45"/>
      <c r="AE45" s="12"/>
      <c r="AF45" s="2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G45"/>
      <c r="BY45"/>
    </row>
    <row r="46" spans="1:77">
      <c r="B46" s="115" t="s">
        <v>223</v>
      </c>
      <c r="C46" s="133" t="s">
        <v>224</v>
      </c>
      <c r="D46" s="12" t="s">
        <v>225</v>
      </c>
      <c r="E46" s="139" t="s">
        <v>485</v>
      </c>
      <c r="F46" s="15">
        <v>1</v>
      </c>
      <c r="G46" s="154">
        <v>0</v>
      </c>
      <c r="H46" s="2" t="s">
        <v>222</v>
      </c>
      <c r="I46" s="102">
        <v>12.28</v>
      </c>
      <c r="J46" s="99">
        <v>36000.06</v>
      </c>
      <c r="K46" s="99">
        <f t="shared" si="7"/>
        <v>1.1977450570491344</v>
      </c>
      <c r="L46" s="102">
        <v>13.31</v>
      </c>
      <c r="M46" s="99">
        <v>12213.09</v>
      </c>
      <c r="N46" s="103">
        <f t="shared" si="4"/>
        <v>1.2256594291172744</v>
      </c>
      <c r="O46" s="107">
        <v>13.03</v>
      </c>
      <c r="P46" s="99">
        <v>42142.29</v>
      </c>
      <c r="Q46" s="99">
        <f t="shared" si="1"/>
        <v>1.3090376596752011</v>
      </c>
      <c r="R46" s="102">
        <v>12.92</v>
      </c>
      <c r="S46" s="99">
        <v>56038.46</v>
      </c>
      <c r="T46" s="103">
        <f t="shared" si="2"/>
        <v>1.2877816335355472</v>
      </c>
      <c r="U46" s="107">
        <v>12.78</v>
      </c>
      <c r="V46" s="99">
        <v>34681.839999999997</v>
      </c>
      <c r="W46" s="99">
        <f t="shared" si="5"/>
        <v>1.2215365043227</v>
      </c>
      <c r="X46" s="102">
        <v>12.71</v>
      </c>
      <c r="Y46" s="99">
        <v>65090.74</v>
      </c>
      <c r="Z46" s="103">
        <f t="shared" si="3"/>
        <v>1.3458946951416197</v>
      </c>
      <c r="AA46" s="107">
        <v>12.6</v>
      </c>
      <c r="AB46" s="99">
        <v>55542.07</v>
      </c>
      <c r="AC46" s="99">
        <f t="shared" si="6"/>
        <v>1.2417394872560921</v>
      </c>
      <c r="AD46"/>
      <c r="AE46" s="12"/>
      <c r="AF46" s="25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G46"/>
      <c r="BY46"/>
    </row>
    <row r="47" spans="1:77">
      <c r="B47" s="115" t="s">
        <v>226</v>
      </c>
      <c r="C47" s="133" t="s">
        <v>224</v>
      </c>
      <c r="D47" s="12" t="s">
        <v>227</v>
      </c>
      <c r="E47" s="139" t="s">
        <v>112</v>
      </c>
      <c r="F47" s="15">
        <v>1</v>
      </c>
      <c r="G47" s="154">
        <v>0</v>
      </c>
      <c r="H47" s="2">
        <v>0</v>
      </c>
      <c r="I47" s="102">
        <v>17.5</v>
      </c>
      <c r="J47" s="99">
        <v>44501.78</v>
      </c>
      <c r="K47" s="99">
        <f t="shared" si="7"/>
        <v>1.4806027274645661</v>
      </c>
      <c r="L47" s="102">
        <v>19.399999999999999</v>
      </c>
      <c r="M47" s="99">
        <v>16226.25</v>
      </c>
      <c r="N47" s="103">
        <f t="shared" si="4"/>
        <v>1.6284049582631566</v>
      </c>
      <c r="O47" s="107">
        <v>18.850000000000001</v>
      </c>
      <c r="P47" s="99">
        <v>43303.56</v>
      </c>
      <c r="Q47" s="99">
        <f t="shared" si="1"/>
        <v>1.3451094100013228</v>
      </c>
      <c r="R47" s="102">
        <v>18.54</v>
      </c>
      <c r="S47" s="99">
        <v>57369.74</v>
      </c>
      <c r="T47" s="103">
        <f t="shared" si="2"/>
        <v>1.3183748713421037</v>
      </c>
      <c r="U47" s="107">
        <v>18.399999999999999</v>
      </c>
      <c r="V47" s="99">
        <v>40525.589999999997</v>
      </c>
      <c r="W47" s="99">
        <f t="shared" si="5"/>
        <v>1.4273604729222833</v>
      </c>
      <c r="X47" s="102">
        <v>18.170000000000002</v>
      </c>
      <c r="Y47" s="99">
        <v>65425.4</v>
      </c>
      <c r="Z47" s="103">
        <f t="shared" si="3"/>
        <v>1.3528145291867713</v>
      </c>
      <c r="AA47" s="107">
        <v>18.02</v>
      </c>
      <c r="AB47" s="99">
        <v>61712.14</v>
      </c>
      <c r="AC47" s="99">
        <f t="shared" si="6"/>
        <v>1.379682123498029</v>
      </c>
      <c r="AD47"/>
      <c r="AE47" s="12"/>
      <c r="AF47" s="25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G47"/>
      <c r="BY47"/>
    </row>
    <row r="48" spans="1:77">
      <c r="A48" s="114"/>
      <c r="B48" s="115">
        <v>1032</v>
      </c>
      <c r="C48" s="133" t="s">
        <v>228</v>
      </c>
      <c r="D48" s="137" t="s">
        <v>229</v>
      </c>
      <c r="E48" s="139" t="s">
        <v>112</v>
      </c>
      <c r="F48" s="117">
        <v>0</v>
      </c>
      <c r="G48" s="155">
        <v>1</v>
      </c>
      <c r="H48" s="2">
        <v>0</v>
      </c>
      <c r="I48" s="102" t="s">
        <v>230</v>
      </c>
      <c r="J48" s="99">
        <v>2367.36</v>
      </c>
      <c r="K48" s="99">
        <f t="shared" si="7"/>
        <v>7.8763583678911619E-2</v>
      </c>
      <c r="L48" s="105" t="s">
        <v>3</v>
      </c>
      <c r="M48" s="104">
        <v>0</v>
      </c>
      <c r="N48" s="109">
        <f t="shared" si="4"/>
        <v>0</v>
      </c>
      <c r="O48" s="108" t="s">
        <v>3</v>
      </c>
      <c r="P48" s="104">
        <v>0</v>
      </c>
      <c r="Q48" s="104">
        <f t="shared" si="1"/>
        <v>0</v>
      </c>
      <c r="R48" s="105" t="s">
        <v>3</v>
      </c>
      <c r="S48" s="104">
        <v>0</v>
      </c>
      <c r="T48" s="109">
        <f t="shared" si="2"/>
        <v>0</v>
      </c>
      <c r="U48" s="108" t="s">
        <v>3</v>
      </c>
      <c r="V48" s="104">
        <v>0</v>
      </c>
      <c r="W48" s="104">
        <f t="shared" si="5"/>
        <v>0</v>
      </c>
      <c r="X48" s="102">
        <v>20.399999999999999</v>
      </c>
      <c r="Y48" s="99">
        <v>3326.87</v>
      </c>
      <c r="Z48" s="103">
        <f t="shared" si="3"/>
        <v>6.8790379160319895E-2</v>
      </c>
      <c r="AA48" s="107">
        <v>20.29</v>
      </c>
      <c r="AB48" s="99">
        <v>3117.12</v>
      </c>
      <c r="AC48" s="99">
        <f t="shared" si="6"/>
        <v>6.968863404831166E-2</v>
      </c>
      <c r="AD48"/>
      <c r="AE48" s="12"/>
      <c r="AF48" s="25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G48"/>
      <c r="BY48"/>
    </row>
    <row r="49" spans="2:77">
      <c r="B49" s="115" t="s">
        <v>231</v>
      </c>
      <c r="C49" s="133" t="s">
        <v>232</v>
      </c>
      <c r="D49" s="12" t="s">
        <v>233</v>
      </c>
      <c r="E49" s="139">
        <v>1</v>
      </c>
      <c r="F49" s="15">
        <v>1</v>
      </c>
      <c r="G49" s="154">
        <v>0</v>
      </c>
      <c r="H49" s="2" t="s">
        <v>222</v>
      </c>
      <c r="I49" s="102">
        <v>12.18</v>
      </c>
      <c r="J49" s="99">
        <v>14830.3</v>
      </c>
      <c r="K49" s="99">
        <f t="shared" si="7"/>
        <v>0.49341358096502558</v>
      </c>
      <c r="L49" s="102" t="s">
        <v>234</v>
      </c>
      <c r="M49" s="99">
        <v>7236.36</v>
      </c>
      <c r="N49" s="103">
        <f t="shared" si="4"/>
        <v>0.72621366636019868</v>
      </c>
      <c r="O49" s="107">
        <v>12.89</v>
      </c>
      <c r="P49" s="99">
        <v>23312.27</v>
      </c>
      <c r="Q49" s="99">
        <f t="shared" si="1"/>
        <v>0.72413339100738006</v>
      </c>
      <c r="R49" s="102">
        <v>12.82</v>
      </c>
      <c r="S49" s="99">
        <v>28623.26</v>
      </c>
      <c r="T49" s="103">
        <f t="shared" si="2"/>
        <v>0.65777161827631747</v>
      </c>
      <c r="U49" s="107">
        <v>12.68</v>
      </c>
      <c r="V49" s="99">
        <v>21180.400000000001</v>
      </c>
      <c r="W49" s="99">
        <f t="shared" si="5"/>
        <v>0.74599939842166729</v>
      </c>
      <c r="X49" s="102">
        <v>12.61</v>
      </c>
      <c r="Y49" s="99">
        <v>32723.11</v>
      </c>
      <c r="Z49" s="103">
        <f t="shared" si="3"/>
        <v>0.67662251431671683</v>
      </c>
      <c r="AA49" s="107">
        <v>12.45</v>
      </c>
      <c r="AB49" s="99">
        <v>28834.42</v>
      </c>
      <c r="AC49" s="99">
        <f t="shared" si="6"/>
        <v>0.64464356308878668</v>
      </c>
      <c r="AD49"/>
      <c r="AE49" s="12"/>
      <c r="AF49" s="25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G49"/>
      <c r="BY49"/>
    </row>
    <row r="50" spans="2:77">
      <c r="B50" s="115" t="s">
        <v>235</v>
      </c>
      <c r="C50" s="133" t="s">
        <v>232</v>
      </c>
      <c r="D50" s="12" t="s">
        <v>236</v>
      </c>
      <c r="E50" s="139" t="s">
        <v>112</v>
      </c>
      <c r="F50" s="15">
        <v>1</v>
      </c>
      <c r="G50" s="154">
        <v>0</v>
      </c>
      <c r="H50" s="2" t="s">
        <v>108</v>
      </c>
      <c r="I50" s="102">
        <v>17.21</v>
      </c>
      <c r="J50" s="99">
        <v>17887.72</v>
      </c>
      <c r="K50" s="99">
        <f t="shared" si="7"/>
        <v>0.59513590288124363</v>
      </c>
      <c r="L50" s="102">
        <v>18.89</v>
      </c>
      <c r="M50" s="99">
        <v>7474.01</v>
      </c>
      <c r="N50" s="103">
        <f t="shared" si="4"/>
        <v>0.750063319750923</v>
      </c>
      <c r="O50" s="107">
        <v>18.46</v>
      </c>
      <c r="P50" s="99">
        <v>19927.13</v>
      </c>
      <c r="Q50" s="99">
        <f t="shared" si="1"/>
        <v>0.61898305999136483</v>
      </c>
      <c r="R50" s="102">
        <v>18.239999999999998</v>
      </c>
      <c r="S50" s="99">
        <v>24261.63</v>
      </c>
      <c r="T50" s="103">
        <f t="shared" si="2"/>
        <v>0.55753997368298569</v>
      </c>
      <c r="U50" s="107">
        <v>18.05</v>
      </c>
      <c r="V50" s="99">
        <v>20211.64</v>
      </c>
      <c r="W50" s="99">
        <f t="shared" si="5"/>
        <v>0.71187849526521241</v>
      </c>
      <c r="X50" s="102">
        <v>17.82</v>
      </c>
      <c r="Y50" s="99">
        <v>27922.02</v>
      </c>
      <c r="Z50" s="103">
        <f t="shared" si="3"/>
        <v>0.57734938327077268</v>
      </c>
      <c r="AA50" s="107">
        <v>17.71</v>
      </c>
      <c r="AB50" s="99">
        <v>26019.9</v>
      </c>
      <c r="AC50" s="99">
        <f t="shared" si="6"/>
        <v>0.58172007785188407</v>
      </c>
      <c r="AD50"/>
      <c r="AE50" s="12"/>
      <c r="AF50" s="25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G50"/>
      <c r="BY50"/>
    </row>
    <row r="51" spans="2:77">
      <c r="B51" s="115" t="s">
        <v>237</v>
      </c>
      <c r="C51" s="133" t="s">
        <v>238</v>
      </c>
      <c r="D51" s="12" t="s">
        <v>239</v>
      </c>
      <c r="E51" s="139" t="s">
        <v>485</v>
      </c>
      <c r="F51" s="15">
        <v>0</v>
      </c>
      <c r="G51" s="154">
        <v>0</v>
      </c>
      <c r="H51" s="2" t="s">
        <v>488</v>
      </c>
      <c r="I51" s="102">
        <v>21.87</v>
      </c>
      <c r="J51" s="99">
        <v>12805.57</v>
      </c>
      <c r="K51" s="99">
        <f t="shared" si="7"/>
        <v>0.42604951686737985</v>
      </c>
      <c r="L51" s="102" t="s">
        <v>240</v>
      </c>
      <c r="M51" s="99">
        <v>4407.8500000000004</v>
      </c>
      <c r="N51" s="103">
        <f t="shared" si="4"/>
        <v>0.44235512181066206</v>
      </c>
      <c r="O51" s="107">
        <v>23.61</v>
      </c>
      <c r="P51" s="99">
        <v>13936.8</v>
      </c>
      <c r="Q51" s="99">
        <f t="shared" si="1"/>
        <v>0.43290946114606826</v>
      </c>
      <c r="R51" s="102">
        <v>23.32</v>
      </c>
      <c r="S51" s="99">
        <v>18415.52</v>
      </c>
      <c r="T51" s="103">
        <f t="shared" si="2"/>
        <v>0.42319450655864815</v>
      </c>
      <c r="U51" s="107">
        <v>23.02</v>
      </c>
      <c r="V51" s="99">
        <v>12107.3</v>
      </c>
      <c r="W51" s="99">
        <f t="shared" si="5"/>
        <v>0.4264338027851528</v>
      </c>
      <c r="X51" s="102">
        <v>22.65</v>
      </c>
      <c r="Y51" s="99">
        <v>17026.71</v>
      </c>
      <c r="Z51" s="103">
        <f t="shared" si="3"/>
        <v>0.35206480468212176</v>
      </c>
      <c r="AA51" s="107">
        <v>22.61</v>
      </c>
      <c r="AB51" s="99">
        <v>15997.31</v>
      </c>
      <c r="AC51" s="99">
        <f t="shared" si="6"/>
        <v>0.35764766269742476</v>
      </c>
      <c r="AD51"/>
      <c r="AE51" s="12"/>
      <c r="AF51" s="25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G51"/>
      <c r="BY51"/>
    </row>
    <row r="52" spans="2:77">
      <c r="B52" s="115" t="s">
        <v>241</v>
      </c>
      <c r="C52" s="133" t="s">
        <v>238</v>
      </c>
      <c r="D52" s="12" t="s">
        <v>242</v>
      </c>
      <c r="E52" s="139" t="s">
        <v>483</v>
      </c>
      <c r="F52" s="15">
        <v>0</v>
      </c>
      <c r="G52" s="154">
        <v>0</v>
      </c>
      <c r="H52" s="2" t="s">
        <v>108</v>
      </c>
      <c r="I52" s="102">
        <v>23.53</v>
      </c>
      <c r="J52" s="99">
        <v>48684.93</v>
      </c>
      <c r="K52" s="99">
        <f t="shared" si="7"/>
        <v>1.6197788075987409</v>
      </c>
      <c r="L52" s="102">
        <v>26.09</v>
      </c>
      <c r="M52" s="99">
        <v>12520.88</v>
      </c>
      <c r="N52" s="103">
        <f t="shared" si="4"/>
        <v>1.2565480671022564</v>
      </c>
      <c r="O52" s="107">
        <v>25.41</v>
      </c>
      <c r="P52" s="99">
        <v>47348.24</v>
      </c>
      <c r="Q52" s="99">
        <f t="shared" si="1"/>
        <v>1.4707465892180929</v>
      </c>
      <c r="R52" s="102">
        <v>25.12</v>
      </c>
      <c r="S52" s="99">
        <v>59923.32</v>
      </c>
      <c r="T52" s="103">
        <f t="shared" si="2"/>
        <v>1.3770569518947047</v>
      </c>
      <c r="U52" s="107">
        <v>24.92</v>
      </c>
      <c r="V52" s="99">
        <v>23928.51</v>
      </c>
      <c r="W52" s="99">
        <f t="shared" si="5"/>
        <v>0.84279116849194768</v>
      </c>
      <c r="X52" s="102">
        <v>24.54</v>
      </c>
      <c r="Y52" s="99">
        <v>60675.82</v>
      </c>
      <c r="Z52" s="103">
        <f t="shared" si="3"/>
        <v>1.2546064810657829</v>
      </c>
      <c r="AA52" s="107">
        <v>24.37</v>
      </c>
      <c r="AB52" s="99">
        <v>59413.56</v>
      </c>
      <c r="AC52" s="99">
        <f t="shared" si="6"/>
        <v>1.3282933734817421</v>
      </c>
      <c r="AD52"/>
      <c r="AE52" s="12"/>
      <c r="AF52" s="25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G52"/>
      <c r="BY52"/>
    </row>
    <row r="53" spans="2:77">
      <c r="B53" s="115">
        <v>1055</v>
      </c>
      <c r="C53" s="133" t="s">
        <v>243</v>
      </c>
      <c r="D53" s="12" t="s">
        <v>244</v>
      </c>
      <c r="E53" s="139" t="s">
        <v>486</v>
      </c>
      <c r="F53" s="15">
        <v>0</v>
      </c>
      <c r="G53" s="154">
        <v>1</v>
      </c>
      <c r="H53" s="2" t="s">
        <v>222</v>
      </c>
      <c r="I53" s="181" t="s">
        <v>3</v>
      </c>
      <c r="J53" s="182">
        <v>0</v>
      </c>
      <c r="K53" s="182">
        <f t="shared" si="7"/>
        <v>0</v>
      </c>
      <c r="L53" s="102" t="s">
        <v>245</v>
      </c>
      <c r="M53" s="99">
        <v>2190.6999999999998</v>
      </c>
      <c r="N53" s="103">
        <f t="shared" si="4"/>
        <v>0.21985035002339398</v>
      </c>
      <c r="O53" s="107">
        <v>17.61</v>
      </c>
      <c r="P53" s="99">
        <v>5823.41</v>
      </c>
      <c r="Q53" s="99">
        <f t="shared" si="1"/>
        <v>0.18088867495641939</v>
      </c>
      <c r="R53" s="102">
        <v>17.18</v>
      </c>
      <c r="S53" s="99">
        <v>5763.23</v>
      </c>
      <c r="T53" s="103">
        <f t="shared" si="2"/>
        <v>0.13244085836479219</v>
      </c>
      <c r="U53" s="107">
        <v>17.010000000000002</v>
      </c>
      <c r="V53" s="99">
        <v>3384.95</v>
      </c>
      <c r="W53" s="99">
        <f t="shared" si="5"/>
        <v>0.11922204791634824</v>
      </c>
      <c r="X53" s="102">
        <v>16.82</v>
      </c>
      <c r="Y53" s="99">
        <v>4943.34</v>
      </c>
      <c r="Z53" s="103">
        <f t="shared" si="3"/>
        <v>0.10221446372066711</v>
      </c>
      <c r="AA53" s="107">
        <v>16.760000000000002</v>
      </c>
      <c r="AB53" s="99">
        <v>6367.31</v>
      </c>
      <c r="AC53" s="99">
        <f t="shared" si="6"/>
        <v>0.14235227917505755</v>
      </c>
      <c r="AD53"/>
      <c r="AE53" s="12"/>
      <c r="AF53" s="25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G53"/>
      <c r="BY53"/>
    </row>
    <row r="54" spans="2:77">
      <c r="B54" s="115">
        <v>1082</v>
      </c>
      <c r="C54" s="133" t="s">
        <v>246</v>
      </c>
      <c r="D54" s="12" t="s">
        <v>247</v>
      </c>
      <c r="E54" s="139">
        <v>1</v>
      </c>
      <c r="F54" s="15">
        <v>0</v>
      </c>
      <c r="G54" s="154">
        <v>0</v>
      </c>
      <c r="H54" s="2" t="s">
        <v>222</v>
      </c>
      <c r="I54" s="102">
        <v>18.11</v>
      </c>
      <c r="J54" s="99">
        <v>3908.03</v>
      </c>
      <c r="K54" s="99">
        <f t="shared" si="7"/>
        <v>0.13002266149833441</v>
      </c>
      <c r="L54" s="102" t="s">
        <v>248</v>
      </c>
      <c r="M54" s="99">
        <v>1472.28</v>
      </c>
      <c r="N54" s="103">
        <f t="shared" si="4"/>
        <v>0.14775244138058269</v>
      </c>
      <c r="O54" s="107">
        <v>19.53</v>
      </c>
      <c r="P54" s="99">
        <v>3421.4</v>
      </c>
      <c r="Q54" s="99">
        <f t="shared" si="1"/>
        <v>0.10627665105082645</v>
      </c>
      <c r="R54" s="102">
        <v>19.25</v>
      </c>
      <c r="S54" s="99">
        <v>5563.5</v>
      </c>
      <c r="T54" s="103">
        <f t="shared" si="2"/>
        <v>0.12785099944172301</v>
      </c>
      <c r="U54" s="107">
        <v>19.05</v>
      </c>
      <c r="V54" s="99">
        <v>3659.53</v>
      </c>
      <c r="W54" s="99">
        <f t="shared" si="5"/>
        <v>0.12889308882297049</v>
      </c>
      <c r="X54" s="102">
        <v>18.829999999999998</v>
      </c>
      <c r="Y54" s="99">
        <v>4756.88</v>
      </c>
      <c r="Z54" s="103">
        <f t="shared" si="3"/>
        <v>9.8358991731009177E-2</v>
      </c>
      <c r="AA54" s="107">
        <v>18.68</v>
      </c>
      <c r="AB54" s="99">
        <v>4303.84</v>
      </c>
      <c r="AC54" s="99">
        <f t="shared" si="6"/>
        <v>9.6219821746511419E-2</v>
      </c>
      <c r="AD54"/>
      <c r="AE54" s="12"/>
      <c r="AF54" s="25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G54"/>
      <c r="BY54"/>
    </row>
    <row r="55" spans="2:77">
      <c r="B55" s="115">
        <v>1121</v>
      </c>
      <c r="C55" s="133" t="s">
        <v>249</v>
      </c>
      <c r="D55" s="12" t="s">
        <v>250</v>
      </c>
      <c r="E55" s="139" t="s">
        <v>486</v>
      </c>
      <c r="F55" s="15">
        <v>0</v>
      </c>
      <c r="G55" s="154">
        <v>1</v>
      </c>
      <c r="H55" s="2" t="s">
        <v>108</v>
      </c>
      <c r="I55" s="102">
        <v>23.87</v>
      </c>
      <c r="J55" s="99">
        <v>16776.150000000001</v>
      </c>
      <c r="K55" s="99">
        <f t="shared" si="7"/>
        <v>0.55815325693387297</v>
      </c>
      <c r="L55" s="102" t="s">
        <v>251</v>
      </c>
      <c r="M55" s="99">
        <v>5671.36</v>
      </c>
      <c r="N55" s="103">
        <f t="shared" si="4"/>
        <v>0.56915619715555565</v>
      </c>
      <c r="O55" s="107">
        <v>25.61</v>
      </c>
      <c r="P55" s="99">
        <v>24596.85</v>
      </c>
      <c r="Q55" s="99">
        <f t="shared" si="1"/>
        <v>0.76403543707240329</v>
      </c>
      <c r="R55" s="102">
        <v>25.37</v>
      </c>
      <c r="S55" s="99">
        <v>28939.71</v>
      </c>
      <c r="T55" s="103">
        <f t="shared" si="2"/>
        <v>0.66504373992156474</v>
      </c>
      <c r="U55" s="107">
        <v>25.02</v>
      </c>
      <c r="V55" s="99">
        <v>21600.85</v>
      </c>
      <c r="W55" s="99">
        <f t="shared" si="5"/>
        <v>0.76080815779667377</v>
      </c>
      <c r="X55" s="102">
        <v>24.64</v>
      </c>
      <c r="Y55" s="99">
        <v>31126.880000000001</v>
      </c>
      <c r="Z55" s="103">
        <f t="shared" si="3"/>
        <v>0.64361693642305773</v>
      </c>
      <c r="AA55" s="107">
        <v>24.62</v>
      </c>
      <c r="AB55" s="99">
        <v>30631.75</v>
      </c>
      <c r="AC55" s="99">
        <f t="shared" si="6"/>
        <v>0.68482599836046432</v>
      </c>
      <c r="AD55"/>
      <c r="AE55" s="12"/>
      <c r="AF55" s="2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G55"/>
      <c r="BY55"/>
    </row>
    <row r="56" spans="2:77">
      <c r="B56" s="115">
        <v>1169</v>
      </c>
      <c r="C56" s="133" t="s">
        <v>252</v>
      </c>
      <c r="D56" s="12" t="s">
        <v>253</v>
      </c>
      <c r="E56" s="139">
        <v>0</v>
      </c>
      <c r="F56" s="15">
        <v>0</v>
      </c>
      <c r="G56" s="154">
        <v>0</v>
      </c>
      <c r="H56" s="2">
        <v>0</v>
      </c>
      <c r="I56" s="181" t="s">
        <v>3</v>
      </c>
      <c r="J56" s="182">
        <v>0</v>
      </c>
      <c r="K56" s="182">
        <f t="shared" si="7"/>
        <v>0</v>
      </c>
      <c r="L56" s="181" t="s">
        <v>3</v>
      </c>
      <c r="M56" s="182">
        <v>0</v>
      </c>
      <c r="N56" s="183">
        <f t="shared" si="4"/>
        <v>0</v>
      </c>
      <c r="O56" s="107" t="s">
        <v>254</v>
      </c>
      <c r="P56" s="99">
        <v>1396.27</v>
      </c>
      <c r="Q56" s="99">
        <f t="shared" si="1"/>
        <v>4.3371397545664769E-2</v>
      </c>
      <c r="R56" s="111">
        <v>21.19</v>
      </c>
      <c r="S56" s="99">
        <v>1363.95</v>
      </c>
      <c r="T56" s="103">
        <f t="shared" si="2"/>
        <v>3.1344004797077045E-2</v>
      </c>
      <c r="U56" s="107" t="s">
        <v>255</v>
      </c>
      <c r="V56" s="99">
        <v>680.05</v>
      </c>
      <c r="W56" s="99">
        <f t="shared" si="5"/>
        <v>2.3952186497736339E-2</v>
      </c>
      <c r="X56" s="102">
        <v>20.59</v>
      </c>
      <c r="Y56" s="99">
        <v>2973.69</v>
      </c>
      <c r="Z56" s="103">
        <f t="shared" si="3"/>
        <v>6.1487603244266137E-2</v>
      </c>
      <c r="AA56" s="107">
        <v>20.53</v>
      </c>
      <c r="AB56" s="99">
        <v>2816.39</v>
      </c>
      <c r="AC56" s="99">
        <f t="shared" si="6"/>
        <v>6.2965292336299036E-2</v>
      </c>
      <c r="AD56"/>
      <c r="AE56" s="12"/>
      <c r="AF56" s="25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G56"/>
      <c r="BY56"/>
    </row>
    <row r="57" spans="2:77">
      <c r="B57" s="115">
        <v>1170</v>
      </c>
      <c r="C57" s="133" t="s">
        <v>256</v>
      </c>
      <c r="D57" s="12" t="s">
        <v>257</v>
      </c>
      <c r="E57" s="139">
        <v>1</v>
      </c>
      <c r="F57" s="15">
        <v>1</v>
      </c>
      <c r="G57" s="154">
        <v>0</v>
      </c>
      <c r="H57" s="2" t="s">
        <v>222</v>
      </c>
      <c r="I57" s="102">
        <v>16.010000000000002</v>
      </c>
      <c r="J57" s="99">
        <v>20203.16</v>
      </c>
      <c r="K57" s="99">
        <f t="shared" si="7"/>
        <v>0.67217207490134157</v>
      </c>
      <c r="L57" s="102" t="s">
        <v>258</v>
      </c>
      <c r="M57" s="99">
        <v>6486.31</v>
      </c>
      <c r="N57" s="103">
        <f t="shared" si="4"/>
        <v>0.65094149078387775</v>
      </c>
      <c r="O57" s="107">
        <v>17.170000000000002</v>
      </c>
      <c r="P57" s="99">
        <v>22503.42</v>
      </c>
      <c r="Q57" s="99">
        <f t="shared" si="1"/>
        <v>0.69900862652428508</v>
      </c>
      <c r="R57" s="102">
        <v>16.95</v>
      </c>
      <c r="S57" s="99">
        <v>29224.41</v>
      </c>
      <c r="T57" s="103">
        <f t="shared" si="2"/>
        <v>0.67158623646889271</v>
      </c>
      <c r="U57" s="107">
        <v>16.78</v>
      </c>
      <c r="V57" s="99">
        <v>23304.54</v>
      </c>
      <c r="W57" s="99">
        <f t="shared" si="5"/>
        <v>0.8208141876684899</v>
      </c>
      <c r="X57" s="102">
        <v>16.59</v>
      </c>
      <c r="Y57" s="99">
        <v>33591.839999999997</v>
      </c>
      <c r="Z57" s="103">
        <f t="shared" si="3"/>
        <v>0.69458542422541314</v>
      </c>
      <c r="AA57" s="107">
        <v>16.45</v>
      </c>
      <c r="AB57" s="99">
        <v>31985.42</v>
      </c>
      <c r="AC57" s="99">
        <f t="shared" si="6"/>
        <v>0.71508964340851444</v>
      </c>
      <c r="AD57"/>
      <c r="AE57" s="12"/>
      <c r="AF57" s="25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G57"/>
      <c r="BY57"/>
    </row>
    <row r="58" spans="2:77">
      <c r="B58" s="115">
        <v>1186</v>
      </c>
      <c r="C58" s="133" t="s">
        <v>259</v>
      </c>
      <c r="D58" s="115" t="s">
        <v>260</v>
      </c>
      <c r="E58" s="139">
        <v>1</v>
      </c>
      <c r="F58" s="15">
        <v>1</v>
      </c>
      <c r="G58" s="154">
        <v>0</v>
      </c>
      <c r="H58" s="2" t="s">
        <v>222</v>
      </c>
      <c r="I58" s="102">
        <v>15.77</v>
      </c>
      <c r="J58" s="99">
        <v>8806.65</v>
      </c>
      <c r="K58" s="99">
        <f t="shared" si="7"/>
        <v>0.29300288684690412</v>
      </c>
      <c r="L58" s="102" t="s">
        <v>261</v>
      </c>
      <c r="M58" s="99">
        <v>2686.7</v>
      </c>
      <c r="N58" s="103">
        <f t="shared" si="4"/>
        <v>0.26962703035917862</v>
      </c>
      <c r="O58" s="107">
        <v>16.98</v>
      </c>
      <c r="P58" s="99">
        <v>11847.29</v>
      </c>
      <c r="Q58" s="99">
        <f t="shared" si="1"/>
        <v>0.3680044149260378</v>
      </c>
      <c r="R58" s="102">
        <v>16.77</v>
      </c>
      <c r="S58" s="99">
        <v>13488.66</v>
      </c>
      <c r="T58" s="103">
        <f t="shared" si="2"/>
        <v>0.30997369679690689</v>
      </c>
      <c r="U58" s="107">
        <v>16.55</v>
      </c>
      <c r="V58" s="99">
        <v>11556.25</v>
      </c>
      <c r="W58" s="99">
        <f t="shared" si="5"/>
        <v>0.40702515287767904</v>
      </c>
      <c r="X58" s="102">
        <v>16.39</v>
      </c>
      <c r="Y58" s="99">
        <v>13976.61</v>
      </c>
      <c r="Z58" s="103">
        <f t="shared" si="3"/>
        <v>0.28899725606228038</v>
      </c>
      <c r="AA58" s="107">
        <v>16.260000000000002</v>
      </c>
      <c r="AB58" s="99">
        <v>14466.99</v>
      </c>
      <c r="AC58" s="99">
        <f t="shared" si="6"/>
        <v>0.32343469994436669</v>
      </c>
      <c r="AD58"/>
      <c r="AE58" s="12"/>
      <c r="AF58" s="25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G58"/>
      <c r="BY58"/>
    </row>
    <row r="59" spans="2:77">
      <c r="B59" s="115">
        <v>1187</v>
      </c>
      <c r="C59" s="133" t="s">
        <v>262</v>
      </c>
      <c r="D59" s="12" t="s">
        <v>263</v>
      </c>
      <c r="E59" s="139" t="s">
        <v>483</v>
      </c>
      <c r="F59" s="15">
        <v>0</v>
      </c>
      <c r="G59" s="154">
        <v>0</v>
      </c>
      <c r="H59" s="2" t="s">
        <v>222</v>
      </c>
      <c r="I59" s="102">
        <v>23.63</v>
      </c>
      <c r="J59" s="99">
        <v>10246.68</v>
      </c>
      <c r="K59" s="99">
        <f t="shared" si="7"/>
        <v>0.34091360739854948</v>
      </c>
      <c r="L59" s="102" t="s">
        <v>264</v>
      </c>
      <c r="M59" s="99">
        <v>3217.51</v>
      </c>
      <c r="N59" s="103">
        <f t="shared" si="4"/>
        <v>0.32289711037740015</v>
      </c>
      <c r="O59" s="107">
        <v>25.56</v>
      </c>
      <c r="P59" s="99">
        <v>9554.34</v>
      </c>
      <c r="Q59" s="99">
        <f t="shared" si="1"/>
        <v>0.29678004857688473</v>
      </c>
      <c r="R59" s="102">
        <v>25.17</v>
      </c>
      <c r="S59" s="99">
        <v>11044.59</v>
      </c>
      <c r="T59" s="103">
        <f t="shared" si="2"/>
        <v>0.2538081908733818</v>
      </c>
      <c r="U59" s="107">
        <v>24.92</v>
      </c>
      <c r="V59" s="99">
        <v>4650.2</v>
      </c>
      <c r="W59" s="99">
        <f t="shared" si="5"/>
        <v>0.16378568877549227</v>
      </c>
      <c r="X59" s="102">
        <v>24.56</v>
      </c>
      <c r="Y59" s="99">
        <v>11877.65</v>
      </c>
      <c r="Z59" s="103">
        <f t="shared" si="3"/>
        <v>0.24559662596782367</v>
      </c>
      <c r="AA59" s="107">
        <v>24.37</v>
      </c>
      <c r="AB59" s="99">
        <v>13663.48</v>
      </c>
      <c r="AC59" s="99">
        <f t="shared" si="6"/>
        <v>0.3054708376791479</v>
      </c>
      <c r="AD59"/>
      <c r="AE59" s="12"/>
      <c r="AF59" s="25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G59"/>
      <c r="BY59"/>
    </row>
    <row r="60" spans="2:77">
      <c r="B60" s="115">
        <v>1219</v>
      </c>
      <c r="C60" s="133" t="s">
        <v>266</v>
      </c>
      <c r="D60" s="123" t="s">
        <v>267</v>
      </c>
      <c r="E60" s="139">
        <v>0</v>
      </c>
      <c r="F60" s="15">
        <v>0</v>
      </c>
      <c r="G60" s="154">
        <v>1</v>
      </c>
      <c r="H60" s="2" t="s">
        <v>158</v>
      </c>
      <c r="I60" s="102" t="s">
        <v>271</v>
      </c>
      <c r="J60" s="99">
        <v>1662.64</v>
      </c>
      <c r="K60" s="99">
        <f t="shared" si="7"/>
        <v>5.531709785073062E-2</v>
      </c>
      <c r="L60" s="102" t="s">
        <v>268</v>
      </c>
      <c r="M60" s="99">
        <v>768.04</v>
      </c>
      <c r="N60" s="103">
        <f t="shared" si="4"/>
        <v>7.7077583800596844E-2</v>
      </c>
      <c r="O60" s="107" t="s">
        <v>269</v>
      </c>
      <c r="P60" s="99">
        <v>2858.37</v>
      </c>
      <c r="Q60" s="99">
        <f t="shared" si="1"/>
        <v>8.8787628182659381E-2</v>
      </c>
      <c r="R60" s="111">
        <v>18.190000000000001</v>
      </c>
      <c r="S60" s="99">
        <v>3756.9</v>
      </c>
      <c r="T60" s="103">
        <f t="shared" si="2"/>
        <v>8.6334756862156775E-2</v>
      </c>
      <c r="U60" s="107">
        <v>18</v>
      </c>
      <c r="V60" s="99">
        <v>2762.74</v>
      </c>
      <c r="W60" s="99">
        <f t="shared" si="5"/>
        <v>9.7307056429315628E-2</v>
      </c>
      <c r="X60" s="102">
        <v>17.670000000000002</v>
      </c>
      <c r="Y60" s="99">
        <v>2941.03</v>
      </c>
      <c r="Z60" s="103">
        <f t="shared" si="3"/>
        <v>6.0812285668473867E-2</v>
      </c>
      <c r="AA60" s="107" t="s">
        <v>270</v>
      </c>
      <c r="AB60" s="99">
        <v>3198.93</v>
      </c>
      <c r="AC60" s="99">
        <f t="shared" si="6"/>
        <v>7.1517638755057747E-2</v>
      </c>
      <c r="AD60"/>
      <c r="AE60" s="12"/>
      <c r="AF60" s="25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G60"/>
      <c r="BY60"/>
    </row>
    <row r="61" spans="2:77" ht="14.7" thickBot="1">
      <c r="B61" s="124"/>
      <c r="C61" s="134"/>
      <c r="D61" s="124"/>
      <c r="E61" s="144"/>
      <c r="F61" s="125"/>
      <c r="G61" s="161"/>
      <c r="H61" s="97"/>
      <c r="I61" s="126"/>
      <c r="J61" s="127">
        <f>SUM(J5:J60)</f>
        <v>3005652.9799999991</v>
      </c>
      <c r="K61" s="127">
        <f>SUBTOTAL(109,Table163[Percentage13])</f>
        <v>100.00000000000003</v>
      </c>
      <c r="L61" s="126"/>
      <c r="M61" s="127">
        <f>SUM(M5:M60)</f>
        <v>996450.54000000015</v>
      </c>
      <c r="N61" s="33">
        <f>SUBTOTAL(109,Table163[Perecentage])</f>
        <v>100</v>
      </c>
      <c r="O61" s="128"/>
      <c r="P61" s="127">
        <f>SUM(P5:P60)</f>
        <v>3219333.66</v>
      </c>
      <c r="Q61" s="127">
        <f>SUBTOTAL(109,Table163[Percentage5])</f>
        <v>100</v>
      </c>
      <c r="R61" s="129"/>
      <c r="S61" s="127">
        <f>SUM(S5:S60)</f>
        <v>4351549.870000001</v>
      </c>
      <c r="T61" s="33">
        <f>SUBTOTAL(109,Table163[Percentage6])</f>
        <v>99.999999999999943</v>
      </c>
      <c r="U61" s="128"/>
      <c r="V61" s="127">
        <f>SUM(V5:V60)</f>
        <v>2839197.9999999991</v>
      </c>
      <c r="W61" s="127">
        <f>SUBTOTAL(109,Table163[Percentage11])</f>
        <v>100.00000000000007</v>
      </c>
      <c r="X61" s="129"/>
      <c r="Y61" s="127">
        <f>SUM(Y5:Y60)</f>
        <v>4836243.1500000022</v>
      </c>
      <c r="Z61" s="33">
        <f>SUBTOTAL(109,Table163[Percentage1340])</f>
        <v>99.999999999999915</v>
      </c>
      <c r="AA61" s="128"/>
      <c r="AB61" s="127">
        <f>SUM(AB5:AB60)</f>
        <v>4472924.5199999986</v>
      </c>
      <c r="AC61" s="127">
        <f>SUBTOTAL(109,Table163[Percentage19])</f>
        <v>100.00000000000004</v>
      </c>
      <c r="AD61"/>
      <c r="AE61"/>
      <c r="AF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G61"/>
      <c r="BY61"/>
    </row>
    <row r="62" spans="2:77" ht="14.7" thickTop="1">
      <c r="D62" t="s">
        <v>525</v>
      </c>
    </row>
    <row r="63" spans="2:77">
      <c r="D63" t="s">
        <v>472</v>
      </c>
    </row>
    <row r="65" spans="2:77" ht="20.7">
      <c r="B65" s="34" t="s">
        <v>272</v>
      </c>
      <c r="E65" s="12"/>
      <c r="G65" s="16"/>
      <c r="H65" s="15"/>
      <c r="I65" s="2"/>
      <c r="J65" s="36"/>
      <c r="K65" s="36"/>
      <c r="L65" s="36"/>
      <c r="M65" s="36"/>
      <c r="N65" s="36"/>
      <c r="O65" s="36"/>
      <c r="P65" s="36"/>
      <c r="Q65" s="36"/>
      <c r="R65" s="36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G65"/>
      <c r="BY65"/>
    </row>
    <row r="66" spans="2:77">
      <c r="B66" s="12" t="s">
        <v>473</v>
      </c>
      <c r="C66" t="s">
        <v>474</v>
      </c>
      <c r="E66"/>
      <c r="F66"/>
      <c r="G66" s="12"/>
      <c r="H66" s="12"/>
      <c r="J66" s="12"/>
      <c r="L66"/>
      <c r="N66"/>
      <c r="O66"/>
      <c r="Q66"/>
      <c r="R66" s="3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G66"/>
      <c r="BY66"/>
    </row>
    <row r="67" spans="2:77">
      <c r="B67" s="12" t="s">
        <v>475</v>
      </c>
      <c r="C67" t="s">
        <v>476</v>
      </c>
      <c r="E67"/>
      <c r="F67"/>
      <c r="G67" s="12"/>
      <c r="H67" s="12"/>
      <c r="J67" s="12"/>
      <c r="L67"/>
      <c r="N67"/>
      <c r="O67"/>
      <c r="Q67"/>
      <c r="R67" s="36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G67"/>
      <c r="BY67"/>
    </row>
    <row r="68" spans="2:77">
      <c r="B68" s="12" t="s">
        <v>457</v>
      </c>
      <c r="C68" t="s">
        <v>477</v>
      </c>
      <c r="E68"/>
      <c r="F68"/>
      <c r="G68" s="12"/>
      <c r="H68" s="12"/>
      <c r="J68" s="12"/>
      <c r="L68"/>
      <c r="N68"/>
      <c r="O68"/>
      <c r="Q68"/>
      <c r="R68" s="36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G68"/>
      <c r="BY68"/>
    </row>
    <row r="69" spans="2:77">
      <c r="B69"/>
      <c r="C69" t="s">
        <v>458</v>
      </c>
      <c r="E69"/>
      <c r="F69"/>
      <c r="G69" s="12"/>
      <c r="H69" s="12"/>
      <c r="J69" s="12"/>
      <c r="L69"/>
      <c r="N69"/>
      <c r="O69"/>
      <c r="Q69"/>
      <c r="R69" s="36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G69"/>
      <c r="BY69"/>
    </row>
    <row r="70" spans="2:77">
      <c r="B70" s="12" t="s">
        <v>459</v>
      </c>
      <c r="C70" t="s">
        <v>494</v>
      </c>
      <c r="E70"/>
      <c r="F70"/>
      <c r="G70" s="12"/>
      <c r="H70" s="12"/>
      <c r="J70" s="12"/>
      <c r="L70"/>
      <c r="N70"/>
      <c r="O70"/>
      <c r="Q70"/>
      <c r="R70" s="36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G70"/>
      <c r="BY70"/>
    </row>
    <row r="71" spans="2:77">
      <c r="B71" s="12" t="s">
        <v>460</v>
      </c>
      <c r="C71" t="s">
        <v>495</v>
      </c>
      <c r="E71"/>
      <c r="F71"/>
      <c r="G71" s="12"/>
      <c r="H71" s="12"/>
      <c r="J71" s="12"/>
      <c r="L71"/>
      <c r="N71"/>
      <c r="O71"/>
      <c r="Q71"/>
      <c r="R71" s="36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G71"/>
      <c r="BY71"/>
    </row>
    <row r="72" spans="2:77">
      <c r="B72" s="12" t="s">
        <v>461</v>
      </c>
      <c r="C72" t="s">
        <v>518</v>
      </c>
      <c r="E72" s="12"/>
      <c r="G72" s="16"/>
      <c r="H72" s="15"/>
      <c r="I72" s="2"/>
      <c r="J72" s="36"/>
      <c r="K72" s="36"/>
      <c r="L72" s="36"/>
      <c r="M72" s="36"/>
      <c r="N72" s="36"/>
      <c r="O72" s="36"/>
      <c r="P72" s="36"/>
      <c r="Q72" s="36"/>
      <c r="R72" s="36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G72"/>
      <c r="BY72"/>
    </row>
    <row r="73" spans="2:77">
      <c r="B73" s="12" t="s">
        <v>478</v>
      </c>
      <c r="C73" t="s">
        <v>462</v>
      </c>
      <c r="E73" s="12"/>
      <c r="G73" s="16"/>
      <c r="H73" s="15"/>
      <c r="I73" s="2"/>
      <c r="J73" s="36"/>
      <c r="K73" s="36"/>
      <c r="L73" s="36"/>
      <c r="M73" s="36"/>
      <c r="N73" s="36"/>
      <c r="O73" s="36"/>
      <c r="P73" s="36"/>
      <c r="Q73" s="36"/>
      <c r="R73" s="36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G73"/>
      <c r="BY73"/>
    </row>
    <row r="74" spans="2:77">
      <c r="B74" s="12" t="s">
        <v>479</v>
      </c>
      <c r="C74" t="s">
        <v>463</v>
      </c>
      <c r="E74" s="12"/>
      <c r="G74" s="16"/>
      <c r="H74" s="15"/>
      <c r="I74" s="2"/>
      <c r="J74" s="36"/>
      <c r="K74" s="36"/>
      <c r="L74" s="36"/>
      <c r="M74" s="36"/>
      <c r="N74" s="36"/>
      <c r="O74" s="36"/>
      <c r="P74" s="36"/>
      <c r="Q74" s="36"/>
      <c r="R74" s="36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G74"/>
      <c r="BY74"/>
    </row>
    <row r="76" spans="2:77">
      <c r="B76" s="61"/>
      <c r="C76" s="334" t="s">
        <v>522</v>
      </c>
      <c r="D76" s="335"/>
    </row>
    <row r="77" spans="2:77">
      <c r="B77" s="62"/>
      <c r="C77" s="334" t="s">
        <v>528</v>
      </c>
      <c r="D77" s="335"/>
    </row>
    <row r="78" spans="2:77">
      <c r="B78" s="185"/>
      <c r="C78" t="s">
        <v>523</v>
      </c>
    </row>
  </sheetData>
  <mergeCells count="10">
    <mergeCell ref="A1:I1"/>
    <mergeCell ref="C76:D76"/>
    <mergeCell ref="C77:D77"/>
    <mergeCell ref="AA3:AC3"/>
    <mergeCell ref="I3:K3"/>
    <mergeCell ref="L3:N3"/>
    <mergeCell ref="O3:Q3"/>
    <mergeCell ref="R3:T3"/>
    <mergeCell ref="U3:W3"/>
    <mergeCell ref="X3:Z3"/>
  </mergeCells>
  <phoneticPr fontId="18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59F8-7E96-4CFC-A24B-148B987F3F9D}">
  <dimension ref="A1:BY94"/>
  <sheetViews>
    <sheetView zoomScale="70" zoomScaleNormal="70" workbookViewId="0">
      <pane xSplit="8" ySplit="8" topLeftCell="I9" activePane="bottomRight" state="frozen"/>
      <selection pane="topRight" activeCell="F1" sqref="F1"/>
      <selection pane="bottomLeft" activeCell="A4" sqref="A4"/>
      <selection pane="bottomRight" sqref="A1:P1"/>
    </sheetView>
  </sheetViews>
  <sheetFormatPr defaultRowHeight="14.35"/>
  <cols>
    <col min="1" max="1" width="6.76171875" customWidth="1"/>
    <col min="2" max="2" width="9.1171875" style="12" customWidth="1"/>
    <col min="3" max="3" width="20.64453125" customWidth="1"/>
    <col min="4" max="4" width="48.52734375" style="12" customWidth="1"/>
    <col min="5" max="5" width="12.29296875" style="15" customWidth="1"/>
    <col min="6" max="6" width="7.76171875" style="15" customWidth="1"/>
    <col min="7" max="7" width="4.87890625" style="15" customWidth="1"/>
    <col min="8" max="8" width="5.64453125" style="2" customWidth="1"/>
    <col min="9" max="9" width="8.1171875" style="25" customWidth="1"/>
    <col min="10" max="10" width="10.76171875" style="25" customWidth="1"/>
    <col min="11" max="11" width="8.1171875" style="25" customWidth="1"/>
    <col min="12" max="12" width="9.52734375" customWidth="1"/>
    <col min="13" max="13" width="12.41015625" customWidth="1"/>
    <col min="16" max="16" width="10.3515625" customWidth="1"/>
    <col min="19" max="19" width="13.05859375" customWidth="1"/>
    <col min="22" max="22" width="11.52734375" customWidth="1"/>
    <col min="23" max="23" width="6.64453125" customWidth="1"/>
    <col min="25" max="25" width="9.87890625" customWidth="1"/>
    <col min="27" max="27" width="8.1171875" style="2" customWidth="1"/>
    <col min="28" max="28" width="9.3515625" style="2" customWidth="1"/>
    <col min="29" max="29" width="8.1171875" style="25" customWidth="1"/>
    <col min="30" max="32" width="0" hidden="1" customWidth="1"/>
    <col min="33" max="33" width="8.1171875" style="25" hidden="1" customWidth="1"/>
    <col min="34" max="34" width="9.3515625" style="25" hidden="1" customWidth="1"/>
    <col min="35" max="36" width="8.1171875" style="25" hidden="1" customWidth="1"/>
    <col min="37" max="37" width="10.52734375" style="25" hidden="1" customWidth="1"/>
    <col min="38" max="42" width="8.1171875" style="25" hidden="1" customWidth="1"/>
    <col min="43" max="43" width="9.3515625" style="25" hidden="1" customWidth="1"/>
    <col min="44" max="54" width="8.1171875" style="25" hidden="1" customWidth="1"/>
    <col min="55" max="55" width="9.41015625" style="25" hidden="1" customWidth="1"/>
    <col min="56" max="57" width="8.1171875" style="25" hidden="1" customWidth="1"/>
    <col min="58" max="58" width="8.76171875" style="25" hidden="1" customWidth="1"/>
    <col min="59" max="59" width="8.1171875" style="25" customWidth="1"/>
    <col min="60" max="60" width="8.1171875" customWidth="1"/>
    <col min="61" max="61" width="8.1171875" style="36" customWidth="1"/>
    <col min="62" max="69" width="8.1171875" customWidth="1"/>
  </cols>
  <sheetData>
    <row r="1" spans="1:61" ht="25.35" customHeight="1">
      <c r="A1" s="357" t="s">
        <v>496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AD1" s="25"/>
      <c r="AE1" s="25"/>
      <c r="AF1" s="25"/>
      <c r="BE1"/>
      <c r="BF1" s="36"/>
      <c r="BG1"/>
      <c r="BI1"/>
    </row>
    <row r="2" spans="1:61" ht="23.35">
      <c r="A2" s="48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/>
      <c r="BF2" s="36"/>
      <c r="BG2"/>
      <c r="BI2"/>
    </row>
    <row r="3" spans="1:61" s="3" customFormat="1" ht="20.7">
      <c r="B3" s="37" t="s">
        <v>532</v>
      </c>
      <c r="C3" s="4"/>
      <c r="D3" s="4"/>
      <c r="E3" s="4"/>
      <c r="I3" s="8"/>
      <c r="L3"/>
      <c r="M3"/>
      <c r="N3"/>
    </row>
    <row r="4" spans="1:61" ht="23.35">
      <c r="A4" s="48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/>
      <c r="BF4" s="36"/>
      <c r="BG4"/>
      <c r="BI4"/>
    </row>
    <row r="5" spans="1:61" ht="23.35">
      <c r="B5" s="355" t="s">
        <v>516</v>
      </c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355"/>
      <c r="AC5" s="355"/>
      <c r="AD5" s="164"/>
      <c r="AE5" s="165"/>
      <c r="AF5" s="165"/>
      <c r="AG5" s="20"/>
      <c r="AH5" s="165"/>
      <c r="AI5" s="165"/>
      <c r="AJ5" s="164"/>
      <c r="AK5" s="165"/>
      <c r="AL5" s="165"/>
      <c r="AM5" s="164"/>
      <c r="AN5" s="165"/>
      <c r="AO5" s="165"/>
      <c r="AP5" s="164"/>
      <c r="AQ5" s="165"/>
      <c r="AR5" s="165"/>
      <c r="AS5" s="164"/>
      <c r="AT5" s="165"/>
      <c r="AU5" s="165"/>
      <c r="AV5" s="164"/>
      <c r="AW5" s="165"/>
      <c r="AX5" s="165"/>
      <c r="AY5" s="164"/>
      <c r="AZ5" s="165"/>
      <c r="BA5" s="165"/>
      <c r="BB5" s="164"/>
      <c r="BC5" s="165"/>
      <c r="BD5" s="165"/>
      <c r="BE5"/>
      <c r="BF5" s="36"/>
      <c r="BG5"/>
      <c r="BI5"/>
    </row>
    <row r="6" spans="1:61" ht="14.7" thickBot="1">
      <c r="I6"/>
      <c r="L6" s="1"/>
      <c r="M6" s="2"/>
      <c r="N6" s="25"/>
      <c r="P6" s="2"/>
      <c r="Q6" s="12"/>
      <c r="S6" s="2"/>
      <c r="T6" s="25"/>
      <c r="V6" s="2"/>
      <c r="W6" s="25"/>
      <c r="Y6" s="25"/>
      <c r="Z6" s="25"/>
      <c r="AA6" s="39"/>
      <c r="AB6" s="25"/>
      <c r="AE6" s="25"/>
      <c r="AF6" s="25"/>
      <c r="AG6" s="39"/>
      <c r="AJ6" s="39"/>
      <c r="AM6" s="39"/>
      <c r="AP6" s="39"/>
      <c r="AS6" s="39"/>
      <c r="AV6" s="39"/>
      <c r="AY6" s="39"/>
      <c r="BB6"/>
      <c r="BE6"/>
      <c r="BF6"/>
      <c r="BG6"/>
      <c r="BI6"/>
    </row>
    <row r="7" spans="1:61" s="20" customFormat="1" ht="21" thickBot="1">
      <c r="B7" s="17"/>
      <c r="D7" s="17"/>
      <c r="E7" s="18"/>
      <c r="F7" s="18"/>
      <c r="G7" s="18"/>
      <c r="H7" s="19"/>
      <c r="I7" s="336" t="s">
        <v>464</v>
      </c>
      <c r="J7" s="337"/>
      <c r="K7" s="338"/>
      <c r="L7" s="340" t="s">
        <v>0</v>
      </c>
      <c r="M7" s="340"/>
      <c r="N7" s="340"/>
      <c r="O7" s="351" t="s">
        <v>51</v>
      </c>
      <c r="P7" s="342"/>
      <c r="Q7" s="352"/>
      <c r="R7" s="344" t="s">
        <v>52</v>
      </c>
      <c r="S7" s="344"/>
      <c r="T7" s="344"/>
      <c r="U7" s="353" t="s">
        <v>2</v>
      </c>
      <c r="V7" s="346"/>
      <c r="W7" s="354"/>
      <c r="X7" s="347" t="s">
        <v>1</v>
      </c>
      <c r="Y7" s="348"/>
      <c r="Z7" s="349"/>
      <c r="AA7" s="332" t="s">
        <v>53</v>
      </c>
      <c r="AB7" s="332"/>
      <c r="AC7" s="333"/>
      <c r="AD7" s="164"/>
      <c r="AE7" s="165"/>
      <c r="AF7" s="165"/>
      <c r="AH7" s="165"/>
      <c r="AI7" s="165"/>
      <c r="AJ7" s="164"/>
      <c r="AK7" s="165"/>
      <c r="AL7" s="165"/>
      <c r="AM7" s="166"/>
      <c r="AN7" s="165"/>
      <c r="AO7" s="165"/>
      <c r="AP7" s="166"/>
      <c r="AQ7" s="165"/>
      <c r="AR7" s="165"/>
      <c r="AS7" s="166"/>
      <c r="AT7" s="165"/>
      <c r="AU7" s="165"/>
      <c r="AV7" s="166"/>
      <c r="AW7" s="165"/>
      <c r="AX7" s="165"/>
      <c r="AY7" s="166"/>
      <c r="AZ7" s="165"/>
      <c r="BA7" s="165"/>
      <c r="BB7" s="166"/>
      <c r="BC7" s="165"/>
      <c r="BD7" s="165"/>
    </row>
    <row r="8" spans="1:61" ht="16.350000000000001">
      <c r="B8" s="189" t="s">
        <v>11</v>
      </c>
      <c r="C8" s="190" t="s">
        <v>10</v>
      </c>
      <c r="D8" s="229" t="s">
        <v>9</v>
      </c>
      <c r="E8" s="192" t="s">
        <v>467</v>
      </c>
      <c r="F8" s="241" t="s">
        <v>491</v>
      </c>
      <c r="G8" s="193" t="s">
        <v>54</v>
      </c>
      <c r="H8" s="194" t="s">
        <v>493</v>
      </c>
      <c r="I8" s="220" t="s">
        <v>289</v>
      </c>
      <c r="J8" s="195" t="s">
        <v>290</v>
      </c>
      <c r="K8" s="200" t="s">
        <v>291</v>
      </c>
      <c r="L8" s="196" t="s">
        <v>273</v>
      </c>
      <c r="M8" s="197" t="s">
        <v>274</v>
      </c>
      <c r="N8" s="251" t="s">
        <v>275</v>
      </c>
      <c r="O8" s="233" t="s">
        <v>276</v>
      </c>
      <c r="P8" s="197" t="s">
        <v>277</v>
      </c>
      <c r="Q8" s="252" t="s">
        <v>278</v>
      </c>
      <c r="R8" s="198" t="s">
        <v>8</v>
      </c>
      <c r="S8" s="198" t="s">
        <v>7</v>
      </c>
      <c r="T8" s="199" t="s">
        <v>279</v>
      </c>
      <c r="U8" s="230" t="s">
        <v>280</v>
      </c>
      <c r="V8" s="198" t="s">
        <v>281</v>
      </c>
      <c r="W8" s="231" t="s">
        <v>282</v>
      </c>
      <c r="X8" s="220" t="s">
        <v>283</v>
      </c>
      <c r="Y8" s="195" t="s">
        <v>284</v>
      </c>
      <c r="Z8" s="200" t="s">
        <v>285</v>
      </c>
      <c r="AA8" s="195" t="s">
        <v>286</v>
      </c>
      <c r="AB8" s="195" t="s">
        <v>287</v>
      </c>
      <c r="AC8" s="200" t="s">
        <v>288</v>
      </c>
      <c r="AD8" s="167" t="s">
        <v>497</v>
      </c>
      <c r="AE8" s="167" t="s">
        <v>498</v>
      </c>
      <c r="AF8" s="167" t="s">
        <v>292</v>
      </c>
      <c r="AG8" s="167" t="s">
        <v>499</v>
      </c>
      <c r="AH8" s="167" t="s">
        <v>500</v>
      </c>
      <c r="AI8" s="167" t="s">
        <v>293</v>
      </c>
      <c r="AJ8" s="167" t="s">
        <v>501</v>
      </c>
      <c r="AK8" s="167" t="s">
        <v>502</v>
      </c>
      <c r="AL8" s="167" t="s">
        <v>294</v>
      </c>
      <c r="AM8" s="167" t="s">
        <v>503</v>
      </c>
      <c r="AN8" s="167" t="s">
        <v>504</v>
      </c>
      <c r="AO8" s="167" t="s">
        <v>295</v>
      </c>
      <c r="AP8" s="167" t="s">
        <v>505</v>
      </c>
      <c r="AQ8" s="167" t="s">
        <v>506</v>
      </c>
      <c r="AR8" s="167" t="s">
        <v>296</v>
      </c>
      <c r="AS8" s="167" t="s">
        <v>507</v>
      </c>
      <c r="AT8" s="167" t="s">
        <v>508</v>
      </c>
      <c r="AU8" s="167" t="s">
        <v>297</v>
      </c>
      <c r="AV8" s="167" t="s">
        <v>509</v>
      </c>
      <c r="AW8" s="167" t="s">
        <v>510</v>
      </c>
      <c r="AX8" s="167" t="s">
        <v>298</v>
      </c>
      <c r="AY8" s="167" t="s">
        <v>511</v>
      </c>
      <c r="AZ8" s="167" t="s">
        <v>512</v>
      </c>
      <c r="BA8" s="167" t="s">
        <v>299</v>
      </c>
      <c r="BB8" s="167" t="s">
        <v>513</v>
      </c>
      <c r="BC8" s="167" t="s">
        <v>514</v>
      </c>
      <c r="BD8" s="167" t="s">
        <v>300</v>
      </c>
      <c r="BE8"/>
      <c r="BF8"/>
      <c r="BG8"/>
      <c r="BI8"/>
    </row>
    <row r="9" spans="1:61">
      <c r="B9" s="201" t="s">
        <v>91</v>
      </c>
      <c r="C9" s="22" t="s">
        <v>92</v>
      </c>
      <c r="D9" s="242" t="s">
        <v>93</v>
      </c>
      <c r="E9" s="24">
        <v>0</v>
      </c>
      <c r="F9" s="15">
        <v>0</v>
      </c>
      <c r="G9" s="24">
        <v>0</v>
      </c>
      <c r="H9" s="41">
        <v>0</v>
      </c>
      <c r="I9" s="102">
        <v>7.56</v>
      </c>
      <c r="J9" s="99">
        <v>212426.04</v>
      </c>
      <c r="K9" s="103">
        <f t="shared" ref="K9:K40" si="0">J9/$J$66*100</f>
        <v>5.4618793797186678</v>
      </c>
      <c r="L9" s="107">
        <v>7.86</v>
      </c>
      <c r="M9" s="99">
        <v>264825.69</v>
      </c>
      <c r="N9" s="25">
        <f t="shared" ref="N9:N40" si="1">M9/$M$66*100</f>
        <v>8.7212542839828888</v>
      </c>
      <c r="O9" s="102">
        <v>8.2100000000000009</v>
      </c>
      <c r="P9" s="99">
        <v>101429.25</v>
      </c>
      <c r="Q9" s="202">
        <f t="shared" ref="Q9:Q40" si="2">P9/$P$66*100</f>
        <v>2.616556814279543</v>
      </c>
      <c r="R9" s="107">
        <v>8.08</v>
      </c>
      <c r="S9" s="99">
        <v>284778.51</v>
      </c>
      <c r="T9" s="25">
        <f t="shared" ref="T9:T40" si="3">S9/$S$66*100</f>
        <v>8.8790134877142162</v>
      </c>
      <c r="U9" s="102">
        <v>7.86</v>
      </c>
      <c r="V9" s="99">
        <v>411507.76</v>
      </c>
      <c r="W9" s="202">
        <f t="shared" ref="W9:W40" si="4">V9/$V$66*100</f>
        <v>9.061562074444927</v>
      </c>
      <c r="X9" s="102">
        <v>7.81</v>
      </c>
      <c r="Y9" s="99">
        <v>312749.69</v>
      </c>
      <c r="Z9" s="202">
        <f t="shared" ref="Z9:Z40" si="5">Y9/$Y$66*100</f>
        <v>6.4199108715141229</v>
      </c>
      <c r="AA9" s="107">
        <v>7.33</v>
      </c>
      <c r="AB9" s="99">
        <v>206759.8</v>
      </c>
      <c r="AC9" s="202">
        <f t="shared" ref="AC9:AC40" si="6">AB9/$AB$66*100</f>
        <v>5.5318576151554417</v>
      </c>
      <c r="AD9" s="107"/>
      <c r="AE9" s="99"/>
      <c r="AF9" s="168"/>
      <c r="AG9" s="169"/>
      <c r="AH9" s="99"/>
      <c r="AJ9" s="98"/>
      <c r="AK9" s="99"/>
      <c r="AM9" s="98"/>
      <c r="AN9" s="99"/>
      <c r="AP9" s="98"/>
      <c r="AQ9" s="99"/>
      <c r="AS9" s="98"/>
      <c r="AT9" s="99"/>
      <c r="AV9" s="98"/>
      <c r="AW9" s="99"/>
      <c r="AY9" s="98"/>
      <c r="AZ9" s="99"/>
      <c r="BB9" s="98"/>
      <c r="BC9" s="99"/>
      <c r="BE9"/>
      <c r="BF9"/>
      <c r="BG9" s="12"/>
      <c r="BI9"/>
    </row>
    <row r="10" spans="1:61">
      <c r="B10" s="201" t="s">
        <v>94</v>
      </c>
      <c r="C10" s="22" t="s">
        <v>92</v>
      </c>
      <c r="D10" s="242" t="s">
        <v>95</v>
      </c>
      <c r="E10" s="24">
        <v>0</v>
      </c>
      <c r="F10" s="15">
        <v>0</v>
      </c>
      <c r="G10" s="24">
        <v>0</v>
      </c>
      <c r="H10" s="41">
        <v>0</v>
      </c>
      <c r="I10" s="102">
        <v>13.09</v>
      </c>
      <c r="J10" s="99">
        <v>56331.95</v>
      </c>
      <c r="K10" s="103">
        <f t="shared" si="0"/>
        <v>1.4484020703127685</v>
      </c>
      <c r="L10" s="107">
        <v>12.64</v>
      </c>
      <c r="M10" s="99">
        <v>72365.679999999993</v>
      </c>
      <c r="N10" s="25">
        <f t="shared" si="1"/>
        <v>2.3831505799657684</v>
      </c>
      <c r="O10" s="102">
        <v>13.78</v>
      </c>
      <c r="P10" s="99">
        <v>122094.58</v>
      </c>
      <c r="Q10" s="202">
        <f t="shared" si="2"/>
        <v>3.1496575720080635</v>
      </c>
      <c r="R10" s="107">
        <v>14.2</v>
      </c>
      <c r="S10" s="99">
        <v>71719.25</v>
      </c>
      <c r="T10" s="25">
        <f t="shared" si="3"/>
        <v>2.2361104006013228</v>
      </c>
      <c r="U10" s="102">
        <v>14.18</v>
      </c>
      <c r="V10" s="99">
        <v>193861.9</v>
      </c>
      <c r="W10" s="202">
        <f t="shared" si="4"/>
        <v>4.2689149791970751</v>
      </c>
      <c r="X10" s="102">
        <v>14.04</v>
      </c>
      <c r="Y10" s="99">
        <v>102548.06</v>
      </c>
      <c r="Z10" s="202">
        <f t="shared" si="5"/>
        <v>2.105036156060403</v>
      </c>
      <c r="AA10" s="107">
        <v>14.05</v>
      </c>
      <c r="AB10" s="99">
        <v>64148.36</v>
      </c>
      <c r="AC10" s="202">
        <f t="shared" si="6"/>
        <v>1.7162891130951603</v>
      </c>
      <c r="AD10" s="107"/>
      <c r="AE10" s="99"/>
      <c r="AF10" s="168"/>
      <c r="AG10" s="98"/>
      <c r="AH10" s="99"/>
      <c r="AJ10" s="98"/>
      <c r="AK10" s="99"/>
      <c r="AM10" s="98"/>
      <c r="AN10" s="99"/>
      <c r="AP10" s="98"/>
      <c r="AQ10" s="99"/>
      <c r="AS10" s="98"/>
      <c r="AT10" s="99"/>
      <c r="AV10" s="98"/>
      <c r="AW10" s="99"/>
      <c r="AY10" s="98"/>
      <c r="AZ10" s="99"/>
      <c r="BB10" s="98"/>
      <c r="BC10" s="99"/>
      <c r="BE10"/>
      <c r="BF10"/>
      <c r="BG10" s="12"/>
      <c r="BI10"/>
    </row>
    <row r="11" spans="1:61">
      <c r="B11" s="201">
        <v>464</v>
      </c>
      <c r="C11" s="22" t="s">
        <v>99</v>
      </c>
      <c r="D11" s="113" t="s">
        <v>302</v>
      </c>
      <c r="E11" s="26" t="s">
        <v>484</v>
      </c>
      <c r="F11" s="117">
        <v>0</v>
      </c>
      <c r="G11" s="26">
        <v>1</v>
      </c>
      <c r="H11" s="41">
        <v>0</v>
      </c>
      <c r="I11" s="102">
        <v>10.19</v>
      </c>
      <c r="J11" s="99">
        <v>6566.55</v>
      </c>
      <c r="K11" s="103">
        <f t="shared" si="0"/>
        <v>0.16883854748170996</v>
      </c>
      <c r="L11" s="107">
        <v>10.95</v>
      </c>
      <c r="M11" s="99">
        <v>7006.73</v>
      </c>
      <c r="N11" s="25">
        <f t="shared" si="1"/>
        <v>0.23074602025661264</v>
      </c>
      <c r="O11" s="102">
        <v>11.38</v>
      </c>
      <c r="P11" s="99">
        <v>7835.57</v>
      </c>
      <c r="Q11" s="202">
        <f t="shared" si="2"/>
        <v>0.20213315268785248</v>
      </c>
      <c r="R11" s="107">
        <v>11.47</v>
      </c>
      <c r="S11" s="99">
        <v>6912.35</v>
      </c>
      <c r="T11" s="25">
        <f t="shared" si="3"/>
        <v>0.21551783834321403</v>
      </c>
      <c r="U11" s="102">
        <v>11.34</v>
      </c>
      <c r="V11" s="99">
        <v>8227.35</v>
      </c>
      <c r="W11" s="202">
        <f t="shared" si="4"/>
        <v>0.18116946988602226</v>
      </c>
      <c r="X11" s="102">
        <v>11.07</v>
      </c>
      <c r="Y11" s="99">
        <v>7984.35</v>
      </c>
      <c r="Z11" s="202">
        <f t="shared" si="5"/>
        <v>0.16389725395722629</v>
      </c>
      <c r="AA11" s="107">
        <v>10.42</v>
      </c>
      <c r="AB11" s="99">
        <v>5172.12</v>
      </c>
      <c r="AC11" s="202">
        <f t="shared" si="6"/>
        <v>0.13838004974128321</v>
      </c>
      <c r="AD11" s="107"/>
      <c r="AE11" s="99"/>
      <c r="AF11" s="168"/>
      <c r="AG11" s="98"/>
      <c r="AH11" s="99"/>
      <c r="AJ11" s="98"/>
      <c r="AK11" s="99"/>
      <c r="AM11" s="98"/>
      <c r="AN11" s="99"/>
      <c r="AP11" s="98"/>
      <c r="AQ11" s="99"/>
      <c r="AS11" s="98"/>
      <c r="AT11" s="99"/>
      <c r="AV11" s="98"/>
      <c r="AW11" s="99"/>
      <c r="AY11" s="98"/>
      <c r="AZ11" s="99"/>
      <c r="BB11" s="98"/>
      <c r="BC11" s="99"/>
      <c r="BE11"/>
      <c r="BF11"/>
      <c r="BG11" s="12"/>
      <c r="BI11"/>
    </row>
    <row r="12" spans="1:61">
      <c r="B12" s="201" t="s">
        <v>303</v>
      </c>
      <c r="C12" s="22" t="s">
        <v>304</v>
      </c>
      <c r="D12" s="113" t="s">
        <v>305</v>
      </c>
      <c r="E12" s="26">
        <v>0</v>
      </c>
      <c r="F12" s="117">
        <v>0</v>
      </c>
      <c r="G12" s="26">
        <v>1</v>
      </c>
      <c r="H12" s="43">
        <v>0</v>
      </c>
      <c r="I12" s="102" t="s">
        <v>3</v>
      </c>
      <c r="J12" s="99">
        <v>0</v>
      </c>
      <c r="K12" s="103">
        <f t="shared" si="0"/>
        <v>0</v>
      </c>
      <c r="L12" s="203" t="s">
        <v>3</v>
      </c>
      <c r="M12" s="99">
        <v>0</v>
      </c>
      <c r="N12" s="25">
        <f t="shared" si="1"/>
        <v>0</v>
      </c>
      <c r="O12" s="253" t="s">
        <v>3</v>
      </c>
      <c r="P12" s="99">
        <v>0</v>
      </c>
      <c r="Q12" s="202">
        <f t="shared" si="2"/>
        <v>0</v>
      </c>
      <c r="R12" s="203" t="s">
        <v>3</v>
      </c>
      <c r="S12" s="99">
        <v>0</v>
      </c>
      <c r="T12" s="25">
        <f t="shared" si="3"/>
        <v>0</v>
      </c>
      <c r="U12" s="256">
        <v>19.010000000000002</v>
      </c>
      <c r="V12" s="204">
        <v>7187.17</v>
      </c>
      <c r="W12" s="255">
        <f t="shared" si="4"/>
        <v>0.15826429881805471</v>
      </c>
      <c r="X12" s="102" t="s">
        <v>3</v>
      </c>
      <c r="Y12" s="99">
        <v>0</v>
      </c>
      <c r="Z12" s="202">
        <f t="shared" si="5"/>
        <v>0</v>
      </c>
      <c r="AA12" s="107" t="s">
        <v>3</v>
      </c>
      <c r="AB12" s="99">
        <v>0</v>
      </c>
      <c r="AC12" s="202">
        <f t="shared" si="6"/>
        <v>0</v>
      </c>
      <c r="AD12" s="107"/>
      <c r="AE12" s="99"/>
      <c r="AF12" s="168"/>
      <c r="AG12" s="98"/>
      <c r="AH12" s="99"/>
      <c r="AJ12" s="98"/>
      <c r="AK12" s="99"/>
      <c r="AM12" s="98"/>
      <c r="AN12" s="99"/>
      <c r="AP12" s="98"/>
      <c r="AQ12" s="99"/>
      <c r="AS12" s="98"/>
      <c r="AT12" s="99"/>
      <c r="AV12" s="98"/>
      <c r="AW12" s="99"/>
      <c r="AY12" s="98"/>
      <c r="AZ12" s="99"/>
      <c r="BB12" s="98"/>
      <c r="BC12" s="99"/>
      <c r="BE12"/>
      <c r="BF12"/>
      <c r="BG12" s="12"/>
      <c r="BI12"/>
    </row>
    <row r="13" spans="1:61">
      <c r="B13" s="201">
        <v>513</v>
      </c>
      <c r="C13" s="22" t="s">
        <v>102</v>
      </c>
      <c r="D13" s="242" t="s">
        <v>103</v>
      </c>
      <c r="E13" s="24">
        <v>0</v>
      </c>
      <c r="F13" s="15">
        <v>1</v>
      </c>
      <c r="G13" s="24">
        <v>0</v>
      </c>
      <c r="H13" s="41">
        <v>0</v>
      </c>
      <c r="I13" s="102">
        <v>11.53</v>
      </c>
      <c r="J13" s="99">
        <v>1140151.42</v>
      </c>
      <c r="K13" s="103">
        <f t="shared" si="0"/>
        <v>29.315471543201376</v>
      </c>
      <c r="L13" s="107">
        <v>12.06</v>
      </c>
      <c r="M13" s="99">
        <v>894890.08</v>
      </c>
      <c r="N13" s="25">
        <f t="shared" si="1"/>
        <v>29.470569656190793</v>
      </c>
      <c r="O13" s="102">
        <v>12.71</v>
      </c>
      <c r="P13" s="99">
        <v>1317813.24</v>
      </c>
      <c r="Q13" s="202">
        <f t="shared" si="2"/>
        <v>33.995452131114078</v>
      </c>
      <c r="R13" s="107">
        <v>12.87</v>
      </c>
      <c r="S13" s="99">
        <v>964876.02</v>
      </c>
      <c r="T13" s="25">
        <f t="shared" si="3"/>
        <v>30.083545263131029</v>
      </c>
      <c r="U13" s="102">
        <v>12.94</v>
      </c>
      <c r="V13" s="99">
        <v>1464236.57</v>
      </c>
      <c r="W13" s="202">
        <f t="shared" si="4"/>
        <v>32.243062854336756</v>
      </c>
      <c r="X13" s="102">
        <v>12.56</v>
      </c>
      <c r="Y13" s="99">
        <v>1465970.99</v>
      </c>
      <c r="Z13" s="202">
        <f t="shared" si="5"/>
        <v>30.092445802345392</v>
      </c>
      <c r="AA13" s="107">
        <v>11.9</v>
      </c>
      <c r="AB13" s="99">
        <v>1084482.67</v>
      </c>
      <c r="AC13" s="202">
        <f t="shared" si="6"/>
        <v>29.015329462224308</v>
      </c>
      <c r="AD13" s="107"/>
      <c r="AE13" s="99"/>
      <c r="AF13" s="168"/>
      <c r="AG13" s="98"/>
      <c r="AH13" s="99"/>
      <c r="AJ13" s="98"/>
      <c r="AK13" s="99"/>
      <c r="AM13" s="98"/>
      <c r="AN13" s="99"/>
      <c r="AP13" s="98"/>
      <c r="AQ13" s="99"/>
      <c r="AS13" s="98"/>
      <c r="AT13" s="99"/>
      <c r="AV13" s="98"/>
      <c r="AW13" s="99"/>
      <c r="AY13" s="98"/>
      <c r="AZ13" s="99"/>
      <c r="BB13" s="98"/>
      <c r="BC13" s="99"/>
      <c r="BE13"/>
      <c r="BF13"/>
      <c r="BG13" s="12"/>
      <c r="BI13"/>
    </row>
    <row r="14" spans="1:61">
      <c r="B14" s="201">
        <v>529</v>
      </c>
      <c r="C14" s="22" t="s">
        <v>104</v>
      </c>
      <c r="D14" s="242" t="s">
        <v>105</v>
      </c>
      <c r="E14" s="24">
        <v>0</v>
      </c>
      <c r="F14" s="15">
        <v>1</v>
      </c>
      <c r="G14" s="24">
        <v>0</v>
      </c>
      <c r="H14" s="41">
        <v>0</v>
      </c>
      <c r="I14" s="102">
        <v>11.07</v>
      </c>
      <c r="J14" s="99">
        <v>303358.21999999997</v>
      </c>
      <c r="K14" s="103">
        <f t="shared" si="0"/>
        <v>7.7999194754379397</v>
      </c>
      <c r="L14" s="107">
        <v>11.76</v>
      </c>
      <c r="M14" s="99">
        <v>255669.59</v>
      </c>
      <c r="N14" s="25">
        <f t="shared" si="1"/>
        <v>8.4197250918959128</v>
      </c>
      <c r="O14" s="102">
        <v>12.47</v>
      </c>
      <c r="P14" s="99">
        <v>430032.81</v>
      </c>
      <c r="Q14" s="202">
        <f t="shared" si="2"/>
        <v>11.09349895980972</v>
      </c>
      <c r="R14" s="107">
        <v>12.57</v>
      </c>
      <c r="S14" s="99">
        <v>266768.33</v>
      </c>
      <c r="T14" s="25">
        <f t="shared" si="3"/>
        <v>8.3174801362820414</v>
      </c>
      <c r="U14" s="102">
        <v>12.55</v>
      </c>
      <c r="V14" s="99">
        <v>398583.74</v>
      </c>
      <c r="W14" s="202">
        <f t="shared" si="4"/>
        <v>8.7769700913402389</v>
      </c>
      <c r="X14" s="102">
        <v>12.21</v>
      </c>
      <c r="Y14" s="99">
        <v>397500.23</v>
      </c>
      <c r="Z14" s="202">
        <f t="shared" si="5"/>
        <v>8.159611758548392</v>
      </c>
      <c r="AA14" s="107">
        <v>11.54</v>
      </c>
      <c r="AB14" s="99">
        <v>276109.31</v>
      </c>
      <c r="AC14" s="202">
        <f t="shared" si="6"/>
        <v>7.3873034755248108</v>
      </c>
      <c r="AD14" s="107"/>
      <c r="AE14" s="99"/>
      <c r="AF14" s="168"/>
      <c r="AG14" s="98"/>
      <c r="AH14" s="99"/>
      <c r="AJ14" s="98"/>
      <c r="AK14" s="99"/>
      <c r="AM14" s="98"/>
      <c r="AN14" s="99"/>
      <c r="AP14" s="98"/>
      <c r="AQ14" s="99"/>
      <c r="AS14" s="98"/>
      <c r="AT14" s="99"/>
      <c r="AV14" s="98"/>
      <c r="AW14" s="99"/>
      <c r="AY14" s="98"/>
      <c r="AZ14" s="99"/>
      <c r="BB14" s="98"/>
      <c r="BC14" s="99"/>
      <c r="BE14"/>
      <c r="BF14"/>
      <c r="BG14" s="12"/>
      <c r="BI14"/>
    </row>
    <row r="15" spans="1:61">
      <c r="B15" s="201" t="s">
        <v>106</v>
      </c>
      <c r="C15" s="22" t="s">
        <v>5</v>
      </c>
      <c r="D15" s="242" t="s">
        <v>107</v>
      </c>
      <c r="E15" s="26" t="s">
        <v>484</v>
      </c>
      <c r="F15" s="15">
        <v>0</v>
      </c>
      <c r="G15" s="24">
        <v>0</v>
      </c>
      <c r="H15" s="41" t="s">
        <v>108</v>
      </c>
      <c r="I15" s="102">
        <v>32.9</v>
      </c>
      <c r="J15" s="99">
        <v>3479.63</v>
      </c>
      <c r="K15" s="103">
        <f t="shared" si="0"/>
        <v>8.9467935974565385E-2</v>
      </c>
      <c r="L15" s="107" t="s">
        <v>306</v>
      </c>
      <c r="M15" s="99">
        <v>3613.7</v>
      </c>
      <c r="N15" s="25">
        <f t="shared" si="1"/>
        <v>0.11900656845651554</v>
      </c>
      <c r="O15" s="102">
        <v>36.619999999999997</v>
      </c>
      <c r="P15" s="99">
        <v>2953.81</v>
      </c>
      <c r="Q15" s="202">
        <f t="shared" si="2"/>
        <v>7.6199042027689817E-2</v>
      </c>
      <c r="R15" s="108" t="s">
        <v>3</v>
      </c>
      <c r="S15" s="104">
        <v>0</v>
      </c>
      <c r="T15" s="205">
        <f t="shared" si="3"/>
        <v>0</v>
      </c>
      <c r="U15" s="102" t="s">
        <v>307</v>
      </c>
      <c r="V15" s="99">
        <v>4404.3</v>
      </c>
      <c r="W15" s="202">
        <f t="shared" si="4"/>
        <v>9.6984411289055134E-2</v>
      </c>
      <c r="X15" s="102">
        <v>37.69</v>
      </c>
      <c r="Y15" s="99">
        <v>2036.81</v>
      </c>
      <c r="Z15" s="202">
        <f t="shared" si="5"/>
        <v>4.1810237005218714E-2</v>
      </c>
      <c r="AA15" s="107">
        <v>35.26</v>
      </c>
      <c r="AB15" s="99">
        <v>2526.62</v>
      </c>
      <c r="AC15" s="202">
        <f t="shared" si="6"/>
        <v>6.759970791035802E-2</v>
      </c>
      <c r="AD15" s="107"/>
      <c r="AE15" s="99"/>
      <c r="AF15" s="168"/>
      <c r="AG15" s="98"/>
      <c r="AH15" s="99"/>
      <c r="AJ15" s="98"/>
      <c r="AK15" s="99"/>
      <c r="AM15" s="98"/>
      <c r="AN15" s="99"/>
      <c r="AP15" s="98"/>
      <c r="AQ15" s="99"/>
      <c r="AS15" s="98"/>
      <c r="AT15" s="99"/>
      <c r="AV15" s="98"/>
      <c r="AW15" s="99"/>
      <c r="AY15" s="98"/>
      <c r="AZ15" s="99"/>
      <c r="BB15" s="98"/>
      <c r="BC15" s="99"/>
      <c r="BE15"/>
      <c r="BF15"/>
      <c r="BG15" s="12"/>
      <c r="BI15"/>
    </row>
    <row r="16" spans="1:61">
      <c r="B16" s="201" t="s">
        <v>109</v>
      </c>
      <c r="C16" s="22" t="s">
        <v>18</v>
      </c>
      <c r="D16" s="242" t="s">
        <v>110</v>
      </c>
      <c r="E16" s="24" t="s">
        <v>483</v>
      </c>
      <c r="F16" s="15">
        <v>0</v>
      </c>
      <c r="G16" s="24">
        <v>0</v>
      </c>
      <c r="H16" s="41">
        <v>0</v>
      </c>
      <c r="I16" s="102">
        <v>14.57</v>
      </c>
      <c r="J16" s="99">
        <v>46519.54</v>
      </c>
      <c r="K16" s="103">
        <f t="shared" si="0"/>
        <v>1.196106260230609</v>
      </c>
      <c r="L16" s="107">
        <v>14.11</v>
      </c>
      <c r="M16" s="99">
        <v>79520.22</v>
      </c>
      <c r="N16" s="25">
        <f t="shared" si="1"/>
        <v>2.6187642873252281</v>
      </c>
      <c r="O16" s="102">
        <v>15.6</v>
      </c>
      <c r="P16" s="99">
        <v>108855.86</v>
      </c>
      <c r="Q16" s="202">
        <f t="shared" si="2"/>
        <v>2.8081400804724472</v>
      </c>
      <c r="R16" s="107">
        <v>16.28</v>
      </c>
      <c r="S16" s="99">
        <v>87220.74</v>
      </c>
      <c r="T16" s="25">
        <f t="shared" si="3"/>
        <v>2.7194261493552125</v>
      </c>
      <c r="U16" s="105" t="s">
        <v>3</v>
      </c>
      <c r="V16" s="104">
        <v>0</v>
      </c>
      <c r="W16" s="223">
        <f t="shared" si="4"/>
        <v>0</v>
      </c>
      <c r="X16" s="102">
        <v>16.11</v>
      </c>
      <c r="Y16" s="99">
        <v>33761.99</v>
      </c>
      <c r="Z16" s="202">
        <f t="shared" si="5"/>
        <v>0.69304294640532216</v>
      </c>
      <c r="AA16" s="107">
        <v>15.35</v>
      </c>
      <c r="AB16" s="99">
        <v>54080.89</v>
      </c>
      <c r="AC16" s="202">
        <f t="shared" si="6"/>
        <v>1.4469339938464043</v>
      </c>
      <c r="AD16" s="107"/>
      <c r="AE16" s="99"/>
      <c r="AF16" s="168"/>
      <c r="AG16" s="98"/>
      <c r="AH16" s="99"/>
      <c r="AJ16" s="98"/>
      <c r="AK16" s="99"/>
      <c r="AM16" s="98"/>
      <c r="AN16" s="99"/>
      <c r="AP16" s="98"/>
      <c r="AQ16" s="99"/>
      <c r="AS16" s="98"/>
      <c r="AT16" s="99"/>
      <c r="AV16" s="98"/>
      <c r="AW16" s="99"/>
      <c r="AY16" s="98"/>
      <c r="AZ16" s="99"/>
      <c r="BB16" s="98"/>
      <c r="BC16" s="99"/>
      <c r="BE16"/>
      <c r="BF16"/>
      <c r="BG16" s="12"/>
      <c r="BI16"/>
    </row>
    <row r="17" spans="1:61">
      <c r="B17" s="201" t="s">
        <v>90</v>
      </c>
      <c r="C17" s="22" t="s">
        <v>18</v>
      </c>
      <c r="D17" s="243" t="s">
        <v>111</v>
      </c>
      <c r="E17" s="27" t="s">
        <v>112</v>
      </c>
      <c r="F17" s="116">
        <v>0</v>
      </c>
      <c r="G17" s="27">
        <v>0</v>
      </c>
      <c r="H17" s="42">
        <v>0</v>
      </c>
      <c r="I17" s="102">
        <v>17.13</v>
      </c>
      <c r="J17" s="99">
        <v>81352.570000000007</v>
      </c>
      <c r="K17" s="103">
        <f t="shared" si="0"/>
        <v>2.09173001845781</v>
      </c>
      <c r="L17" s="108" t="s">
        <v>3</v>
      </c>
      <c r="M17" s="104">
        <v>0</v>
      </c>
      <c r="N17" s="205">
        <f t="shared" si="1"/>
        <v>0</v>
      </c>
      <c r="O17" s="105" t="s">
        <v>3</v>
      </c>
      <c r="P17" s="104">
        <v>0</v>
      </c>
      <c r="Q17" s="223">
        <f t="shared" si="2"/>
        <v>0</v>
      </c>
      <c r="R17" s="108" t="s">
        <v>3</v>
      </c>
      <c r="S17" s="104">
        <v>0</v>
      </c>
      <c r="T17" s="205">
        <f t="shared" si="3"/>
        <v>0</v>
      </c>
      <c r="U17" s="102">
        <v>19.440000000000001</v>
      </c>
      <c r="V17" s="99">
        <v>13383.93</v>
      </c>
      <c r="W17" s="202">
        <f t="shared" si="4"/>
        <v>0.29471938146446053</v>
      </c>
      <c r="X17" s="102">
        <v>19.059999999999999</v>
      </c>
      <c r="Y17" s="99">
        <v>103542.74</v>
      </c>
      <c r="Z17" s="202">
        <f t="shared" si="5"/>
        <v>2.1254542640549388</v>
      </c>
      <c r="AA17" s="107">
        <v>18.149999999999999</v>
      </c>
      <c r="AB17" s="99">
        <v>90275.4</v>
      </c>
      <c r="AC17" s="202">
        <f t="shared" si="6"/>
        <v>2.4153179629270465</v>
      </c>
      <c r="AD17" s="107"/>
      <c r="AE17" s="99"/>
      <c r="AF17" s="168"/>
      <c r="AG17" s="98"/>
      <c r="AH17" s="99"/>
      <c r="AJ17" s="98"/>
      <c r="AK17" s="99"/>
      <c r="AM17" s="98"/>
      <c r="AN17" s="99"/>
      <c r="AP17" s="98"/>
      <c r="AQ17" s="99"/>
      <c r="AS17" s="98"/>
      <c r="AT17" s="99"/>
      <c r="AV17" s="98"/>
      <c r="AW17" s="99"/>
      <c r="AY17" s="98"/>
      <c r="AZ17" s="99"/>
      <c r="BB17" s="98"/>
      <c r="BC17" s="99"/>
      <c r="BE17"/>
      <c r="BF17"/>
      <c r="BG17" s="12"/>
      <c r="BI17"/>
    </row>
    <row r="18" spans="1:61">
      <c r="B18" s="201" t="s">
        <v>308</v>
      </c>
      <c r="C18" s="22" t="s">
        <v>18</v>
      </c>
      <c r="D18" s="113" t="s">
        <v>309</v>
      </c>
      <c r="E18" s="26">
        <v>0</v>
      </c>
      <c r="F18" s="15">
        <v>0</v>
      </c>
      <c r="G18" s="24">
        <v>0</v>
      </c>
      <c r="H18" s="41">
        <v>0</v>
      </c>
      <c r="I18" s="102" t="s">
        <v>3</v>
      </c>
      <c r="J18" s="99">
        <v>0</v>
      </c>
      <c r="K18" s="103">
        <f t="shared" si="0"/>
        <v>0</v>
      </c>
      <c r="L18" s="203" t="s">
        <v>3</v>
      </c>
      <c r="M18" s="99">
        <v>0</v>
      </c>
      <c r="N18" s="25">
        <f t="shared" si="1"/>
        <v>0</v>
      </c>
      <c r="O18" s="253" t="s">
        <v>3</v>
      </c>
      <c r="P18" s="99">
        <v>0</v>
      </c>
      <c r="Q18" s="202">
        <f t="shared" si="2"/>
        <v>0</v>
      </c>
      <c r="R18" s="203" t="s">
        <v>3</v>
      </c>
      <c r="S18" s="99">
        <v>0</v>
      </c>
      <c r="T18" s="25">
        <f t="shared" si="3"/>
        <v>0</v>
      </c>
      <c r="U18" s="258">
        <v>22.94</v>
      </c>
      <c r="V18" s="206">
        <v>15223.88</v>
      </c>
      <c r="W18" s="222">
        <f t="shared" si="4"/>
        <v>0.33523580122498936</v>
      </c>
      <c r="X18" s="221">
        <v>22.31</v>
      </c>
      <c r="Y18" s="206">
        <v>39234.1</v>
      </c>
      <c r="Z18" s="222">
        <f t="shared" si="5"/>
        <v>0.8053706627944931</v>
      </c>
      <c r="AA18" s="107" t="s">
        <v>3</v>
      </c>
      <c r="AB18" s="99">
        <v>0</v>
      </c>
      <c r="AC18" s="202">
        <f t="shared" si="6"/>
        <v>0</v>
      </c>
      <c r="AD18" s="107"/>
      <c r="AE18" s="99"/>
      <c r="AF18" s="168"/>
      <c r="AG18" s="98"/>
      <c r="AH18" s="99"/>
      <c r="AJ18" s="98"/>
      <c r="AK18" s="99"/>
      <c r="AM18" s="98"/>
      <c r="AN18" s="99"/>
      <c r="AP18" s="98"/>
      <c r="AQ18" s="99"/>
      <c r="AS18" s="98"/>
      <c r="AT18" s="99"/>
      <c r="AV18" s="98"/>
      <c r="AW18" s="99"/>
      <c r="AY18" s="98"/>
      <c r="AZ18" s="99"/>
      <c r="BB18" s="98"/>
      <c r="BC18" s="99"/>
      <c r="BE18"/>
      <c r="BF18"/>
      <c r="BG18" s="12"/>
      <c r="BI18"/>
    </row>
    <row r="19" spans="1:61">
      <c r="B19" s="201" t="s">
        <v>113</v>
      </c>
      <c r="C19" s="22" t="s">
        <v>114</v>
      </c>
      <c r="D19" s="12" t="s">
        <v>310</v>
      </c>
      <c r="E19" s="26">
        <v>0</v>
      </c>
      <c r="F19" s="117">
        <v>0</v>
      </c>
      <c r="G19" s="26">
        <v>0</v>
      </c>
      <c r="H19" s="43">
        <v>0</v>
      </c>
      <c r="I19" s="102">
        <v>13.97</v>
      </c>
      <c r="J19" s="99">
        <v>13121.62</v>
      </c>
      <c r="K19" s="103">
        <f t="shared" si="0"/>
        <v>0.33738192222810381</v>
      </c>
      <c r="L19" s="107">
        <v>13.57</v>
      </c>
      <c r="M19" s="99">
        <v>13210.34</v>
      </c>
      <c r="N19" s="25">
        <f t="shared" si="1"/>
        <v>0.43504364821203906</v>
      </c>
      <c r="O19" s="102">
        <v>14.95</v>
      </c>
      <c r="P19" s="99">
        <v>5444.53</v>
      </c>
      <c r="Q19" s="202">
        <f t="shared" si="2"/>
        <v>0.14045181318061015</v>
      </c>
      <c r="R19" s="107">
        <v>15.5</v>
      </c>
      <c r="S19" s="99">
        <v>15099.39</v>
      </c>
      <c r="T19" s="25">
        <f t="shared" si="3"/>
        <v>0.47077880794536475</v>
      </c>
      <c r="U19" s="102">
        <v>15.58</v>
      </c>
      <c r="V19" s="99">
        <v>19758.21</v>
      </c>
      <c r="W19" s="202">
        <f t="shared" si="4"/>
        <v>0.43508352405047834</v>
      </c>
      <c r="X19" s="102">
        <v>15.33</v>
      </c>
      <c r="Y19" s="99">
        <v>17924.439999999999</v>
      </c>
      <c r="Z19" s="202">
        <f t="shared" si="5"/>
        <v>0.36794059563033493</v>
      </c>
      <c r="AA19" s="107">
        <v>14.76</v>
      </c>
      <c r="AB19" s="99">
        <v>14431.35</v>
      </c>
      <c r="AC19" s="202">
        <f t="shared" si="6"/>
        <v>0.38611071104960198</v>
      </c>
      <c r="AD19" s="107"/>
      <c r="AE19" s="99"/>
      <c r="AF19" s="168"/>
      <c r="AG19" s="98"/>
      <c r="AH19" s="99"/>
      <c r="AJ19" s="98"/>
      <c r="AK19" s="99"/>
      <c r="AM19" s="98"/>
      <c r="AN19" s="99"/>
      <c r="AP19" s="98"/>
      <c r="AQ19" s="99"/>
      <c r="AS19" s="98"/>
      <c r="AT19" s="99"/>
      <c r="AV19" s="98"/>
      <c r="AW19" s="99"/>
      <c r="AY19" s="98"/>
      <c r="AZ19" s="99"/>
      <c r="BB19" s="98"/>
      <c r="BC19" s="99"/>
      <c r="BE19"/>
      <c r="BF19"/>
      <c r="BG19" s="12"/>
      <c r="BI19"/>
    </row>
    <row r="20" spans="1:61">
      <c r="B20" s="201" t="s">
        <v>117</v>
      </c>
      <c r="C20" s="22" t="s">
        <v>114</v>
      </c>
      <c r="D20" s="12" t="s">
        <v>118</v>
      </c>
      <c r="E20" s="26">
        <v>0</v>
      </c>
      <c r="F20" s="117">
        <v>0</v>
      </c>
      <c r="G20" s="26">
        <v>0</v>
      </c>
      <c r="H20" s="43">
        <v>0</v>
      </c>
      <c r="I20" s="102">
        <v>16.59</v>
      </c>
      <c r="J20" s="99">
        <v>34130.36</v>
      </c>
      <c r="K20" s="103">
        <f t="shared" si="0"/>
        <v>0.87755676990624498</v>
      </c>
      <c r="L20" s="107">
        <v>15.95</v>
      </c>
      <c r="M20" s="99">
        <v>54840.82</v>
      </c>
      <c r="N20" s="25">
        <f t="shared" si="1"/>
        <v>1.8060209202594146</v>
      </c>
      <c r="O20" s="102">
        <v>17.77</v>
      </c>
      <c r="P20" s="99">
        <v>41214</v>
      </c>
      <c r="Q20" s="202">
        <f t="shared" si="2"/>
        <v>1.0631920530193912</v>
      </c>
      <c r="R20" s="107">
        <v>18.59</v>
      </c>
      <c r="S20" s="99">
        <v>53973.599999999999</v>
      </c>
      <c r="T20" s="25">
        <f t="shared" si="3"/>
        <v>1.682824741166361</v>
      </c>
      <c r="U20" s="102">
        <v>18.829999999999998</v>
      </c>
      <c r="V20" s="99">
        <v>58011.38</v>
      </c>
      <c r="W20" s="202">
        <f t="shared" si="4"/>
        <v>1.2774333123006305</v>
      </c>
      <c r="X20" s="102">
        <v>18.34</v>
      </c>
      <c r="Y20" s="99">
        <v>43553.15</v>
      </c>
      <c r="Z20" s="202">
        <f t="shared" si="5"/>
        <v>0.89402915530846838</v>
      </c>
      <c r="AA20" s="107">
        <v>17.55</v>
      </c>
      <c r="AB20" s="99">
        <v>33831.56</v>
      </c>
      <c r="AC20" s="202">
        <f t="shared" si="6"/>
        <v>0.90516325136021714</v>
      </c>
      <c r="AD20" s="107"/>
      <c r="AE20" s="99"/>
      <c r="AF20" s="168"/>
      <c r="AG20" s="98"/>
      <c r="AH20" s="99"/>
      <c r="AJ20" s="98"/>
      <c r="AK20" s="99"/>
      <c r="AM20" s="98"/>
      <c r="AN20" s="99"/>
      <c r="AP20" s="98"/>
      <c r="AQ20" s="99"/>
      <c r="AS20" s="98"/>
      <c r="AT20" s="99"/>
      <c r="AV20" s="98"/>
      <c r="AW20" s="99"/>
      <c r="AY20" s="98"/>
      <c r="AZ20" s="99"/>
      <c r="BB20" s="98"/>
      <c r="BC20" s="99"/>
      <c r="BE20"/>
      <c r="BF20"/>
      <c r="BG20" s="12"/>
      <c r="BI20"/>
    </row>
    <row r="21" spans="1:61">
      <c r="B21" s="201" t="s">
        <v>311</v>
      </c>
      <c r="C21" s="22" t="s">
        <v>114</v>
      </c>
      <c r="D21" s="12" t="s">
        <v>312</v>
      </c>
      <c r="E21" s="24">
        <v>0</v>
      </c>
      <c r="F21" s="15">
        <v>0</v>
      </c>
      <c r="G21" s="24">
        <v>0</v>
      </c>
      <c r="H21" s="41">
        <v>0</v>
      </c>
      <c r="I21" s="102" t="s">
        <v>3</v>
      </c>
      <c r="J21" s="99">
        <v>0</v>
      </c>
      <c r="K21" s="103">
        <f t="shared" si="0"/>
        <v>0</v>
      </c>
      <c r="L21" s="107" t="s">
        <v>3</v>
      </c>
      <c r="M21" s="99">
        <v>0</v>
      </c>
      <c r="N21" s="25">
        <f t="shared" si="1"/>
        <v>0</v>
      </c>
      <c r="O21" s="254">
        <v>23.85</v>
      </c>
      <c r="P21" s="204">
        <v>2657.98</v>
      </c>
      <c r="Q21" s="255">
        <f t="shared" si="2"/>
        <v>6.8567555031894059E-2</v>
      </c>
      <c r="R21" s="107" t="s">
        <v>3</v>
      </c>
      <c r="S21" s="99">
        <v>0</v>
      </c>
      <c r="T21" s="25">
        <f t="shared" si="3"/>
        <v>0</v>
      </c>
      <c r="U21" s="102" t="s">
        <v>3</v>
      </c>
      <c r="V21" s="99">
        <v>0</v>
      </c>
      <c r="W21" s="202">
        <f t="shared" si="4"/>
        <v>0</v>
      </c>
      <c r="X21" s="102" t="s">
        <v>3</v>
      </c>
      <c r="Y21" s="99">
        <v>0</v>
      </c>
      <c r="Z21" s="202">
        <f t="shared" si="5"/>
        <v>0</v>
      </c>
      <c r="AA21" s="107" t="s">
        <v>3</v>
      </c>
      <c r="AB21" s="99">
        <v>0</v>
      </c>
      <c r="AC21" s="202">
        <f t="shared" si="6"/>
        <v>0</v>
      </c>
      <c r="AD21" s="107"/>
      <c r="AE21" s="99"/>
      <c r="AF21" s="168"/>
      <c r="AG21" s="98"/>
      <c r="AH21" s="99"/>
      <c r="AJ21" s="98"/>
      <c r="AK21" s="99"/>
      <c r="AM21" s="98"/>
      <c r="AN21" s="99"/>
      <c r="AP21" s="98"/>
      <c r="AQ21" s="99"/>
      <c r="AS21" s="98"/>
      <c r="AT21" s="99"/>
      <c r="AV21" s="98"/>
      <c r="AW21" s="99"/>
      <c r="AY21" s="98"/>
      <c r="AZ21" s="99"/>
      <c r="BB21" s="98"/>
      <c r="BC21" s="99"/>
      <c r="BE21"/>
      <c r="BF21"/>
      <c r="BG21" s="12"/>
      <c r="BI21"/>
    </row>
    <row r="22" spans="1:61">
      <c r="A22" s="113"/>
      <c r="B22" s="201" t="s">
        <v>313</v>
      </c>
      <c r="C22" s="22" t="s">
        <v>120</v>
      </c>
      <c r="D22" s="242" t="s">
        <v>314</v>
      </c>
      <c r="E22" s="24" t="s">
        <v>519</v>
      </c>
      <c r="F22" s="15">
        <v>0</v>
      </c>
      <c r="G22" s="24">
        <v>1</v>
      </c>
      <c r="H22" s="41">
        <v>0</v>
      </c>
      <c r="I22" s="102">
        <v>17.48</v>
      </c>
      <c r="J22" s="99">
        <v>5910.99</v>
      </c>
      <c r="K22" s="103">
        <f t="shared" si="0"/>
        <v>0.15198284727580122</v>
      </c>
      <c r="L22" s="107">
        <v>17.47</v>
      </c>
      <c r="M22" s="99">
        <v>11570.28</v>
      </c>
      <c r="N22" s="25">
        <f t="shared" si="1"/>
        <v>0.38103310149737191</v>
      </c>
      <c r="O22" s="102">
        <v>19.399999999999999</v>
      </c>
      <c r="P22" s="99">
        <v>13522.45</v>
      </c>
      <c r="Q22" s="202">
        <f t="shared" si="2"/>
        <v>0.34883683644761654</v>
      </c>
      <c r="R22" s="107">
        <v>20.23</v>
      </c>
      <c r="S22" s="99">
        <v>10314.745999999999</v>
      </c>
      <c r="T22" s="25">
        <f t="shared" si="3"/>
        <v>0.32160000014167589</v>
      </c>
      <c r="U22" s="105" t="s">
        <v>3</v>
      </c>
      <c r="V22" s="104">
        <v>0</v>
      </c>
      <c r="W22" s="223">
        <f t="shared" si="4"/>
        <v>0</v>
      </c>
      <c r="X22" s="102">
        <v>19.600000000000001</v>
      </c>
      <c r="Y22" s="99">
        <v>7498.39</v>
      </c>
      <c r="Z22" s="202">
        <f t="shared" si="5"/>
        <v>0.15392180078532705</v>
      </c>
      <c r="AA22" s="107">
        <v>18.57</v>
      </c>
      <c r="AB22" s="99">
        <v>5927.52</v>
      </c>
      <c r="AC22" s="202">
        <f t="shared" si="6"/>
        <v>0.15859077369481972</v>
      </c>
      <c r="AD22" s="107"/>
      <c r="AE22" s="99"/>
      <c r="AF22" s="168"/>
      <c r="AG22" s="98"/>
      <c r="AH22" s="99"/>
      <c r="AJ22" s="98"/>
      <c r="AK22" s="99"/>
      <c r="AM22" s="98"/>
      <c r="AN22" s="99"/>
      <c r="AP22" s="98"/>
      <c r="AQ22" s="99"/>
      <c r="AS22" s="98"/>
      <c r="AT22" s="99"/>
      <c r="AV22" s="98"/>
      <c r="AW22" s="99"/>
      <c r="AY22" s="98"/>
      <c r="AZ22" s="99"/>
      <c r="BB22" s="98"/>
      <c r="BC22" s="99"/>
      <c r="BE22"/>
      <c r="BF22"/>
      <c r="BG22" s="12"/>
      <c r="BI22"/>
    </row>
    <row r="23" spans="1:61">
      <c r="B23" s="201" t="s">
        <v>315</v>
      </c>
      <c r="C23" s="22" t="s">
        <v>120</v>
      </c>
      <c r="D23" s="113"/>
      <c r="E23" s="24" t="s">
        <v>3</v>
      </c>
      <c r="F23" s="15">
        <v>0</v>
      </c>
      <c r="G23" s="24">
        <v>1</v>
      </c>
      <c r="H23" s="41">
        <v>0</v>
      </c>
      <c r="I23" s="102" t="s">
        <v>3</v>
      </c>
      <c r="J23" s="99">
        <v>0</v>
      </c>
      <c r="K23" s="103">
        <f t="shared" si="0"/>
        <v>0</v>
      </c>
      <c r="L23" s="203" t="s">
        <v>3</v>
      </c>
      <c r="M23" s="99">
        <v>0</v>
      </c>
      <c r="N23" s="25">
        <f t="shared" si="1"/>
        <v>0</v>
      </c>
      <c r="O23" s="253" t="s">
        <v>3</v>
      </c>
      <c r="P23" s="99">
        <v>0</v>
      </c>
      <c r="Q23" s="202">
        <f t="shared" si="2"/>
        <v>0</v>
      </c>
      <c r="R23" s="203" t="s">
        <v>3</v>
      </c>
      <c r="S23" s="99">
        <v>0</v>
      </c>
      <c r="T23" s="25">
        <f t="shared" si="3"/>
        <v>0</v>
      </c>
      <c r="U23" s="256">
        <v>20.28</v>
      </c>
      <c r="V23" s="204">
        <v>6785.58</v>
      </c>
      <c r="W23" s="255">
        <f t="shared" si="4"/>
        <v>0.14942112970387728</v>
      </c>
      <c r="X23" s="102" t="s">
        <v>3</v>
      </c>
      <c r="Y23" s="99">
        <v>0</v>
      </c>
      <c r="Z23" s="202">
        <f t="shared" si="5"/>
        <v>0</v>
      </c>
      <c r="AA23" s="107" t="s">
        <v>3</v>
      </c>
      <c r="AB23" s="99">
        <v>0</v>
      </c>
      <c r="AC23" s="202">
        <f t="shared" si="6"/>
        <v>0</v>
      </c>
      <c r="AD23" s="107"/>
      <c r="AE23" s="99"/>
      <c r="AF23" s="168"/>
      <c r="AG23" s="98"/>
      <c r="AH23" s="99"/>
      <c r="AJ23" s="98"/>
      <c r="AK23" s="99"/>
      <c r="AM23" s="98"/>
      <c r="AN23" s="99"/>
      <c r="AP23" s="98"/>
      <c r="AQ23" s="99"/>
      <c r="AS23" s="98"/>
      <c r="AT23" s="99"/>
      <c r="AV23" s="98"/>
      <c r="AW23" s="99"/>
      <c r="AY23" s="98"/>
      <c r="AZ23" s="99"/>
      <c r="BB23" s="98"/>
      <c r="BC23" s="99"/>
      <c r="BE23"/>
      <c r="BF23"/>
      <c r="BG23" s="12"/>
      <c r="BI23"/>
    </row>
    <row r="24" spans="1:61">
      <c r="B24" s="201" t="s">
        <v>119</v>
      </c>
      <c r="C24" s="22" t="s">
        <v>120</v>
      </c>
      <c r="D24" s="12" t="s">
        <v>316</v>
      </c>
      <c r="E24" s="24" t="s">
        <v>483</v>
      </c>
      <c r="F24" s="15">
        <v>0</v>
      </c>
      <c r="G24" s="24">
        <v>1</v>
      </c>
      <c r="H24" s="41">
        <v>0</v>
      </c>
      <c r="I24" s="102" t="s">
        <v>3</v>
      </c>
      <c r="J24" s="99">
        <v>0</v>
      </c>
      <c r="K24" s="103">
        <f t="shared" si="0"/>
        <v>0</v>
      </c>
      <c r="L24" s="203" t="s">
        <v>3</v>
      </c>
      <c r="M24" s="99">
        <v>0</v>
      </c>
      <c r="N24" s="25">
        <f t="shared" si="1"/>
        <v>0</v>
      </c>
      <c r="O24" s="253" t="s">
        <v>3</v>
      </c>
      <c r="P24" s="99">
        <v>0</v>
      </c>
      <c r="Q24" s="202">
        <f t="shared" si="2"/>
        <v>0</v>
      </c>
      <c r="R24" s="203" t="s">
        <v>3</v>
      </c>
      <c r="S24" s="99">
        <v>0</v>
      </c>
      <c r="T24" s="25">
        <f t="shared" si="3"/>
        <v>0</v>
      </c>
      <c r="U24" s="256">
        <v>26.15</v>
      </c>
      <c r="V24" s="204">
        <v>5933.05</v>
      </c>
      <c r="W24" s="255">
        <f t="shared" si="4"/>
        <v>0.13064808514372966</v>
      </c>
      <c r="X24" s="102" t="s">
        <v>3</v>
      </c>
      <c r="Y24" s="99">
        <v>0</v>
      </c>
      <c r="Z24" s="202">
        <f t="shared" si="5"/>
        <v>0</v>
      </c>
      <c r="AA24" s="107" t="s">
        <v>3</v>
      </c>
      <c r="AB24" s="99">
        <v>0</v>
      </c>
      <c r="AC24" s="202">
        <f t="shared" si="6"/>
        <v>0</v>
      </c>
      <c r="AD24" s="107"/>
      <c r="AE24" s="99"/>
      <c r="AF24" s="168"/>
      <c r="AG24" s="98"/>
      <c r="AH24" s="99"/>
      <c r="AJ24" s="98"/>
      <c r="AK24" s="99"/>
      <c r="AM24" s="98"/>
      <c r="AN24" s="99"/>
      <c r="AP24" s="98"/>
      <c r="AQ24" s="99"/>
      <c r="AS24" s="98"/>
      <c r="AT24" s="99"/>
      <c r="AV24" s="98"/>
      <c r="AW24" s="99"/>
      <c r="AY24" s="98"/>
      <c r="AZ24" s="99"/>
      <c r="BB24" s="98"/>
      <c r="BC24" s="99"/>
      <c r="BE24"/>
      <c r="BF24"/>
      <c r="BG24" s="12"/>
      <c r="BI24"/>
    </row>
    <row r="25" spans="1:61">
      <c r="B25" s="201" t="s">
        <v>317</v>
      </c>
      <c r="C25" s="22" t="s">
        <v>120</v>
      </c>
      <c r="D25" s="12" t="s">
        <v>318</v>
      </c>
      <c r="E25" s="24" t="s">
        <v>112</v>
      </c>
      <c r="F25" s="15">
        <v>0</v>
      </c>
      <c r="G25" s="24">
        <v>1</v>
      </c>
      <c r="H25" s="41">
        <v>0</v>
      </c>
      <c r="I25" s="102">
        <v>24.14</v>
      </c>
      <c r="J25" s="99">
        <v>6179.46</v>
      </c>
      <c r="K25" s="103">
        <f t="shared" si="0"/>
        <v>0.15888572395265813</v>
      </c>
      <c r="L25" s="107">
        <v>24.34</v>
      </c>
      <c r="M25" s="99">
        <v>13660.75</v>
      </c>
      <c r="N25" s="25">
        <f t="shared" si="1"/>
        <v>0.44987657526699637</v>
      </c>
      <c r="O25" s="102">
        <v>27.59</v>
      </c>
      <c r="P25" s="99">
        <v>33911.050000000003</v>
      </c>
      <c r="Q25" s="202">
        <f t="shared" si="2"/>
        <v>0.87479882732914138</v>
      </c>
      <c r="R25" s="107">
        <v>28.85</v>
      </c>
      <c r="S25" s="99">
        <v>21652.27</v>
      </c>
      <c r="T25" s="25">
        <f t="shared" si="3"/>
        <v>0.6750888519278716</v>
      </c>
      <c r="U25" s="102">
        <v>28.85</v>
      </c>
      <c r="V25" s="99">
        <v>46953.8</v>
      </c>
      <c r="W25" s="202">
        <f t="shared" si="4"/>
        <v>1.0339410691333553</v>
      </c>
      <c r="X25" s="102">
        <v>27.86</v>
      </c>
      <c r="Y25" s="99">
        <v>17285.28</v>
      </c>
      <c r="Z25" s="202">
        <f t="shared" si="5"/>
        <v>0.35482035806067669</v>
      </c>
      <c r="AA25" s="107" t="s">
        <v>319</v>
      </c>
      <c r="AB25" s="99">
        <v>9138.2000000000007</v>
      </c>
      <c r="AC25" s="202">
        <f t="shared" si="6"/>
        <v>0.2444925041464224</v>
      </c>
      <c r="AD25" s="107"/>
      <c r="AE25" s="99"/>
      <c r="AF25" s="168"/>
      <c r="AG25" s="98"/>
      <c r="AH25" s="99"/>
      <c r="AJ25" s="98"/>
      <c r="AK25" s="99"/>
      <c r="AM25" s="98"/>
      <c r="AN25" s="99"/>
      <c r="AP25" s="98"/>
      <c r="AQ25" s="99"/>
      <c r="AS25" s="98"/>
      <c r="AT25" s="99"/>
      <c r="AV25" s="98"/>
      <c r="AW25" s="99"/>
      <c r="AY25" s="98"/>
      <c r="AZ25" s="99"/>
      <c r="BB25" s="98"/>
      <c r="BC25" s="99"/>
      <c r="BE25"/>
      <c r="BF25"/>
      <c r="BG25" s="12"/>
      <c r="BI25"/>
    </row>
    <row r="26" spans="1:61">
      <c r="B26" s="201" t="s">
        <v>122</v>
      </c>
      <c r="C26" s="22" t="s">
        <v>123</v>
      </c>
      <c r="D26" s="244" t="s">
        <v>124</v>
      </c>
      <c r="E26" s="26" t="s">
        <v>484</v>
      </c>
      <c r="F26" s="118">
        <v>1</v>
      </c>
      <c r="G26" s="28">
        <v>0</v>
      </c>
      <c r="H26" s="44">
        <v>0</v>
      </c>
      <c r="I26" s="102">
        <v>14.51</v>
      </c>
      <c r="J26" s="99">
        <v>84755.91</v>
      </c>
      <c r="K26" s="103">
        <f t="shared" si="0"/>
        <v>2.1792363927618816</v>
      </c>
      <c r="L26" s="107">
        <v>14.7</v>
      </c>
      <c r="M26" s="99">
        <v>72154.820000000007</v>
      </c>
      <c r="N26" s="25">
        <f t="shared" si="1"/>
        <v>2.3762065267724375</v>
      </c>
      <c r="O26" s="102">
        <v>16.07</v>
      </c>
      <c r="P26" s="99">
        <v>93409.68</v>
      </c>
      <c r="Q26" s="202">
        <f t="shared" si="2"/>
        <v>2.4096770381686894</v>
      </c>
      <c r="R26" s="107">
        <v>16.57</v>
      </c>
      <c r="S26" s="99">
        <v>79568.600000000006</v>
      </c>
      <c r="T26" s="25">
        <f t="shared" si="3"/>
        <v>2.4808426471454514</v>
      </c>
      <c r="U26" s="105" t="s">
        <v>3</v>
      </c>
      <c r="V26" s="104">
        <v>0</v>
      </c>
      <c r="W26" s="223">
        <f t="shared" si="4"/>
        <v>0</v>
      </c>
      <c r="X26" s="102">
        <v>16.170000000000002</v>
      </c>
      <c r="Y26" s="99">
        <v>98616.17</v>
      </c>
      <c r="Z26" s="202">
        <f t="shared" si="5"/>
        <v>2.0243250181641583</v>
      </c>
      <c r="AA26" s="107">
        <v>15.41</v>
      </c>
      <c r="AB26" s="99">
        <v>88425.36</v>
      </c>
      <c r="AC26" s="202">
        <f t="shared" si="6"/>
        <v>2.3658201501880995</v>
      </c>
      <c r="AD26" s="107"/>
      <c r="AE26" s="99"/>
      <c r="AF26" s="168"/>
      <c r="AG26" s="98"/>
      <c r="AH26" s="99"/>
      <c r="AJ26" s="98"/>
      <c r="AK26" s="99"/>
      <c r="AM26" s="98"/>
      <c r="AN26" s="99"/>
      <c r="AP26" s="98"/>
      <c r="AQ26" s="99"/>
      <c r="AS26" s="98"/>
      <c r="AT26" s="99"/>
      <c r="AV26" s="98"/>
      <c r="AW26" s="99"/>
      <c r="AY26" s="98"/>
      <c r="AZ26" s="99"/>
      <c r="BB26" s="98"/>
      <c r="BC26" s="99"/>
      <c r="BE26"/>
      <c r="BF26"/>
      <c r="BG26" s="12"/>
      <c r="BI26"/>
    </row>
    <row r="27" spans="1:61">
      <c r="B27" s="201" t="s">
        <v>125</v>
      </c>
      <c r="C27" s="22" t="s">
        <v>123</v>
      </c>
      <c r="D27" s="244" t="s">
        <v>126</v>
      </c>
      <c r="E27" s="28">
        <v>0</v>
      </c>
      <c r="F27" s="118">
        <v>1</v>
      </c>
      <c r="G27" s="28">
        <v>0</v>
      </c>
      <c r="H27" s="44">
        <v>0</v>
      </c>
      <c r="I27" s="102">
        <v>18.39</v>
      </c>
      <c r="J27" s="99">
        <v>35629.79</v>
      </c>
      <c r="K27" s="103">
        <f t="shared" si="0"/>
        <v>0.9161099802298549</v>
      </c>
      <c r="L27" s="107">
        <v>18.61</v>
      </c>
      <c r="M27" s="99">
        <v>27321.32</v>
      </c>
      <c r="N27" s="25">
        <f t="shared" si="1"/>
        <v>0.89974722276402774</v>
      </c>
      <c r="O27" s="102">
        <v>20.67</v>
      </c>
      <c r="P27" s="99">
        <v>37444.33</v>
      </c>
      <c r="Q27" s="202">
        <f t="shared" si="2"/>
        <v>0.96594637954664875</v>
      </c>
      <c r="R27" s="107">
        <v>21.49</v>
      </c>
      <c r="S27" s="99">
        <v>29274.18</v>
      </c>
      <c r="T27" s="25">
        <f t="shared" si="3"/>
        <v>0.91272982312385065</v>
      </c>
      <c r="U27" s="102">
        <v>21.55</v>
      </c>
      <c r="V27" s="99">
        <v>35863.379999999997</v>
      </c>
      <c r="W27" s="202">
        <f t="shared" si="4"/>
        <v>0.78972567630172186</v>
      </c>
      <c r="X27" s="102">
        <v>20.86</v>
      </c>
      <c r="Y27" s="99">
        <v>39934.410000000003</v>
      </c>
      <c r="Z27" s="202">
        <f t="shared" si="5"/>
        <v>0.8197461455725259</v>
      </c>
      <c r="AA27" s="107">
        <v>19.649999999999999</v>
      </c>
      <c r="AB27" s="99">
        <v>35230.04</v>
      </c>
      <c r="AC27" s="202">
        <f t="shared" si="6"/>
        <v>0.94257957812026727</v>
      </c>
      <c r="AD27" s="107"/>
      <c r="AE27" s="99"/>
      <c r="AF27" s="168"/>
      <c r="AG27" s="98"/>
      <c r="AH27" s="99"/>
      <c r="AJ27" s="98"/>
      <c r="AK27" s="99"/>
      <c r="AM27" s="98"/>
      <c r="AN27" s="99"/>
      <c r="AP27" s="98"/>
      <c r="AQ27" s="99"/>
      <c r="AS27" s="98"/>
      <c r="AT27" s="99"/>
      <c r="AV27" s="98"/>
      <c r="AW27" s="99"/>
      <c r="AY27" s="98"/>
      <c r="AZ27" s="99"/>
      <c r="BB27" s="98"/>
      <c r="BC27" s="99"/>
      <c r="BE27"/>
      <c r="BF27"/>
      <c r="BG27" s="12"/>
      <c r="BI27"/>
    </row>
    <row r="28" spans="1:61">
      <c r="B28" s="201" t="s">
        <v>320</v>
      </c>
      <c r="C28" s="22" t="s">
        <v>128</v>
      </c>
      <c r="D28" s="242" t="s">
        <v>321</v>
      </c>
      <c r="E28" s="26" t="s">
        <v>484</v>
      </c>
      <c r="F28" s="15">
        <v>1</v>
      </c>
      <c r="G28" s="24">
        <v>0</v>
      </c>
      <c r="H28" s="41">
        <v>0</v>
      </c>
      <c r="I28" s="102">
        <v>14.33</v>
      </c>
      <c r="J28" s="99">
        <v>14619.8</v>
      </c>
      <c r="K28" s="103">
        <f t="shared" si="0"/>
        <v>0.37590299266328631</v>
      </c>
      <c r="L28" s="107">
        <v>14.52</v>
      </c>
      <c r="M28" s="99">
        <v>14071.67</v>
      </c>
      <c r="N28" s="25">
        <f t="shared" si="1"/>
        <v>0.46340901545576452</v>
      </c>
      <c r="O28" s="102">
        <v>15.83</v>
      </c>
      <c r="P28" s="99">
        <v>17805.43</v>
      </c>
      <c r="Q28" s="202">
        <f t="shared" si="2"/>
        <v>0.45932429942721065</v>
      </c>
      <c r="R28" s="107">
        <v>16.399999999999999</v>
      </c>
      <c r="S28" s="99">
        <v>13699.94</v>
      </c>
      <c r="T28" s="25">
        <f t="shared" si="3"/>
        <v>0.42714582656140554</v>
      </c>
      <c r="U28" s="105" t="s">
        <v>3</v>
      </c>
      <c r="V28" s="104">
        <v>0</v>
      </c>
      <c r="W28" s="223">
        <f t="shared" si="4"/>
        <v>0</v>
      </c>
      <c r="X28" s="102">
        <v>15.99</v>
      </c>
      <c r="Y28" s="99">
        <v>16548.11</v>
      </c>
      <c r="Z28" s="202">
        <f t="shared" si="5"/>
        <v>0.3396882385143582</v>
      </c>
      <c r="AA28" s="107">
        <v>15.17</v>
      </c>
      <c r="AB28" s="99">
        <v>14442.21</v>
      </c>
      <c r="AC28" s="202">
        <f t="shared" si="6"/>
        <v>0.38640127030580451</v>
      </c>
      <c r="AD28" s="107"/>
      <c r="AE28" s="99"/>
      <c r="AF28" s="168"/>
      <c r="AG28" s="98"/>
      <c r="AH28" s="99"/>
      <c r="AJ28" s="98"/>
      <c r="AK28" s="99"/>
      <c r="AM28" s="98"/>
      <c r="AN28" s="99"/>
      <c r="AP28" s="98"/>
      <c r="AQ28" s="99"/>
      <c r="AS28" s="98"/>
      <c r="AT28" s="99"/>
      <c r="AV28" s="98"/>
      <c r="AW28" s="99"/>
      <c r="AY28" s="98"/>
      <c r="AZ28" s="99"/>
      <c r="BB28" s="98"/>
      <c r="BC28" s="99"/>
      <c r="BE28"/>
      <c r="BF28"/>
      <c r="BG28" s="12"/>
      <c r="BI28"/>
    </row>
    <row r="29" spans="1:61">
      <c r="B29" s="201" t="s">
        <v>127</v>
      </c>
      <c r="C29" s="22" t="s">
        <v>128</v>
      </c>
      <c r="D29" s="242" t="s">
        <v>129</v>
      </c>
      <c r="E29" s="24">
        <v>0</v>
      </c>
      <c r="F29" s="15">
        <v>1</v>
      </c>
      <c r="G29" s="24">
        <v>0</v>
      </c>
      <c r="H29" s="41">
        <v>0</v>
      </c>
      <c r="I29" s="102">
        <v>17.84</v>
      </c>
      <c r="J29" s="99">
        <v>10498.71</v>
      </c>
      <c r="K29" s="103">
        <f t="shared" si="0"/>
        <v>0.26994189442427191</v>
      </c>
      <c r="L29" s="107">
        <v>18.010000000000002</v>
      </c>
      <c r="M29" s="99">
        <v>5364.41</v>
      </c>
      <c r="N29" s="25">
        <f t="shared" si="1"/>
        <v>0.17666104709683053</v>
      </c>
      <c r="O29" s="102">
        <v>19.940000000000001</v>
      </c>
      <c r="P29" s="99">
        <v>7868.51</v>
      </c>
      <c r="Q29" s="202">
        <f t="shared" si="2"/>
        <v>0.20298290146803541</v>
      </c>
      <c r="R29" s="107">
        <v>20.77</v>
      </c>
      <c r="S29" s="99">
        <v>5733.07</v>
      </c>
      <c r="T29" s="25">
        <f t="shared" si="3"/>
        <v>0.17874946341986878</v>
      </c>
      <c r="U29" s="102">
        <v>20.77</v>
      </c>
      <c r="V29" s="99">
        <v>8290.7099999999991</v>
      </c>
      <c r="W29" s="202">
        <f t="shared" si="4"/>
        <v>0.18256468190592881</v>
      </c>
      <c r="X29" s="102">
        <v>20.2</v>
      </c>
      <c r="Y29" s="99">
        <v>9077.35</v>
      </c>
      <c r="Z29" s="202">
        <f t="shared" si="5"/>
        <v>0.18633360739554605</v>
      </c>
      <c r="AA29" s="107">
        <v>18.989999999999998</v>
      </c>
      <c r="AB29" s="99">
        <v>8111.55</v>
      </c>
      <c r="AC29" s="202">
        <f t="shared" si="6"/>
        <v>0.21702448753681386</v>
      </c>
      <c r="AD29" s="107"/>
      <c r="AE29" s="99"/>
      <c r="AF29" s="168"/>
      <c r="AG29" s="98"/>
      <c r="AH29" s="99"/>
      <c r="AJ29" s="98"/>
      <c r="AK29" s="99"/>
      <c r="AM29" s="98"/>
      <c r="AN29" s="99"/>
      <c r="AP29" s="98"/>
      <c r="AQ29" s="99"/>
      <c r="AS29" s="98"/>
      <c r="AT29" s="99"/>
      <c r="AV29" s="98"/>
      <c r="AW29" s="99"/>
      <c r="AY29" s="98"/>
      <c r="AZ29" s="99"/>
      <c r="BB29" s="98"/>
      <c r="BC29" s="99"/>
      <c r="BE29"/>
      <c r="BF29"/>
      <c r="BG29" s="12"/>
      <c r="BI29"/>
    </row>
    <row r="30" spans="1:61">
      <c r="B30" s="201" t="s">
        <v>20</v>
      </c>
      <c r="C30" s="22" t="s">
        <v>131</v>
      </c>
      <c r="D30" s="12" t="s">
        <v>322</v>
      </c>
      <c r="E30" s="24">
        <v>0</v>
      </c>
      <c r="F30" s="15">
        <v>0</v>
      </c>
      <c r="G30" s="24">
        <v>1</v>
      </c>
      <c r="H30" s="41">
        <v>0</v>
      </c>
      <c r="I30" s="102" t="s">
        <v>328</v>
      </c>
      <c r="J30" s="99">
        <v>1481.52</v>
      </c>
      <c r="K30" s="103">
        <f t="shared" si="0"/>
        <v>3.8092710002223827E-2</v>
      </c>
      <c r="L30" s="203" t="s">
        <v>323</v>
      </c>
      <c r="M30" s="99">
        <v>1157.4100000000001</v>
      </c>
      <c r="N30" s="25">
        <f t="shared" si="1"/>
        <v>3.8115890194884927E-2</v>
      </c>
      <c r="O30" s="253" t="s">
        <v>324</v>
      </c>
      <c r="P30" s="99">
        <v>1618.56</v>
      </c>
      <c r="Q30" s="202">
        <f t="shared" si="2"/>
        <v>4.1753776127895027E-2</v>
      </c>
      <c r="R30" s="203" t="s">
        <v>325</v>
      </c>
      <c r="S30" s="99">
        <v>1122.46</v>
      </c>
      <c r="T30" s="25">
        <f t="shared" si="3"/>
        <v>3.4996803232869286E-2</v>
      </c>
      <c r="U30" s="253">
        <v>21.31</v>
      </c>
      <c r="V30" s="99">
        <v>1677.02</v>
      </c>
      <c r="W30" s="202">
        <f t="shared" si="4"/>
        <v>3.6928637336233056E-2</v>
      </c>
      <c r="X30" s="102" t="s">
        <v>326</v>
      </c>
      <c r="Y30" s="99">
        <v>1603.19</v>
      </c>
      <c r="Z30" s="202">
        <f t="shared" si="5"/>
        <v>3.2909183411509467E-2</v>
      </c>
      <c r="AA30" s="107" t="s">
        <v>327</v>
      </c>
      <c r="AB30" s="99">
        <v>1511.68</v>
      </c>
      <c r="AC30" s="202">
        <f t="shared" si="6"/>
        <v>4.044499230352408E-2</v>
      </c>
      <c r="AD30" s="107"/>
      <c r="AE30" s="99"/>
      <c r="AF30" s="168"/>
      <c r="AG30" s="98"/>
      <c r="AH30" s="99"/>
      <c r="AJ30" s="98"/>
      <c r="AK30" s="99"/>
      <c r="AM30" s="98"/>
      <c r="AN30" s="99"/>
      <c r="AP30" s="98"/>
      <c r="AQ30" s="99"/>
      <c r="AS30" s="98"/>
      <c r="AT30" s="99"/>
      <c r="AV30" s="98"/>
      <c r="AW30" s="99"/>
      <c r="AY30" s="98"/>
      <c r="AZ30" s="99"/>
      <c r="BB30" s="98"/>
      <c r="BC30" s="99"/>
      <c r="BE30"/>
      <c r="BF30"/>
      <c r="BG30" s="12"/>
      <c r="BI30"/>
    </row>
    <row r="31" spans="1:61">
      <c r="B31" s="201" t="s">
        <v>23</v>
      </c>
      <c r="C31" s="22" t="s">
        <v>131</v>
      </c>
      <c r="D31" s="12" t="s">
        <v>132</v>
      </c>
      <c r="E31" s="26">
        <v>0</v>
      </c>
      <c r="F31" s="117">
        <v>0</v>
      </c>
      <c r="G31" s="26">
        <v>1</v>
      </c>
      <c r="H31" s="43">
        <v>0</v>
      </c>
      <c r="I31" s="102" t="s">
        <v>331</v>
      </c>
      <c r="J31" s="99">
        <v>1416.19</v>
      </c>
      <c r="K31" s="103">
        <f t="shared" si="0"/>
        <v>3.6412950873460616E-2</v>
      </c>
      <c r="L31" s="107">
        <v>19.149999999999999</v>
      </c>
      <c r="M31" s="99">
        <v>2976.77</v>
      </c>
      <c r="N31" s="25">
        <f t="shared" si="1"/>
        <v>9.803115443570351E-2</v>
      </c>
      <c r="O31" s="102">
        <v>21.45</v>
      </c>
      <c r="P31" s="99">
        <v>2921.39</v>
      </c>
      <c r="Q31" s="202">
        <f t="shared" si="2"/>
        <v>7.5362707618050154E-2</v>
      </c>
      <c r="R31" s="107">
        <v>22.39</v>
      </c>
      <c r="S31" s="99">
        <v>2178.1999999999998</v>
      </c>
      <c r="T31" s="25">
        <f t="shared" si="3"/>
        <v>6.7913366001314854E-2</v>
      </c>
      <c r="U31" s="102">
        <v>22.46</v>
      </c>
      <c r="V31" s="99">
        <v>2869.42</v>
      </c>
      <c r="W31" s="202">
        <f t="shared" si="4"/>
        <v>6.3185752433085982E-2</v>
      </c>
      <c r="X31" s="102" t="s">
        <v>329</v>
      </c>
      <c r="Y31" s="99">
        <v>1911.77</v>
      </c>
      <c r="Z31" s="202">
        <f t="shared" si="5"/>
        <v>3.9243501750024293E-2</v>
      </c>
      <c r="AA31" s="107" t="s">
        <v>330</v>
      </c>
      <c r="AB31" s="99">
        <v>1581.59</v>
      </c>
      <c r="AC31" s="202">
        <f t="shared" si="6"/>
        <v>4.2315434071583044E-2</v>
      </c>
      <c r="AD31" s="107"/>
      <c r="AE31" s="99"/>
      <c r="AF31" s="168"/>
      <c r="AG31" s="98"/>
      <c r="AH31" s="99"/>
      <c r="AJ31" s="98"/>
      <c r="AK31" s="99"/>
      <c r="AM31" s="98"/>
      <c r="AN31" s="99"/>
      <c r="AP31" s="98"/>
      <c r="AQ31" s="99"/>
      <c r="AS31" s="98"/>
      <c r="AT31" s="99"/>
      <c r="AV31" s="98"/>
      <c r="AW31" s="99"/>
      <c r="AY31" s="98"/>
      <c r="AZ31" s="99"/>
      <c r="BB31" s="98"/>
      <c r="BC31" s="99"/>
      <c r="BE31"/>
      <c r="BF31"/>
      <c r="BG31" s="12"/>
      <c r="BI31"/>
    </row>
    <row r="32" spans="1:61">
      <c r="B32" s="201" t="s">
        <v>140</v>
      </c>
      <c r="C32" s="22" t="s">
        <v>141</v>
      </c>
      <c r="D32" s="245" t="s">
        <v>142</v>
      </c>
      <c r="E32" s="29">
        <v>0</v>
      </c>
      <c r="F32" s="119">
        <v>1</v>
      </c>
      <c r="G32" s="29">
        <v>0</v>
      </c>
      <c r="H32" s="45">
        <v>0</v>
      </c>
      <c r="I32" s="102">
        <v>14.83</v>
      </c>
      <c r="J32" s="99">
        <v>846806.1</v>
      </c>
      <c r="K32" s="103">
        <f t="shared" si="0"/>
        <v>21.773002858830225</v>
      </c>
      <c r="L32" s="107">
        <v>14.97</v>
      </c>
      <c r="M32" s="99">
        <v>690133.81</v>
      </c>
      <c r="N32" s="25">
        <f t="shared" si="1"/>
        <v>22.727524837125635</v>
      </c>
      <c r="O32" s="102">
        <v>16.329999999999998</v>
      </c>
      <c r="P32" s="99">
        <v>930510.27</v>
      </c>
      <c r="Q32" s="202">
        <f t="shared" si="2"/>
        <v>24.004249146332025</v>
      </c>
      <c r="R32" s="107">
        <v>16.89</v>
      </c>
      <c r="S32" s="99">
        <v>775070.73</v>
      </c>
      <c r="T32" s="25">
        <f t="shared" si="3"/>
        <v>24.165669894131067</v>
      </c>
      <c r="U32" s="102">
        <v>17</v>
      </c>
      <c r="V32" s="99">
        <v>1039442.52</v>
      </c>
      <c r="W32" s="202">
        <f t="shared" si="4"/>
        <v>22.888931469475722</v>
      </c>
      <c r="X32" s="102">
        <v>16.57</v>
      </c>
      <c r="Y32" s="99">
        <v>1092154.1299999999</v>
      </c>
      <c r="Z32" s="202">
        <f t="shared" si="5"/>
        <v>22.418989999817583</v>
      </c>
      <c r="AA32" s="107">
        <v>15.72</v>
      </c>
      <c r="AB32" s="99">
        <v>799966.47</v>
      </c>
      <c r="AC32" s="202">
        <f t="shared" si="6"/>
        <v>21.403099678653767</v>
      </c>
      <c r="AD32" s="107"/>
      <c r="AE32" s="99"/>
      <c r="AF32" s="168"/>
      <c r="AG32" s="98"/>
      <c r="AH32" s="99"/>
      <c r="AJ32" s="98"/>
      <c r="AK32" s="99"/>
      <c r="AM32" s="98"/>
      <c r="AN32" s="99"/>
      <c r="AP32" s="98"/>
      <c r="AQ32" s="99"/>
      <c r="AS32" s="98"/>
      <c r="AT32" s="99"/>
      <c r="AV32" s="98"/>
      <c r="AW32" s="99"/>
      <c r="AY32" s="98"/>
      <c r="AZ32" s="99"/>
      <c r="BB32" s="98"/>
      <c r="BC32" s="99"/>
      <c r="BE32"/>
      <c r="BF32"/>
      <c r="BG32" s="12"/>
      <c r="BI32"/>
    </row>
    <row r="33" spans="1:61">
      <c r="B33" s="201" t="s">
        <v>143</v>
      </c>
      <c r="C33" s="22" t="s">
        <v>141</v>
      </c>
      <c r="D33" s="242" t="s">
        <v>144</v>
      </c>
      <c r="E33" s="24">
        <v>0</v>
      </c>
      <c r="F33" s="15">
        <v>1</v>
      </c>
      <c r="G33" s="24">
        <v>0</v>
      </c>
      <c r="H33" s="41">
        <v>0</v>
      </c>
      <c r="I33" s="102">
        <v>20.02</v>
      </c>
      <c r="J33" s="99">
        <v>188628.2</v>
      </c>
      <c r="K33" s="103">
        <f t="shared" si="0"/>
        <v>4.849991441790511</v>
      </c>
      <c r="L33" s="107">
        <v>20.239999999999998</v>
      </c>
      <c r="M33" s="99">
        <v>138280.76999999999</v>
      </c>
      <c r="N33" s="25">
        <f t="shared" si="1"/>
        <v>4.5538699729431551</v>
      </c>
      <c r="O33" s="102">
        <v>22.65</v>
      </c>
      <c r="P33" s="99">
        <v>175103.6</v>
      </c>
      <c r="Q33" s="202">
        <f t="shared" si="2"/>
        <v>4.5171241804990121</v>
      </c>
      <c r="R33" s="107">
        <v>23.6</v>
      </c>
      <c r="S33" s="99">
        <v>123012.69</v>
      </c>
      <c r="T33" s="25">
        <f t="shared" si="3"/>
        <v>3.8353713335672968</v>
      </c>
      <c r="U33" s="102">
        <v>23.73</v>
      </c>
      <c r="V33" s="99">
        <v>181465.55</v>
      </c>
      <c r="W33" s="202">
        <f t="shared" si="4"/>
        <v>3.9959424961956715</v>
      </c>
      <c r="X33" s="102">
        <v>22.91</v>
      </c>
      <c r="Y33" s="99">
        <v>192191.06</v>
      </c>
      <c r="Z33" s="202">
        <f t="shared" si="5"/>
        <v>3.9451661023287445</v>
      </c>
      <c r="AA33" s="107">
        <v>21.52</v>
      </c>
      <c r="AB33" s="99">
        <v>177249.29</v>
      </c>
      <c r="AC33" s="202">
        <f t="shared" si="6"/>
        <v>4.7423040391188005</v>
      </c>
      <c r="AD33" s="107"/>
      <c r="AE33" s="99"/>
      <c r="AF33" s="168"/>
      <c r="AG33" s="98"/>
      <c r="AH33" s="99"/>
      <c r="AJ33" s="98"/>
      <c r="AK33" s="99"/>
      <c r="AM33" s="98"/>
      <c r="AN33" s="99"/>
      <c r="AP33" s="98"/>
      <c r="AQ33" s="99"/>
      <c r="AS33" s="98"/>
      <c r="AT33" s="99"/>
      <c r="AV33" s="98"/>
      <c r="AW33" s="99"/>
      <c r="AY33" s="98"/>
      <c r="AZ33" s="99"/>
      <c r="BB33" s="98"/>
      <c r="BC33" s="99"/>
      <c r="BE33"/>
      <c r="BF33"/>
      <c r="BG33" s="12"/>
      <c r="BI33"/>
    </row>
    <row r="34" spans="1:61">
      <c r="B34" s="201" t="s">
        <v>145</v>
      </c>
      <c r="C34" s="22" t="s">
        <v>146</v>
      </c>
      <c r="D34" s="245" t="s">
        <v>147</v>
      </c>
      <c r="E34" s="29">
        <v>0</v>
      </c>
      <c r="F34" s="119">
        <v>1</v>
      </c>
      <c r="G34" s="29">
        <v>0</v>
      </c>
      <c r="H34" s="45">
        <v>0</v>
      </c>
      <c r="I34" s="102">
        <v>14.57</v>
      </c>
      <c r="J34" s="99">
        <v>288918.67</v>
      </c>
      <c r="K34" s="103">
        <f t="shared" si="0"/>
        <v>7.4286510546858668</v>
      </c>
      <c r="L34" s="107">
        <v>14.76</v>
      </c>
      <c r="M34" s="99">
        <v>244544.04</v>
      </c>
      <c r="N34" s="25">
        <f t="shared" si="1"/>
        <v>8.0533378633790509</v>
      </c>
      <c r="O34" s="102">
        <v>16.07</v>
      </c>
      <c r="P34" s="99">
        <v>258222.79</v>
      </c>
      <c r="Q34" s="202">
        <f t="shared" si="2"/>
        <v>6.6613388226450994</v>
      </c>
      <c r="R34" s="107">
        <v>16.57</v>
      </c>
      <c r="S34" s="99">
        <v>271313.34000000003</v>
      </c>
      <c r="T34" s="25">
        <f t="shared" si="3"/>
        <v>8.4591874761083368</v>
      </c>
      <c r="U34" s="102">
        <v>16.649999999999999</v>
      </c>
      <c r="V34" s="99">
        <v>389860.8</v>
      </c>
      <c r="W34" s="202">
        <f t="shared" si="4"/>
        <v>8.5848875355175771</v>
      </c>
      <c r="X34" s="102">
        <v>16.22</v>
      </c>
      <c r="Y34" s="99">
        <v>389452.19</v>
      </c>
      <c r="Z34" s="202">
        <f t="shared" si="5"/>
        <v>7.9944071200070059</v>
      </c>
      <c r="AA34" s="107">
        <v>15.47</v>
      </c>
      <c r="AB34" s="99">
        <v>277086.44</v>
      </c>
      <c r="AC34" s="202">
        <f t="shared" si="6"/>
        <v>7.4134465847341291</v>
      </c>
      <c r="AD34" s="107"/>
      <c r="AE34" s="99"/>
      <c r="AF34" s="168"/>
      <c r="AG34" s="98"/>
      <c r="AH34" s="99"/>
      <c r="AJ34" s="98"/>
      <c r="AK34" s="99"/>
      <c r="AM34" s="98"/>
      <c r="AN34" s="99"/>
      <c r="AP34" s="98"/>
      <c r="AQ34" s="99"/>
      <c r="AS34" s="98"/>
      <c r="AT34" s="99"/>
      <c r="AV34" s="98"/>
      <c r="AW34" s="99"/>
      <c r="AY34" s="98"/>
      <c r="AZ34" s="99"/>
      <c r="BB34" s="98"/>
      <c r="BC34" s="99"/>
      <c r="BE34"/>
      <c r="BF34"/>
      <c r="BG34" s="12"/>
      <c r="BI34"/>
    </row>
    <row r="35" spans="1:61">
      <c r="B35" s="201" t="s">
        <v>148</v>
      </c>
      <c r="C35" s="22" t="s">
        <v>146</v>
      </c>
      <c r="D35" s="242" t="s">
        <v>149</v>
      </c>
      <c r="E35" s="24">
        <v>0</v>
      </c>
      <c r="F35" s="15">
        <v>1</v>
      </c>
      <c r="G35" s="24">
        <v>0</v>
      </c>
      <c r="H35" s="41">
        <v>0</v>
      </c>
      <c r="I35" s="102">
        <v>19.66</v>
      </c>
      <c r="J35" s="99">
        <v>43300.800000000003</v>
      </c>
      <c r="K35" s="103">
        <f t="shared" si="0"/>
        <v>1.1133463046494774</v>
      </c>
      <c r="L35" s="107">
        <v>19.82</v>
      </c>
      <c r="M35" s="99">
        <v>35159.839999999997</v>
      </c>
      <c r="N35" s="25">
        <f t="shared" si="1"/>
        <v>1.1578857973490144</v>
      </c>
      <c r="O35" s="102">
        <v>22.23</v>
      </c>
      <c r="P35" s="99">
        <v>40236.370000000003</v>
      </c>
      <c r="Q35" s="202">
        <f t="shared" si="2"/>
        <v>1.0379722624920622</v>
      </c>
      <c r="R35" s="107">
        <v>23.11</v>
      </c>
      <c r="S35" s="99">
        <v>31070.46</v>
      </c>
      <c r="T35" s="25">
        <f t="shared" si="3"/>
        <v>0.96873543375686955</v>
      </c>
      <c r="U35" s="102">
        <v>23.19</v>
      </c>
      <c r="V35" s="99">
        <v>48367.519999999997</v>
      </c>
      <c r="W35" s="202">
        <f t="shared" si="4"/>
        <v>1.0650717373275209</v>
      </c>
      <c r="X35" s="102">
        <v>22.43</v>
      </c>
      <c r="Y35" s="99">
        <v>47540.39</v>
      </c>
      <c r="Z35" s="202">
        <f t="shared" si="5"/>
        <v>0.97587647999593952</v>
      </c>
      <c r="AA35" s="107">
        <v>21.1</v>
      </c>
      <c r="AB35" s="99">
        <v>41590.959999999999</v>
      </c>
      <c r="AC35" s="202">
        <f t="shared" si="6"/>
        <v>1.1127659670672219</v>
      </c>
      <c r="AD35" s="107"/>
      <c r="AE35" s="99"/>
      <c r="AF35" s="168"/>
      <c r="AG35" s="98"/>
      <c r="AH35" s="99"/>
      <c r="AJ35" s="98"/>
      <c r="AK35" s="99"/>
      <c r="AM35" s="98"/>
      <c r="AN35" s="99"/>
      <c r="AP35" s="98"/>
      <c r="AQ35" s="99"/>
      <c r="AS35" s="98"/>
      <c r="AT35" s="99"/>
      <c r="AV35" s="98"/>
      <c r="AW35" s="99"/>
      <c r="AY35" s="98"/>
      <c r="AZ35" s="99"/>
      <c r="BB35" s="98"/>
      <c r="BC35" s="99"/>
      <c r="BE35"/>
      <c r="BF35"/>
      <c r="BG35" s="12"/>
      <c r="BI35"/>
    </row>
    <row r="36" spans="1:61">
      <c r="B36" s="201" t="s">
        <v>156</v>
      </c>
      <c r="C36" s="22" t="s">
        <v>151</v>
      </c>
      <c r="D36" s="113" t="s">
        <v>157</v>
      </c>
      <c r="E36" s="26">
        <v>0</v>
      </c>
      <c r="F36" s="117">
        <v>0</v>
      </c>
      <c r="G36" s="26">
        <v>0</v>
      </c>
      <c r="H36" s="43" t="s">
        <v>158</v>
      </c>
      <c r="I36" s="102">
        <v>22.35</v>
      </c>
      <c r="J36" s="99">
        <v>1940.55</v>
      </c>
      <c r="K36" s="103">
        <f t="shared" si="0"/>
        <v>4.9895248390042286E-2</v>
      </c>
      <c r="L36" s="107">
        <v>21.57</v>
      </c>
      <c r="M36" s="99">
        <v>2320.5100000000002</v>
      </c>
      <c r="N36" s="25">
        <f t="shared" si="1"/>
        <v>7.6419163784771538E-2</v>
      </c>
      <c r="O36" s="102">
        <v>24.57</v>
      </c>
      <c r="P36" s="99">
        <v>10213.030000000001</v>
      </c>
      <c r="Q36" s="202">
        <f t="shared" si="2"/>
        <v>0.26346417074898421</v>
      </c>
      <c r="R36" s="108" t="s">
        <v>3</v>
      </c>
      <c r="S36" s="104">
        <v>0</v>
      </c>
      <c r="T36" s="205">
        <f t="shared" si="3"/>
        <v>0</v>
      </c>
      <c r="U36" s="102">
        <v>25.97</v>
      </c>
      <c r="V36" s="99">
        <v>2868.1</v>
      </c>
      <c r="W36" s="202">
        <f t="shared" si="4"/>
        <v>6.315668551600459E-2</v>
      </c>
      <c r="X36" s="102">
        <v>25.23</v>
      </c>
      <c r="Y36" s="99">
        <v>2125.6</v>
      </c>
      <c r="Z36" s="202">
        <f t="shared" si="5"/>
        <v>4.3632857153241049E-2</v>
      </c>
      <c r="AA36" s="107">
        <v>23.89</v>
      </c>
      <c r="AB36" s="99">
        <v>2045.62</v>
      </c>
      <c r="AC36" s="202">
        <f t="shared" si="6"/>
        <v>5.4730554850189808E-2</v>
      </c>
      <c r="AD36" s="107"/>
      <c r="AE36" s="99"/>
      <c r="AF36" s="168"/>
      <c r="AG36" s="98"/>
      <c r="AH36" s="99"/>
      <c r="AJ36" s="98"/>
      <c r="AK36" s="99"/>
      <c r="AM36" s="98"/>
      <c r="AN36" s="99"/>
      <c r="AP36" s="98"/>
      <c r="AQ36" s="99"/>
      <c r="AS36" s="98"/>
      <c r="AT36" s="99"/>
      <c r="AV36" s="98"/>
      <c r="AW36" s="99"/>
      <c r="AY36" s="98"/>
      <c r="AZ36" s="99"/>
      <c r="BB36" s="98"/>
      <c r="BC36" s="99"/>
      <c r="BE36"/>
      <c r="BF36"/>
      <c r="BG36" s="12"/>
      <c r="BI36"/>
    </row>
    <row r="37" spans="1:61">
      <c r="B37" s="201" t="s">
        <v>167</v>
      </c>
      <c r="C37" s="22" t="s">
        <v>151</v>
      </c>
      <c r="D37" s="246" t="s">
        <v>168</v>
      </c>
      <c r="E37" s="24" t="s">
        <v>483</v>
      </c>
      <c r="F37" s="15">
        <v>0</v>
      </c>
      <c r="G37" s="24">
        <v>0</v>
      </c>
      <c r="H37" s="46" t="s">
        <v>108</v>
      </c>
      <c r="I37" s="102">
        <v>33.72</v>
      </c>
      <c r="J37" s="99">
        <v>3674.08</v>
      </c>
      <c r="K37" s="103">
        <f t="shared" si="0"/>
        <v>9.4467617018312633E-2</v>
      </c>
      <c r="L37" s="107">
        <v>32.99</v>
      </c>
      <c r="M37" s="99">
        <v>5420.08</v>
      </c>
      <c r="N37" s="25">
        <f t="shared" si="1"/>
        <v>0.17849437461875384</v>
      </c>
      <c r="O37" s="102">
        <v>37.47</v>
      </c>
      <c r="P37" s="99">
        <v>5546.56</v>
      </c>
      <c r="Q37" s="202">
        <f t="shared" si="2"/>
        <v>0.14308386746239712</v>
      </c>
      <c r="R37" s="107">
        <v>39.229999999999997</v>
      </c>
      <c r="S37" s="99">
        <v>3956.01</v>
      </c>
      <c r="T37" s="25">
        <f t="shared" si="3"/>
        <v>0.12334310670960499</v>
      </c>
      <c r="U37" s="102">
        <v>39.61</v>
      </c>
      <c r="V37" s="99">
        <v>3548.93</v>
      </c>
      <c r="W37" s="202">
        <f t="shared" si="4"/>
        <v>7.8148828816399077E-2</v>
      </c>
      <c r="X37" s="102" t="s">
        <v>332</v>
      </c>
      <c r="Y37" s="99">
        <v>2763.4</v>
      </c>
      <c r="Z37" s="202">
        <f t="shared" si="5"/>
        <v>5.6725177576809525E-2</v>
      </c>
      <c r="AA37" s="107">
        <v>35.97</v>
      </c>
      <c r="AB37" s="99">
        <v>2614.13</v>
      </c>
      <c r="AC37" s="202">
        <f t="shared" si="6"/>
        <v>6.9941037607437695E-2</v>
      </c>
      <c r="AD37" s="107"/>
      <c r="AE37" s="99"/>
      <c r="AF37" s="168"/>
      <c r="AG37" s="98"/>
      <c r="AH37" s="99"/>
      <c r="AJ37" s="98"/>
      <c r="AK37" s="99"/>
      <c r="AM37" s="98"/>
      <c r="AN37" s="99"/>
      <c r="AP37" s="98"/>
      <c r="AQ37" s="99"/>
      <c r="AS37" s="98"/>
      <c r="AT37" s="99"/>
      <c r="AV37" s="98"/>
      <c r="AW37" s="99"/>
      <c r="AY37" s="98"/>
      <c r="AZ37" s="99"/>
      <c r="BB37" s="98"/>
      <c r="BC37" s="99"/>
      <c r="BE37"/>
      <c r="BF37"/>
      <c r="BG37" s="12"/>
      <c r="BI37"/>
    </row>
    <row r="38" spans="1:61">
      <c r="B38" s="201">
        <v>749</v>
      </c>
      <c r="C38" s="22" t="s">
        <v>25</v>
      </c>
      <c r="D38" s="242" t="s">
        <v>333</v>
      </c>
      <c r="E38" s="24" t="s">
        <v>520</v>
      </c>
      <c r="F38" s="15">
        <v>0</v>
      </c>
      <c r="G38" s="24">
        <v>0</v>
      </c>
      <c r="H38" s="41">
        <v>0</v>
      </c>
      <c r="I38" s="102">
        <v>20.02</v>
      </c>
      <c r="J38" s="99">
        <v>75884.83</v>
      </c>
      <c r="K38" s="103">
        <f t="shared" si="0"/>
        <v>1.9511439756183211</v>
      </c>
      <c r="L38" s="108" t="s">
        <v>3</v>
      </c>
      <c r="M38" s="104">
        <v>0</v>
      </c>
      <c r="N38" s="205">
        <f t="shared" si="1"/>
        <v>0</v>
      </c>
      <c r="O38" s="105" t="s">
        <v>3</v>
      </c>
      <c r="P38" s="104">
        <v>0</v>
      </c>
      <c r="Q38" s="223">
        <f t="shared" si="2"/>
        <v>0</v>
      </c>
      <c r="R38" s="108" t="s">
        <v>3</v>
      </c>
      <c r="S38" s="104">
        <v>0</v>
      </c>
      <c r="T38" s="205">
        <f t="shared" si="3"/>
        <v>0</v>
      </c>
      <c r="U38" s="105" t="s">
        <v>3</v>
      </c>
      <c r="V38" s="104">
        <v>0</v>
      </c>
      <c r="W38" s="223">
        <f t="shared" si="4"/>
        <v>0</v>
      </c>
      <c r="X38" s="102">
        <v>22.67</v>
      </c>
      <c r="Y38" s="99">
        <v>53546.62</v>
      </c>
      <c r="Z38" s="202">
        <f t="shared" si="5"/>
        <v>1.0991682449656004</v>
      </c>
      <c r="AA38" s="107">
        <v>21.52</v>
      </c>
      <c r="AB38" s="99">
        <v>78314.429999999993</v>
      </c>
      <c r="AC38" s="202">
        <f t="shared" si="6"/>
        <v>2.095302258814614</v>
      </c>
      <c r="AD38" s="107"/>
      <c r="AE38" s="99"/>
      <c r="AF38" s="168"/>
      <c r="AG38" s="98"/>
      <c r="AH38" s="99"/>
      <c r="AJ38" s="98"/>
      <c r="AK38" s="99"/>
      <c r="AM38" s="98"/>
      <c r="AN38" s="99"/>
      <c r="AP38" s="98"/>
      <c r="AQ38" s="99"/>
      <c r="AS38" s="98"/>
      <c r="AT38" s="99"/>
      <c r="AV38" s="98"/>
      <c r="AW38" s="99"/>
      <c r="AY38" s="98"/>
      <c r="AZ38" s="99"/>
      <c r="BB38" s="98"/>
      <c r="BC38" s="99"/>
      <c r="BE38"/>
      <c r="BF38"/>
      <c r="BG38" s="12"/>
      <c r="BI38"/>
    </row>
    <row r="39" spans="1:61">
      <c r="B39" s="201" t="s">
        <v>169</v>
      </c>
      <c r="C39" s="22" t="s">
        <v>170</v>
      </c>
      <c r="D39" s="242" t="s">
        <v>334</v>
      </c>
      <c r="E39" s="24" t="s">
        <v>485</v>
      </c>
      <c r="F39" s="15">
        <v>0</v>
      </c>
      <c r="G39" s="24">
        <v>0</v>
      </c>
      <c r="H39" s="41">
        <v>0</v>
      </c>
      <c r="I39" s="102">
        <v>19.3</v>
      </c>
      <c r="J39" s="99">
        <v>5557.45</v>
      </c>
      <c r="K39" s="103">
        <f t="shared" si="0"/>
        <v>0.14289265835213755</v>
      </c>
      <c r="L39" s="108" t="s">
        <v>3</v>
      </c>
      <c r="M39" s="104">
        <v>0</v>
      </c>
      <c r="N39" s="205">
        <f t="shared" si="1"/>
        <v>0</v>
      </c>
      <c r="O39" s="105" t="s">
        <v>3</v>
      </c>
      <c r="P39" s="104">
        <v>0</v>
      </c>
      <c r="Q39" s="223">
        <f t="shared" si="2"/>
        <v>0</v>
      </c>
      <c r="R39" s="108" t="s">
        <v>3</v>
      </c>
      <c r="S39" s="104">
        <v>0</v>
      </c>
      <c r="T39" s="205">
        <f t="shared" si="3"/>
        <v>0</v>
      </c>
      <c r="U39" s="259" t="s">
        <v>3</v>
      </c>
      <c r="V39" s="208">
        <v>0</v>
      </c>
      <c r="W39" s="260">
        <f t="shared" si="4"/>
        <v>0</v>
      </c>
      <c r="X39" s="102">
        <v>21.76</v>
      </c>
      <c r="Y39" s="99">
        <v>6203.66</v>
      </c>
      <c r="Z39" s="202">
        <f t="shared" si="5"/>
        <v>0.12734447243473623</v>
      </c>
      <c r="AA39" s="107">
        <v>20.74</v>
      </c>
      <c r="AB39" s="99">
        <v>4132.62</v>
      </c>
      <c r="AC39" s="202">
        <f t="shared" si="6"/>
        <v>0.11056823143349762</v>
      </c>
      <c r="AD39" s="107"/>
      <c r="AE39" s="99"/>
      <c r="AF39" s="168"/>
      <c r="AG39" s="98"/>
      <c r="AH39" s="99"/>
      <c r="AJ39" s="98"/>
      <c r="AK39" s="99"/>
      <c r="AM39" s="98"/>
      <c r="AN39" s="99"/>
      <c r="AP39" s="98"/>
      <c r="AQ39" s="99"/>
      <c r="AS39" s="98"/>
      <c r="AT39" s="99"/>
      <c r="AV39" s="98"/>
      <c r="AW39" s="99"/>
      <c r="AY39" s="98"/>
      <c r="AZ39" s="99"/>
      <c r="BB39" s="98"/>
      <c r="BC39" s="99"/>
      <c r="BE39"/>
      <c r="BF39"/>
      <c r="BG39" s="12"/>
      <c r="BI39"/>
    </row>
    <row r="40" spans="1:61">
      <c r="A40" s="113"/>
      <c r="B40" s="201" t="s">
        <v>336</v>
      </c>
      <c r="C40" s="22" t="s">
        <v>170</v>
      </c>
      <c r="D40" s="242" t="s">
        <v>171</v>
      </c>
      <c r="E40" s="24" t="s">
        <v>112</v>
      </c>
      <c r="F40" s="15">
        <v>0</v>
      </c>
      <c r="G40" s="24">
        <v>0</v>
      </c>
      <c r="H40" s="41">
        <v>0</v>
      </c>
      <c r="I40" s="102">
        <v>21.55</v>
      </c>
      <c r="J40" s="99">
        <v>30742.86</v>
      </c>
      <c r="K40" s="103">
        <f t="shared" si="0"/>
        <v>0.79045767226832375</v>
      </c>
      <c r="L40" s="108" t="s">
        <v>3</v>
      </c>
      <c r="M40" s="104">
        <v>0</v>
      </c>
      <c r="N40" s="205">
        <f t="shared" si="1"/>
        <v>0</v>
      </c>
      <c r="O40" s="105" t="s">
        <v>3</v>
      </c>
      <c r="P40" s="104">
        <v>0</v>
      </c>
      <c r="Q40" s="223">
        <f t="shared" si="2"/>
        <v>0</v>
      </c>
      <c r="R40" s="108" t="s">
        <v>3</v>
      </c>
      <c r="S40" s="104">
        <v>0</v>
      </c>
      <c r="T40" s="205">
        <f t="shared" si="3"/>
        <v>0</v>
      </c>
      <c r="U40" s="102">
        <v>24.93</v>
      </c>
      <c r="V40" s="99">
        <v>20449.849999999999</v>
      </c>
      <c r="W40" s="202">
        <f t="shared" si="4"/>
        <v>0.45031370778545604</v>
      </c>
      <c r="X40" s="102">
        <v>24.18</v>
      </c>
      <c r="Y40" s="99">
        <v>31646.5</v>
      </c>
      <c r="Z40" s="202">
        <f t="shared" si="5"/>
        <v>0.64961762038955728</v>
      </c>
      <c r="AA40" s="107">
        <v>22.92</v>
      </c>
      <c r="AB40" s="99">
        <v>29634.48</v>
      </c>
      <c r="AC40" s="202">
        <f t="shared" si="6"/>
        <v>0.79287039288668115</v>
      </c>
      <c r="AD40" s="107"/>
      <c r="AE40" s="99"/>
      <c r="AF40" s="168"/>
      <c r="AG40" s="98"/>
      <c r="AH40" s="99"/>
      <c r="AJ40" s="98"/>
      <c r="AK40" s="99"/>
      <c r="AM40" s="98"/>
      <c r="AN40" s="99"/>
      <c r="AP40" s="98"/>
      <c r="AQ40" s="99"/>
      <c r="AS40" s="98"/>
      <c r="AT40" s="99"/>
      <c r="AV40" s="98"/>
      <c r="AW40" s="99"/>
      <c r="AY40" s="98"/>
      <c r="AZ40" s="99"/>
      <c r="BB40" s="98"/>
      <c r="BC40" s="99"/>
      <c r="BE40"/>
      <c r="BF40"/>
      <c r="BG40" s="12"/>
      <c r="BI40"/>
    </row>
    <row r="41" spans="1:61">
      <c r="A41" s="113"/>
      <c r="B41" s="201" t="s">
        <v>338</v>
      </c>
      <c r="C41" s="22" t="s">
        <v>170</v>
      </c>
      <c r="D41" s="113" t="s">
        <v>339</v>
      </c>
      <c r="E41" s="24">
        <v>0</v>
      </c>
      <c r="F41" s="15">
        <v>0</v>
      </c>
      <c r="G41" s="24">
        <v>0</v>
      </c>
      <c r="H41" s="41">
        <v>0</v>
      </c>
      <c r="I41" s="102" t="s">
        <v>3</v>
      </c>
      <c r="J41" s="99">
        <v>0</v>
      </c>
      <c r="K41" s="103">
        <f t="shared" ref="K41:K65" si="7">J41/$J$66*100</f>
        <v>0</v>
      </c>
      <c r="L41" s="209">
        <v>23.98</v>
      </c>
      <c r="M41" s="204">
        <v>3045</v>
      </c>
      <c r="N41" s="210">
        <f t="shared" ref="N41:N65" si="8">M41/$M$66*100</f>
        <v>0.10027810857295566</v>
      </c>
      <c r="O41" s="256" t="s">
        <v>340</v>
      </c>
      <c r="P41" s="204">
        <v>700.79</v>
      </c>
      <c r="Q41" s="255">
        <f t="shared" ref="Q41:Q65" si="9">P41/$P$66*100</f>
        <v>1.8078186025026914E-2</v>
      </c>
      <c r="R41" s="207">
        <v>29.03</v>
      </c>
      <c r="S41" s="204">
        <v>2264.66</v>
      </c>
      <c r="T41" s="210">
        <f t="shared" ref="T41:T65" si="10">S41/$S$66*100</f>
        <v>7.0609073293791985E-2</v>
      </c>
      <c r="U41" s="254">
        <v>29.21</v>
      </c>
      <c r="V41" s="204">
        <v>4051.34</v>
      </c>
      <c r="W41" s="255">
        <f t="shared" ref="W41:W65" si="11">V41/$V$66*100</f>
        <v>8.9212093824626082E-2</v>
      </c>
      <c r="X41" s="102" t="s">
        <v>3</v>
      </c>
      <c r="Y41" s="99">
        <v>0</v>
      </c>
      <c r="Z41" s="202">
        <f t="shared" ref="Z41:Z65" si="12">Y41/$Y$66*100</f>
        <v>0</v>
      </c>
      <c r="AA41" s="107" t="s">
        <v>3</v>
      </c>
      <c r="AB41" s="99">
        <v>0</v>
      </c>
      <c r="AC41" s="202">
        <f t="shared" ref="AC41:AC65" si="13">AB41/$AB$66*100</f>
        <v>0</v>
      </c>
      <c r="AD41" s="107"/>
      <c r="AE41" s="99"/>
      <c r="AF41" s="168"/>
      <c r="AG41" s="98"/>
      <c r="AH41" s="99"/>
      <c r="AJ41" s="98"/>
      <c r="AK41" s="99"/>
      <c r="AM41" s="98"/>
      <c r="AN41" s="99"/>
      <c r="AP41" s="98"/>
      <c r="AQ41" s="99"/>
      <c r="AS41" s="98"/>
      <c r="AT41" s="99"/>
      <c r="AV41" s="98"/>
      <c r="AW41" s="99"/>
      <c r="AY41" s="98"/>
      <c r="AZ41" s="99"/>
      <c r="BB41" s="98"/>
      <c r="BC41" s="99"/>
      <c r="BE41"/>
      <c r="BF41"/>
      <c r="BG41" s="12"/>
      <c r="BI41"/>
    </row>
    <row r="42" spans="1:61">
      <c r="B42" s="201" t="s">
        <v>341</v>
      </c>
      <c r="C42" s="22" t="s">
        <v>170</v>
      </c>
      <c r="D42" s="113" t="s">
        <v>342</v>
      </c>
      <c r="E42" s="24">
        <v>0</v>
      </c>
      <c r="F42" s="15">
        <v>0</v>
      </c>
      <c r="G42" s="24">
        <v>0</v>
      </c>
      <c r="H42" s="41">
        <v>0</v>
      </c>
      <c r="I42" s="102" t="s">
        <v>3</v>
      </c>
      <c r="J42" s="99">
        <v>0</v>
      </c>
      <c r="K42" s="103">
        <f t="shared" si="7"/>
        <v>0</v>
      </c>
      <c r="L42" s="203" t="s">
        <v>3</v>
      </c>
      <c r="M42" s="99">
        <v>0</v>
      </c>
      <c r="N42" s="25">
        <f t="shared" si="8"/>
        <v>0</v>
      </c>
      <c r="O42" s="253" t="s">
        <v>3</v>
      </c>
      <c r="P42" s="99">
        <v>0</v>
      </c>
      <c r="Q42" s="202">
        <f t="shared" si="9"/>
        <v>0</v>
      </c>
      <c r="R42" s="203" t="s">
        <v>3</v>
      </c>
      <c r="S42" s="99">
        <v>0</v>
      </c>
      <c r="T42" s="25">
        <f t="shared" si="10"/>
        <v>0</v>
      </c>
      <c r="U42" s="256">
        <v>31.54</v>
      </c>
      <c r="V42" s="204">
        <v>5262.85</v>
      </c>
      <c r="W42" s="255">
        <f t="shared" si="11"/>
        <v>0.11589001860740726</v>
      </c>
      <c r="X42" s="102" t="s">
        <v>3</v>
      </c>
      <c r="Y42" s="99">
        <v>0</v>
      </c>
      <c r="Z42" s="202">
        <f t="shared" si="12"/>
        <v>0</v>
      </c>
      <c r="AA42" s="107" t="s">
        <v>3</v>
      </c>
      <c r="AB42" s="99">
        <v>0</v>
      </c>
      <c r="AC42" s="202">
        <f t="shared" si="13"/>
        <v>0</v>
      </c>
      <c r="AD42" s="107"/>
      <c r="AE42" s="99"/>
      <c r="AF42" s="168"/>
      <c r="AG42" s="98"/>
      <c r="AH42" s="99"/>
      <c r="AJ42" s="98"/>
      <c r="AK42" s="99"/>
      <c r="AM42" s="98"/>
      <c r="AN42" s="99"/>
      <c r="AP42" s="98"/>
      <c r="AQ42" s="99"/>
      <c r="AS42" s="98"/>
      <c r="AT42" s="99"/>
      <c r="AV42" s="98"/>
      <c r="AW42" s="99"/>
      <c r="AY42" s="98"/>
      <c r="AZ42" s="99"/>
      <c r="BB42" s="98"/>
      <c r="BC42" s="99"/>
      <c r="BE42"/>
      <c r="BF42"/>
      <c r="BG42" s="12"/>
      <c r="BI42"/>
    </row>
    <row r="43" spans="1:61">
      <c r="B43" s="201">
        <v>821</v>
      </c>
      <c r="C43" s="22" t="s">
        <v>180</v>
      </c>
      <c r="D43" s="242" t="s">
        <v>181</v>
      </c>
      <c r="E43" s="24" t="s">
        <v>484</v>
      </c>
      <c r="F43" s="15">
        <v>1</v>
      </c>
      <c r="G43" s="24">
        <v>0</v>
      </c>
      <c r="H43" s="41" t="s">
        <v>108</v>
      </c>
      <c r="I43" s="102">
        <v>36.26</v>
      </c>
      <c r="J43" s="99">
        <v>5198.29</v>
      </c>
      <c r="K43" s="103">
        <f t="shared" si="7"/>
        <v>0.13365796849010483</v>
      </c>
      <c r="L43" s="107">
        <v>37.06</v>
      </c>
      <c r="M43" s="99">
        <v>4278.75</v>
      </c>
      <c r="N43" s="25">
        <f t="shared" si="8"/>
        <v>0.140908031874067</v>
      </c>
      <c r="O43" s="105" t="s">
        <v>3</v>
      </c>
      <c r="P43" s="104">
        <v>0</v>
      </c>
      <c r="Q43" s="223">
        <f t="shared" si="9"/>
        <v>0</v>
      </c>
      <c r="R43" s="108" t="s">
        <v>3</v>
      </c>
      <c r="S43" s="104">
        <v>0</v>
      </c>
      <c r="T43" s="205">
        <f t="shared" si="10"/>
        <v>0</v>
      </c>
      <c r="U43" s="102" t="s">
        <v>343</v>
      </c>
      <c r="V43" s="99">
        <v>5483.5</v>
      </c>
      <c r="W43" s="202">
        <f t="shared" si="11"/>
        <v>0.12074881804226183</v>
      </c>
      <c r="X43" s="102" t="s">
        <v>344</v>
      </c>
      <c r="Y43" s="99">
        <v>3563.1</v>
      </c>
      <c r="Z43" s="202">
        <f t="shared" si="12"/>
        <v>7.3140870023858287E-2</v>
      </c>
      <c r="AA43" s="107">
        <v>38.97</v>
      </c>
      <c r="AB43" s="99">
        <v>3664.44</v>
      </c>
      <c r="AC43" s="202">
        <f t="shared" si="13"/>
        <v>9.8042077421627447E-2</v>
      </c>
      <c r="AD43" s="107"/>
      <c r="AE43" s="99"/>
      <c r="AF43" s="168"/>
      <c r="AG43" s="98"/>
      <c r="AH43" s="99"/>
      <c r="AJ43" s="98"/>
      <c r="AK43" s="99"/>
      <c r="AM43" s="98"/>
      <c r="AN43" s="99"/>
      <c r="AP43" s="98"/>
      <c r="AQ43" s="99"/>
      <c r="AS43" s="98"/>
      <c r="AT43" s="99"/>
      <c r="AV43" s="98"/>
      <c r="AW43" s="99"/>
      <c r="AY43" s="98"/>
      <c r="AZ43" s="99"/>
      <c r="BB43" s="98"/>
      <c r="BC43" s="99"/>
      <c r="BE43"/>
      <c r="BF43"/>
      <c r="BG43" s="12"/>
      <c r="BI43"/>
    </row>
    <row r="44" spans="1:61">
      <c r="B44" s="201" t="s">
        <v>345</v>
      </c>
      <c r="C44" s="22" t="s">
        <v>182</v>
      </c>
      <c r="D44" s="12" t="s">
        <v>346</v>
      </c>
      <c r="E44" s="24" t="s">
        <v>112</v>
      </c>
      <c r="F44" s="15">
        <v>0</v>
      </c>
      <c r="G44" s="24">
        <v>1</v>
      </c>
      <c r="H44" s="41">
        <v>0</v>
      </c>
      <c r="I44" s="250">
        <v>22.72</v>
      </c>
      <c r="J44" s="99">
        <v>4682.78</v>
      </c>
      <c r="K44" s="103">
        <f t="shared" si="7"/>
        <v>0.12040322138358826</v>
      </c>
      <c r="L44" s="249" t="s">
        <v>3</v>
      </c>
      <c r="M44" s="104">
        <v>0</v>
      </c>
      <c r="N44" s="205">
        <f t="shared" si="8"/>
        <v>0</v>
      </c>
      <c r="O44" s="257" t="s">
        <v>3</v>
      </c>
      <c r="P44" s="104">
        <v>0</v>
      </c>
      <c r="Q44" s="223">
        <f t="shared" si="9"/>
        <v>0</v>
      </c>
      <c r="R44" s="108" t="s">
        <v>3</v>
      </c>
      <c r="S44" s="104">
        <v>0</v>
      </c>
      <c r="T44" s="205">
        <f t="shared" si="10"/>
        <v>0</v>
      </c>
      <c r="U44" s="105" t="s">
        <v>3</v>
      </c>
      <c r="V44" s="104">
        <v>0</v>
      </c>
      <c r="W44" s="223">
        <f t="shared" si="11"/>
        <v>0</v>
      </c>
      <c r="X44" s="105" t="s">
        <v>3</v>
      </c>
      <c r="Y44" s="104">
        <v>0</v>
      </c>
      <c r="Z44" s="223">
        <f t="shared" si="12"/>
        <v>0</v>
      </c>
      <c r="AA44" s="107">
        <v>24.45</v>
      </c>
      <c r="AB44" s="99">
        <v>5769.69</v>
      </c>
      <c r="AC44" s="202">
        <f t="shared" si="13"/>
        <v>0.15436803268133456</v>
      </c>
      <c r="AD44" s="171"/>
      <c r="AE44" s="99"/>
      <c r="AF44" s="168"/>
      <c r="AG44" s="98"/>
      <c r="AH44" s="99"/>
      <c r="AJ44" s="98"/>
      <c r="AK44" s="99"/>
      <c r="AM44" s="98"/>
      <c r="AN44" s="99"/>
      <c r="AP44" s="98"/>
      <c r="AQ44" s="99"/>
      <c r="AS44" s="98"/>
      <c r="AT44" s="99"/>
      <c r="AV44" s="98"/>
      <c r="AW44" s="99"/>
      <c r="AY44" s="98"/>
      <c r="AZ44" s="99"/>
      <c r="BB44" s="98"/>
      <c r="BC44" s="99"/>
      <c r="BE44"/>
      <c r="BF44"/>
      <c r="BG44" s="12"/>
      <c r="BI44"/>
    </row>
    <row r="45" spans="1:61">
      <c r="B45" s="201" t="s">
        <v>347</v>
      </c>
      <c r="C45" s="22" t="s">
        <v>182</v>
      </c>
      <c r="D45" s="242" t="s">
        <v>183</v>
      </c>
      <c r="E45" s="24" t="s">
        <v>520</v>
      </c>
      <c r="F45" s="15">
        <v>0</v>
      </c>
      <c r="G45" s="24">
        <v>1</v>
      </c>
      <c r="H45" s="41">
        <v>0</v>
      </c>
      <c r="I45" s="102">
        <v>23.9</v>
      </c>
      <c r="J45" s="99">
        <v>30114.23</v>
      </c>
      <c r="K45" s="103">
        <f t="shared" si="7"/>
        <v>0.77429439381869225</v>
      </c>
      <c r="L45" s="107">
        <v>23.98</v>
      </c>
      <c r="M45" s="99">
        <v>26523.81</v>
      </c>
      <c r="N45" s="25">
        <f t="shared" si="8"/>
        <v>0.87348357929341458</v>
      </c>
      <c r="O45" s="102">
        <v>27.29</v>
      </c>
      <c r="P45" s="99">
        <v>26862.94</v>
      </c>
      <c r="Q45" s="202">
        <f t="shared" si="9"/>
        <v>0.69297967507974778</v>
      </c>
      <c r="R45" s="107">
        <v>28.49</v>
      </c>
      <c r="S45" s="99">
        <v>9785.56</v>
      </c>
      <c r="T45" s="25">
        <f t="shared" si="10"/>
        <v>0.3051006876355829</v>
      </c>
      <c r="U45" s="105" t="s">
        <v>3</v>
      </c>
      <c r="V45" s="104">
        <v>0</v>
      </c>
      <c r="W45" s="223">
        <f t="shared" si="11"/>
        <v>0</v>
      </c>
      <c r="X45" s="102">
        <v>27.56</v>
      </c>
      <c r="Y45" s="99">
        <v>19780.39</v>
      </c>
      <c r="Z45" s="202">
        <f t="shared" si="12"/>
        <v>0.40603826275188071</v>
      </c>
      <c r="AA45" s="107">
        <v>25.73</v>
      </c>
      <c r="AB45" s="99">
        <v>33133.949999999997</v>
      </c>
      <c r="AC45" s="202">
        <f t="shared" si="13"/>
        <v>0.88649869862361852</v>
      </c>
      <c r="AD45" s="107"/>
      <c r="AE45" s="99"/>
      <c r="AF45" s="168"/>
      <c r="AG45" s="98"/>
      <c r="AH45" s="99"/>
      <c r="AJ45" s="98"/>
      <c r="AK45" s="99"/>
      <c r="AM45" s="98"/>
      <c r="AN45" s="99"/>
      <c r="AP45" s="98"/>
      <c r="AQ45" s="99"/>
      <c r="AS45" s="98"/>
      <c r="AT45" s="99"/>
      <c r="AV45" s="98"/>
      <c r="AW45" s="99"/>
      <c r="AY45" s="98"/>
      <c r="AZ45" s="99"/>
      <c r="BB45" s="98"/>
      <c r="BC45" s="99"/>
      <c r="BE45"/>
      <c r="BF45"/>
      <c r="BG45" s="12"/>
      <c r="BI45"/>
    </row>
    <row r="46" spans="1:61">
      <c r="B46" s="201">
        <v>831</v>
      </c>
      <c r="C46" s="22" t="s">
        <v>348</v>
      </c>
      <c r="D46" s="12" t="s">
        <v>349</v>
      </c>
      <c r="E46" s="24">
        <v>0</v>
      </c>
      <c r="F46" s="15">
        <v>0</v>
      </c>
      <c r="G46" s="24">
        <v>0</v>
      </c>
      <c r="H46" s="41">
        <v>0</v>
      </c>
      <c r="I46" s="250" t="s">
        <v>354</v>
      </c>
      <c r="J46" s="99">
        <v>2477.21</v>
      </c>
      <c r="K46" s="103">
        <f t="shared" si="7"/>
        <v>6.369380240874839E-2</v>
      </c>
      <c r="L46" s="203">
        <v>19.64</v>
      </c>
      <c r="M46" s="99">
        <v>5854.28</v>
      </c>
      <c r="N46" s="25">
        <f t="shared" si="8"/>
        <v>0.19279347305631619</v>
      </c>
      <c r="O46" s="253" t="s">
        <v>350</v>
      </c>
      <c r="P46" s="99">
        <v>3579.92</v>
      </c>
      <c r="Q46" s="202">
        <f t="shared" si="9"/>
        <v>9.2350718067772578E-2</v>
      </c>
      <c r="R46" s="107" t="s">
        <v>351</v>
      </c>
      <c r="S46" s="99">
        <v>5069.13</v>
      </c>
      <c r="T46" s="25">
        <f t="shared" si="10"/>
        <v>0.1580487012203862</v>
      </c>
      <c r="U46" s="102" t="s">
        <v>265</v>
      </c>
      <c r="V46" s="99">
        <v>6430.09</v>
      </c>
      <c r="W46" s="202">
        <f t="shared" si="11"/>
        <v>0.14159310064837557</v>
      </c>
      <c r="X46" s="102" t="s">
        <v>352</v>
      </c>
      <c r="Y46" s="99">
        <v>2834.9</v>
      </c>
      <c r="Z46" s="202">
        <f t="shared" si="12"/>
        <v>5.8192880477852399E-2</v>
      </c>
      <c r="AA46" s="107" t="s">
        <v>353</v>
      </c>
      <c r="AB46" s="99">
        <v>2285.2199999999998</v>
      </c>
      <c r="AC46" s="202">
        <f t="shared" si="13"/>
        <v>6.1141051883903536E-2</v>
      </c>
      <c r="AD46" s="171"/>
      <c r="AE46" s="99"/>
      <c r="AF46" s="168"/>
      <c r="AG46" s="170"/>
      <c r="AH46" s="99"/>
      <c r="AJ46" s="170"/>
      <c r="AK46" s="99"/>
      <c r="AM46" s="170"/>
      <c r="AN46" s="171"/>
      <c r="AP46" s="170"/>
      <c r="AQ46" s="171"/>
      <c r="AS46" s="170"/>
      <c r="AT46" s="171"/>
      <c r="AV46" s="170"/>
      <c r="AW46" s="171"/>
      <c r="AY46" s="170"/>
      <c r="AZ46" s="171"/>
      <c r="BB46" s="98"/>
      <c r="BC46" s="99"/>
      <c r="BE46"/>
      <c r="BF46"/>
      <c r="BG46" s="12"/>
      <c r="BI46"/>
    </row>
    <row r="47" spans="1:61">
      <c r="B47" s="201" t="s">
        <v>355</v>
      </c>
      <c r="C47" s="22" t="s">
        <v>187</v>
      </c>
      <c r="D47" s="113"/>
      <c r="E47" s="24" t="s">
        <v>3</v>
      </c>
      <c r="F47" s="15">
        <v>0</v>
      </c>
      <c r="G47" s="24">
        <v>1</v>
      </c>
      <c r="H47" s="41">
        <v>0</v>
      </c>
      <c r="I47" s="102" t="s">
        <v>3</v>
      </c>
      <c r="J47" s="99">
        <v>0</v>
      </c>
      <c r="K47" s="103">
        <f t="shared" si="7"/>
        <v>0</v>
      </c>
      <c r="L47" s="203" t="s">
        <v>3</v>
      </c>
      <c r="M47" s="99">
        <v>0</v>
      </c>
      <c r="N47" s="25">
        <f t="shared" si="8"/>
        <v>0</v>
      </c>
      <c r="O47" s="253" t="s">
        <v>3</v>
      </c>
      <c r="P47" s="99">
        <v>0</v>
      </c>
      <c r="Q47" s="202">
        <f t="shared" si="9"/>
        <v>0</v>
      </c>
      <c r="R47" s="203" t="s">
        <v>3</v>
      </c>
      <c r="S47" s="99">
        <v>0</v>
      </c>
      <c r="T47" s="25">
        <f t="shared" si="10"/>
        <v>0</v>
      </c>
      <c r="U47" s="256">
        <v>27.55</v>
      </c>
      <c r="V47" s="204">
        <v>3737.56</v>
      </c>
      <c r="W47" s="255">
        <f t="shared" si="11"/>
        <v>8.2302535308112726E-2</v>
      </c>
      <c r="X47" s="102" t="s">
        <v>3</v>
      </c>
      <c r="Y47" s="99">
        <v>0</v>
      </c>
      <c r="Z47" s="202">
        <f t="shared" si="12"/>
        <v>0</v>
      </c>
      <c r="AA47" s="107" t="s">
        <v>3</v>
      </c>
      <c r="AB47" s="99">
        <v>0</v>
      </c>
      <c r="AC47" s="202">
        <f t="shared" si="13"/>
        <v>0</v>
      </c>
      <c r="AD47" s="107"/>
      <c r="AE47" s="99"/>
      <c r="AF47" s="168"/>
      <c r="AG47" s="98"/>
      <c r="AH47" s="99"/>
      <c r="AJ47" s="98"/>
      <c r="AK47" s="99"/>
      <c r="AM47" s="98"/>
      <c r="AN47" s="99"/>
      <c r="AP47" s="98"/>
      <c r="AQ47" s="99"/>
      <c r="AS47" s="98"/>
      <c r="AT47" s="99"/>
      <c r="AV47" s="98"/>
      <c r="AW47" s="99"/>
      <c r="AY47" s="98"/>
      <c r="AZ47" s="99"/>
      <c r="BB47" s="98"/>
      <c r="BC47" s="99"/>
      <c r="BE47"/>
      <c r="BF47"/>
      <c r="BG47" s="12"/>
      <c r="BI47"/>
    </row>
    <row r="48" spans="1:61">
      <c r="B48" s="201" t="s">
        <v>356</v>
      </c>
      <c r="C48" s="22" t="s">
        <v>187</v>
      </c>
      <c r="D48" s="12" t="s">
        <v>357</v>
      </c>
      <c r="E48" s="24" t="s">
        <v>112</v>
      </c>
      <c r="F48" s="15">
        <v>0</v>
      </c>
      <c r="G48" s="24">
        <v>1</v>
      </c>
      <c r="H48" s="41">
        <v>0</v>
      </c>
      <c r="I48" s="102">
        <v>26.07</v>
      </c>
      <c r="J48" s="99">
        <v>25954.19</v>
      </c>
      <c r="K48" s="103">
        <f t="shared" si="7"/>
        <v>0.66733181665628394</v>
      </c>
      <c r="L48" s="107">
        <v>26.24</v>
      </c>
      <c r="M48" s="99">
        <v>37666.129999999997</v>
      </c>
      <c r="N48" s="25">
        <f t="shared" si="8"/>
        <v>1.2404230783786738</v>
      </c>
      <c r="O48" s="102">
        <v>29.72</v>
      </c>
      <c r="P48" s="99">
        <v>22457.7</v>
      </c>
      <c r="Q48" s="202">
        <f t="shared" si="9"/>
        <v>0.57933828721050085</v>
      </c>
      <c r="R48" s="107">
        <v>31.06</v>
      </c>
      <c r="S48" s="99">
        <v>28227.24</v>
      </c>
      <c r="T48" s="25">
        <f t="shared" si="10"/>
        <v>0.88008763259891432</v>
      </c>
      <c r="U48" s="102">
        <v>31.29</v>
      </c>
      <c r="V48" s="99">
        <v>44617.85</v>
      </c>
      <c r="W48" s="202">
        <f t="shared" si="11"/>
        <v>0.98250253507557794</v>
      </c>
      <c r="X48" s="102">
        <v>30.08</v>
      </c>
      <c r="Y48" s="99">
        <v>26201.279999999999</v>
      </c>
      <c r="Z48" s="202">
        <f t="shared" si="12"/>
        <v>0.53784188345505812</v>
      </c>
      <c r="AA48" s="107">
        <v>28.03</v>
      </c>
      <c r="AB48" s="99">
        <v>29540.65</v>
      </c>
      <c r="AC48" s="202">
        <f t="shared" si="13"/>
        <v>0.79035997161508964</v>
      </c>
      <c r="AD48" s="107"/>
      <c r="AE48" s="99"/>
      <c r="AF48" s="168"/>
      <c r="AG48" s="98"/>
      <c r="AH48" s="99"/>
      <c r="AJ48" s="98"/>
      <c r="AK48" s="99"/>
      <c r="AM48" s="98"/>
      <c r="AN48" s="99"/>
      <c r="AP48" s="98"/>
      <c r="AQ48" s="99"/>
      <c r="AS48" s="98"/>
      <c r="AT48" s="99"/>
      <c r="AV48" s="98"/>
      <c r="AW48" s="99"/>
      <c r="AY48" s="98"/>
      <c r="AZ48" s="99"/>
      <c r="BB48" s="98"/>
      <c r="BC48" s="99"/>
      <c r="BE48"/>
      <c r="BF48"/>
      <c r="BG48" s="12"/>
      <c r="BI48"/>
    </row>
    <row r="49" spans="1:61">
      <c r="B49" s="201" t="s">
        <v>358</v>
      </c>
      <c r="C49" s="22" t="s">
        <v>189</v>
      </c>
      <c r="D49" s="242" t="s">
        <v>190</v>
      </c>
      <c r="E49" s="24" t="s">
        <v>112</v>
      </c>
      <c r="F49" s="15">
        <v>1</v>
      </c>
      <c r="G49" s="24">
        <v>0</v>
      </c>
      <c r="H49" s="41">
        <v>0</v>
      </c>
      <c r="I49" s="102">
        <v>19.600000000000001</v>
      </c>
      <c r="J49" s="99">
        <v>151140.69</v>
      </c>
      <c r="K49" s="103">
        <f t="shared" si="7"/>
        <v>3.8861159307373585</v>
      </c>
      <c r="L49" s="108" t="s">
        <v>3</v>
      </c>
      <c r="M49" s="104">
        <v>0</v>
      </c>
      <c r="N49" s="205">
        <f t="shared" si="8"/>
        <v>0</v>
      </c>
      <c r="O49" s="105" t="s">
        <v>3</v>
      </c>
      <c r="P49" s="104">
        <v>0</v>
      </c>
      <c r="Q49" s="223">
        <f t="shared" si="9"/>
        <v>0</v>
      </c>
      <c r="R49" s="108" t="s">
        <v>3</v>
      </c>
      <c r="S49" s="104">
        <v>0</v>
      </c>
      <c r="T49" s="205">
        <f t="shared" si="10"/>
        <v>0</v>
      </c>
      <c r="U49" s="102">
        <v>23.19</v>
      </c>
      <c r="V49" s="99">
        <v>8755.76</v>
      </c>
      <c r="W49" s="202">
        <f t="shared" si="11"/>
        <v>0.19280526507918566</v>
      </c>
      <c r="X49" s="102">
        <v>22.31</v>
      </c>
      <c r="Y49" s="99">
        <v>171083.59</v>
      </c>
      <c r="Z49" s="202">
        <f t="shared" si="12"/>
        <v>3.5118864526409763</v>
      </c>
      <c r="AA49" s="107">
        <v>21.1</v>
      </c>
      <c r="AB49" s="99">
        <v>139460.56</v>
      </c>
      <c r="AC49" s="202">
        <f t="shared" si="13"/>
        <v>3.7312667203675107</v>
      </c>
      <c r="AD49" s="107"/>
      <c r="AE49" s="99"/>
      <c r="AF49" s="168"/>
      <c r="AG49" s="98"/>
      <c r="AH49" s="99"/>
      <c r="AJ49" s="98"/>
      <c r="AK49" s="99"/>
      <c r="AM49" s="98"/>
      <c r="AN49" s="99"/>
      <c r="AP49" s="98"/>
      <c r="AQ49" s="99"/>
      <c r="AS49" s="98"/>
      <c r="AT49" s="99"/>
      <c r="AV49" s="98"/>
      <c r="AW49" s="99"/>
      <c r="AY49" s="98"/>
      <c r="AZ49" s="99"/>
      <c r="BB49" s="98"/>
      <c r="BC49" s="99"/>
      <c r="BE49"/>
      <c r="BF49"/>
      <c r="BG49" s="12"/>
      <c r="BI49"/>
    </row>
    <row r="50" spans="1:61">
      <c r="B50" s="201" t="s">
        <v>359</v>
      </c>
      <c r="C50" s="22" t="s">
        <v>189</v>
      </c>
      <c r="D50" s="113" t="s">
        <v>360</v>
      </c>
      <c r="E50" s="24">
        <v>0</v>
      </c>
      <c r="F50" s="15">
        <v>1</v>
      </c>
      <c r="G50" s="24">
        <v>0</v>
      </c>
      <c r="H50" s="41">
        <v>0</v>
      </c>
      <c r="I50" s="102" t="s">
        <v>364</v>
      </c>
      <c r="J50" s="99">
        <v>1228.1600000000001</v>
      </c>
      <c r="K50" s="103">
        <f t="shared" si="7"/>
        <v>3.1578340296675861E-2</v>
      </c>
      <c r="L50" s="107" t="s">
        <v>361</v>
      </c>
      <c r="M50" s="99">
        <v>2359.31</v>
      </c>
      <c r="N50" s="25">
        <f t="shared" si="8"/>
        <v>7.7696927532761903E-2</v>
      </c>
      <c r="O50" s="102">
        <v>35.17</v>
      </c>
      <c r="P50" s="99">
        <v>3755.47</v>
      </c>
      <c r="Q50" s="202">
        <f t="shared" si="9"/>
        <v>9.6879357969445648E-2</v>
      </c>
      <c r="R50" s="107" t="s">
        <v>362</v>
      </c>
      <c r="S50" s="99">
        <v>902.97</v>
      </c>
      <c r="T50" s="25">
        <f t="shared" si="10"/>
        <v>2.8153398263799135E-2</v>
      </c>
      <c r="U50" s="102">
        <v>37.17</v>
      </c>
      <c r="V50" s="99">
        <v>8755.76</v>
      </c>
      <c r="W50" s="202">
        <f t="shared" si="11"/>
        <v>0.19280526507918566</v>
      </c>
      <c r="X50" s="102">
        <v>35.78</v>
      </c>
      <c r="Y50" s="99">
        <v>3105.46</v>
      </c>
      <c r="Z50" s="202">
        <f t="shared" si="12"/>
        <v>6.3746750364651841E-2</v>
      </c>
      <c r="AA50" s="107" t="s">
        <v>363</v>
      </c>
      <c r="AB50" s="99">
        <v>839.79</v>
      </c>
      <c r="AC50" s="202">
        <f t="shared" si="13"/>
        <v>2.2468578063198883E-2</v>
      </c>
      <c r="AD50" s="107"/>
      <c r="AE50" s="99"/>
      <c r="AF50" s="168"/>
      <c r="AG50" s="98"/>
      <c r="AH50" s="99"/>
      <c r="AJ50" s="98"/>
      <c r="AK50" s="99"/>
      <c r="AM50" s="98"/>
      <c r="AN50" s="99"/>
      <c r="AP50" s="98"/>
      <c r="AQ50" s="99"/>
      <c r="AS50" s="98"/>
      <c r="AT50" s="99"/>
      <c r="AV50" s="98"/>
      <c r="AW50" s="99"/>
      <c r="AY50" s="98"/>
      <c r="AZ50" s="99"/>
      <c r="BB50" s="98"/>
      <c r="BC50" s="99"/>
      <c r="BE50"/>
      <c r="BF50"/>
      <c r="BG50" s="12"/>
      <c r="BI50"/>
    </row>
    <row r="51" spans="1:61">
      <c r="B51" s="201" t="s">
        <v>365</v>
      </c>
      <c r="C51" s="22" t="s">
        <v>196</v>
      </c>
      <c r="D51" s="242" t="s">
        <v>197</v>
      </c>
      <c r="E51" s="24" t="s">
        <v>112</v>
      </c>
      <c r="F51" s="15">
        <v>1</v>
      </c>
      <c r="G51" s="24">
        <v>0</v>
      </c>
      <c r="H51" s="41">
        <v>0</v>
      </c>
      <c r="I51" s="102">
        <v>19.420000000000002</v>
      </c>
      <c r="J51" s="99">
        <v>47957.599999999999</v>
      </c>
      <c r="K51" s="103">
        <f t="shared" si="7"/>
        <v>1.2330815305919931</v>
      </c>
      <c r="L51" s="108" t="s">
        <v>3</v>
      </c>
      <c r="M51" s="104">
        <v>0</v>
      </c>
      <c r="N51" s="205">
        <f t="shared" si="8"/>
        <v>0</v>
      </c>
      <c r="O51" s="105" t="s">
        <v>3</v>
      </c>
      <c r="P51" s="104">
        <v>0</v>
      </c>
      <c r="Q51" s="223">
        <f t="shared" si="9"/>
        <v>0</v>
      </c>
      <c r="R51" s="108" t="s">
        <v>3</v>
      </c>
      <c r="S51" s="104">
        <v>0</v>
      </c>
      <c r="T51" s="205">
        <f t="shared" si="10"/>
        <v>0</v>
      </c>
      <c r="U51" s="228">
        <v>22.82</v>
      </c>
      <c r="V51" s="175">
        <v>15670.12</v>
      </c>
      <c r="W51" s="227">
        <f>V51/$V$66*100</f>
        <v>0.34506218082983647</v>
      </c>
      <c r="X51" s="102">
        <v>22.01</v>
      </c>
      <c r="Y51" s="99">
        <v>54670.44</v>
      </c>
      <c r="Z51" s="202">
        <f t="shared" si="12"/>
        <v>1.1222372501998663</v>
      </c>
      <c r="AA51" s="107">
        <v>20.8</v>
      </c>
      <c r="AB51" s="99">
        <v>44933.06</v>
      </c>
      <c r="AC51" s="202">
        <f t="shared" si="13"/>
        <v>1.2021838390888189</v>
      </c>
      <c r="AD51" s="107"/>
      <c r="AE51" s="99"/>
      <c r="AF51" s="168"/>
      <c r="AG51" s="98"/>
      <c r="AH51" s="99"/>
      <c r="AJ51" s="98"/>
      <c r="AK51" s="99"/>
      <c r="AM51" s="98"/>
      <c r="AN51" s="99"/>
      <c r="AP51" s="98"/>
      <c r="AQ51" s="99"/>
      <c r="AS51" s="98"/>
      <c r="AT51" s="99"/>
      <c r="AV51" s="98"/>
      <c r="AW51" s="99"/>
      <c r="AY51" s="98"/>
      <c r="AZ51" s="99"/>
      <c r="BB51" s="98"/>
      <c r="BC51" s="99"/>
      <c r="BE51"/>
      <c r="BF51"/>
      <c r="BG51" s="12"/>
      <c r="BI51"/>
    </row>
    <row r="52" spans="1:61">
      <c r="B52" s="201" t="s">
        <v>366</v>
      </c>
      <c r="C52" s="22" t="s">
        <v>199</v>
      </c>
      <c r="D52" s="242" t="s">
        <v>200</v>
      </c>
      <c r="E52" s="24" t="s">
        <v>520</v>
      </c>
      <c r="F52" s="15">
        <v>0</v>
      </c>
      <c r="G52" s="24">
        <v>0</v>
      </c>
      <c r="H52" s="41" t="s">
        <v>108</v>
      </c>
      <c r="I52" s="102">
        <v>34.08</v>
      </c>
      <c r="J52" s="99">
        <v>6123.67</v>
      </c>
      <c r="K52" s="103">
        <f t="shared" si="7"/>
        <v>0.1574512564523719</v>
      </c>
      <c r="L52" s="108" t="s">
        <v>3</v>
      </c>
      <c r="M52" s="104">
        <v>0</v>
      </c>
      <c r="N52" s="205">
        <f t="shared" si="8"/>
        <v>0</v>
      </c>
      <c r="O52" s="105" t="s">
        <v>3</v>
      </c>
      <c r="P52" s="104">
        <v>0</v>
      </c>
      <c r="Q52" s="223">
        <f t="shared" si="9"/>
        <v>0</v>
      </c>
      <c r="R52" s="108" t="s">
        <v>3</v>
      </c>
      <c r="S52" s="104">
        <v>0</v>
      </c>
      <c r="T52" s="205">
        <f t="shared" si="10"/>
        <v>0</v>
      </c>
      <c r="U52" s="228" t="s">
        <v>367</v>
      </c>
      <c r="V52" s="175">
        <v>1142.3</v>
      </c>
      <c r="W52" s="227">
        <f t="shared" si="11"/>
        <v>2.515389347126392E-2</v>
      </c>
      <c r="X52" s="102">
        <v>38.799999999999997</v>
      </c>
      <c r="Y52" s="99">
        <v>3527.32</v>
      </c>
      <c r="Z52" s="202">
        <f t="shared" si="12"/>
        <v>7.2406402753937824E-2</v>
      </c>
      <c r="AA52" s="107">
        <v>36.44</v>
      </c>
      <c r="AB52" s="99">
        <v>3161.66</v>
      </c>
      <c r="AC52" s="202">
        <f t="shared" si="13"/>
        <v>8.4590200549296113E-2</v>
      </c>
      <c r="AD52" s="107"/>
      <c r="AE52" s="99"/>
      <c r="AF52" s="168"/>
      <c r="AG52" s="98"/>
      <c r="AH52" s="99"/>
      <c r="AJ52" s="98"/>
      <c r="AK52" s="99"/>
      <c r="AM52" s="98"/>
      <c r="AN52" s="99"/>
      <c r="AP52" s="98"/>
      <c r="AQ52" s="99"/>
      <c r="AS52" s="98"/>
      <c r="AT52" s="99"/>
      <c r="AV52" s="98"/>
      <c r="AW52" s="99"/>
      <c r="AY52" s="98"/>
      <c r="AZ52" s="99"/>
      <c r="BB52" s="98"/>
      <c r="BC52" s="99"/>
      <c r="BE52"/>
      <c r="BF52"/>
      <c r="BG52" s="12"/>
      <c r="BI52"/>
    </row>
    <row r="53" spans="1:61" ht="15.35" customHeight="1">
      <c r="B53" s="201">
        <v>909</v>
      </c>
      <c r="C53" s="22" t="s">
        <v>201</v>
      </c>
      <c r="D53" s="244" t="s">
        <v>202</v>
      </c>
      <c r="E53" s="24" t="s">
        <v>521</v>
      </c>
      <c r="F53" s="117">
        <v>0</v>
      </c>
      <c r="G53" s="26">
        <v>1</v>
      </c>
      <c r="H53" s="43">
        <v>0</v>
      </c>
      <c r="I53" s="102">
        <v>27.93</v>
      </c>
      <c r="J53" s="99">
        <v>8640.19</v>
      </c>
      <c r="K53" s="103">
        <f t="shared" si="7"/>
        <v>0.22215579407238129</v>
      </c>
      <c r="L53" s="107">
        <v>29.59</v>
      </c>
      <c r="M53" s="99">
        <v>12495.45</v>
      </c>
      <c r="N53" s="25">
        <f>M53/$M$66*100</f>
        <v>0.41150085115531654</v>
      </c>
      <c r="O53" s="102">
        <v>33.01</v>
      </c>
      <c r="P53" s="99">
        <v>11624.61</v>
      </c>
      <c r="Q53" s="202">
        <f>P53/$P$66*100</f>
        <v>0.29987851146333155</v>
      </c>
      <c r="R53" s="107">
        <v>34.35</v>
      </c>
      <c r="S53" s="99">
        <v>8550.9599999999991</v>
      </c>
      <c r="T53" s="25">
        <f t="shared" si="10"/>
        <v>0.26660750901781438</v>
      </c>
      <c r="U53" s="102">
        <v>34.24</v>
      </c>
      <c r="V53" s="99">
        <v>14689.89</v>
      </c>
      <c r="W53" s="202">
        <f t="shared" si="11"/>
        <v>0.3234771322459819</v>
      </c>
      <c r="X53" s="102">
        <v>32.65</v>
      </c>
      <c r="Y53" s="99">
        <v>8835.64</v>
      </c>
      <c r="Z53" s="202">
        <f t="shared" si="12"/>
        <v>0.18137195049748903</v>
      </c>
      <c r="AA53" s="107">
        <v>30.32</v>
      </c>
      <c r="AB53" s="99">
        <v>8878.85</v>
      </c>
      <c r="AC53" s="202">
        <f t="shared" si="13"/>
        <v>0.23755359594235873</v>
      </c>
      <c r="AD53" s="107"/>
      <c r="AE53" s="99"/>
      <c r="AF53" s="168"/>
      <c r="AG53" s="98"/>
      <c r="AH53" s="99"/>
      <c r="AJ53" s="98"/>
      <c r="AK53" s="99"/>
      <c r="AM53" s="98"/>
      <c r="AN53" s="99"/>
      <c r="AP53" s="98"/>
      <c r="AQ53" s="99"/>
      <c r="AS53" s="98"/>
      <c r="AT53" s="99"/>
      <c r="AV53" s="98"/>
      <c r="AW53" s="99"/>
      <c r="AY53" s="98"/>
      <c r="AZ53" s="99"/>
      <c r="BB53" s="98"/>
      <c r="BC53" s="99"/>
      <c r="BE53"/>
      <c r="BF53"/>
      <c r="BG53" s="12"/>
      <c r="BI53"/>
    </row>
    <row r="54" spans="1:61">
      <c r="B54" s="201">
        <v>911</v>
      </c>
      <c r="C54" s="22" t="s">
        <v>29</v>
      </c>
      <c r="D54" s="113" t="s">
        <v>368</v>
      </c>
      <c r="E54" s="26" t="s">
        <v>484</v>
      </c>
      <c r="F54" s="117">
        <v>0</v>
      </c>
      <c r="G54" s="26">
        <v>0</v>
      </c>
      <c r="H54" s="43" t="s">
        <v>158</v>
      </c>
      <c r="I54" s="102">
        <v>25.29</v>
      </c>
      <c r="J54" s="99">
        <v>2190.96</v>
      </c>
      <c r="K54" s="103">
        <f>J54/$J$66*100</f>
        <v>5.6333767958901888E-2</v>
      </c>
      <c r="L54" s="203" t="s">
        <v>369</v>
      </c>
      <c r="M54" s="99">
        <v>2110.08</v>
      </c>
      <c r="N54" s="25">
        <f t="shared" si="8"/>
        <v>6.9489271375245409E-2</v>
      </c>
      <c r="O54" s="253">
        <v>28.19</v>
      </c>
      <c r="P54" s="99">
        <v>2052.27</v>
      </c>
      <c r="Q54" s="202">
        <f t="shared" si="9"/>
        <v>5.2942135066970104E-2</v>
      </c>
      <c r="R54" s="107" t="s">
        <v>370</v>
      </c>
      <c r="S54" s="99">
        <v>2178.69</v>
      </c>
      <c r="T54" s="25">
        <f t="shared" si="10"/>
        <v>6.7928643546692077E-2</v>
      </c>
      <c r="U54" s="105" t="s">
        <v>3</v>
      </c>
      <c r="V54" s="104">
        <v>0</v>
      </c>
      <c r="W54" s="223">
        <f t="shared" si="11"/>
        <v>0</v>
      </c>
      <c r="X54" s="102">
        <v>29.06</v>
      </c>
      <c r="Y54" s="99">
        <v>1507.05</v>
      </c>
      <c r="Z54" s="202">
        <f t="shared" si="12"/>
        <v>3.0935687510722582E-2</v>
      </c>
      <c r="AA54" s="107">
        <v>27.13</v>
      </c>
      <c r="AB54" s="99">
        <v>2357.7600000000002</v>
      </c>
      <c r="AC54" s="202">
        <f t="shared" si="13"/>
        <v>6.3081859291355943E-2</v>
      </c>
      <c r="AD54" s="107"/>
      <c r="AE54" s="99"/>
      <c r="AF54" s="168"/>
      <c r="AG54" s="98"/>
      <c r="AH54" s="99"/>
      <c r="AJ54" s="98"/>
      <c r="AK54" s="99"/>
      <c r="AM54" s="98"/>
      <c r="AN54" s="99"/>
      <c r="AP54" s="98"/>
      <c r="AQ54" s="99"/>
      <c r="AS54" s="98"/>
      <c r="AT54" s="99"/>
      <c r="AV54" s="98"/>
      <c r="AW54" s="99"/>
      <c r="AY54" s="98"/>
      <c r="AZ54" s="99"/>
      <c r="BB54" s="98"/>
      <c r="BC54" s="99"/>
      <c r="BE54"/>
      <c r="BF54"/>
      <c r="BG54" s="12"/>
      <c r="BI54"/>
    </row>
    <row r="55" spans="1:61">
      <c r="B55" s="201" t="s">
        <v>371</v>
      </c>
      <c r="C55" s="22" t="s">
        <v>204</v>
      </c>
      <c r="D55" s="113" t="s">
        <v>206</v>
      </c>
      <c r="E55" s="31" t="s">
        <v>485</v>
      </c>
      <c r="F55" s="122">
        <v>0</v>
      </c>
      <c r="G55" s="31">
        <v>0</v>
      </c>
      <c r="H55" s="47" t="s">
        <v>108</v>
      </c>
      <c r="I55" s="102" t="s">
        <v>373</v>
      </c>
      <c r="J55" s="99">
        <v>3576.01</v>
      </c>
      <c r="K55" s="103">
        <f t="shared" si="7"/>
        <v>9.1946049931862187E-2</v>
      </c>
      <c r="L55" s="203">
        <v>22.91</v>
      </c>
      <c r="M55" s="99">
        <v>5317.66</v>
      </c>
      <c r="N55" s="25">
        <f t="shared" si="8"/>
        <v>0.17512147350872359</v>
      </c>
      <c r="O55" s="253">
        <v>26.15</v>
      </c>
      <c r="P55" s="99">
        <v>6103.61</v>
      </c>
      <c r="Q55" s="202">
        <f t="shared" si="9"/>
        <v>0.1574540119068687</v>
      </c>
      <c r="R55" s="107">
        <v>27.47</v>
      </c>
      <c r="S55" s="99">
        <v>4361.58</v>
      </c>
      <c r="T55" s="25">
        <f>S55/$S$66*100</f>
        <v>0.13598823748233169</v>
      </c>
      <c r="U55" s="102">
        <v>27.73</v>
      </c>
      <c r="V55" s="99">
        <v>5382.98</v>
      </c>
      <c r="W55" s="202">
        <f t="shared" si="11"/>
        <v>0.11853532826573077</v>
      </c>
      <c r="X55" s="102">
        <v>26.89</v>
      </c>
      <c r="Y55" s="99">
        <v>3018.84</v>
      </c>
      <c r="Z55" s="202">
        <f t="shared" si="12"/>
        <v>6.1968674486493326E-2</v>
      </c>
      <c r="AA55" s="107" t="s">
        <v>372</v>
      </c>
      <c r="AB55" s="99">
        <v>3703.78</v>
      </c>
      <c r="AC55" s="202">
        <f t="shared" si="13"/>
        <v>9.9094618962972614E-2</v>
      </c>
      <c r="AD55" s="107"/>
      <c r="AE55" s="99"/>
      <c r="AF55" s="168"/>
      <c r="AG55" s="98"/>
      <c r="AH55" s="99"/>
      <c r="AJ55" s="98"/>
      <c r="AK55" s="99"/>
      <c r="AM55" s="98"/>
      <c r="AN55" s="99"/>
      <c r="AP55" s="98"/>
      <c r="AQ55" s="99"/>
      <c r="AS55" s="98"/>
      <c r="AT55" s="99"/>
      <c r="AV55" s="98"/>
      <c r="AW55" s="99"/>
      <c r="AY55" s="98"/>
      <c r="AZ55" s="99"/>
      <c r="BB55" s="98"/>
      <c r="BC55" s="99"/>
      <c r="BE55"/>
      <c r="BF55"/>
      <c r="BG55" s="12"/>
      <c r="BI55"/>
    </row>
    <row r="56" spans="1:61">
      <c r="A56" s="113"/>
      <c r="B56" s="201" t="s">
        <v>335</v>
      </c>
      <c r="C56" s="22" t="s">
        <v>210</v>
      </c>
      <c r="D56" s="113" t="s">
        <v>211</v>
      </c>
      <c r="E56" s="31" t="s">
        <v>112</v>
      </c>
      <c r="F56" s="122">
        <v>0</v>
      </c>
      <c r="G56" s="31">
        <v>0</v>
      </c>
      <c r="H56" s="47">
        <v>0</v>
      </c>
      <c r="I56" s="102">
        <v>25.77</v>
      </c>
      <c r="J56" s="99">
        <v>6925.74</v>
      </c>
      <c r="K56" s="103">
        <f t="shared" si="7"/>
        <v>0.17807400870106491</v>
      </c>
      <c r="L56" s="108" t="s">
        <v>3</v>
      </c>
      <c r="M56" s="104">
        <v>0</v>
      </c>
      <c r="N56" s="205">
        <f t="shared" si="8"/>
        <v>0</v>
      </c>
      <c r="O56" s="105" t="s">
        <v>3</v>
      </c>
      <c r="P56" s="104">
        <v>0</v>
      </c>
      <c r="Q56" s="223">
        <f t="shared" si="9"/>
        <v>0</v>
      </c>
      <c r="R56" s="108" t="s">
        <v>3</v>
      </c>
      <c r="S56" s="104">
        <v>0</v>
      </c>
      <c r="T56" s="205">
        <f t="shared" si="10"/>
        <v>0</v>
      </c>
      <c r="U56" s="105" t="s">
        <v>3</v>
      </c>
      <c r="V56" s="104">
        <v>0</v>
      </c>
      <c r="W56" s="223">
        <f t="shared" si="11"/>
        <v>0</v>
      </c>
      <c r="X56" s="102">
        <v>29.54</v>
      </c>
      <c r="Y56" s="99">
        <v>6272.35</v>
      </c>
      <c r="Z56" s="202">
        <f t="shared" si="12"/>
        <v>0.12875449358540247</v>
      </c>
      <c r="AA56" s="107">
        <v>27.73</v>
      </c>
      <c r="AB56" s="99">
        <v>7148.78</v>
      </c>
      <c r="AC56" s="202">
        <f t="shared" si="13"/>
        <v>0.19126558006958277</v>
      </c>
      <c r="AD56" s="107"/>
      <c r="AE56" s="99"/>
      <c r="AF56" s="168"/>
      <c r="AG56" s="98"/>
      <c r="AH56" s="99"/>
      <c r="AJ56" s="98"/>
      <c r="AK56" s="99"/>
      <c r="AM56" s="98"/>
      <c r="AN56" s="99"/>
      <c r="AP56" s="98"/>
      <c r="AQ56" s="99"/>
      <c r="AS56" s="98"/>
      <c r="AT56" s="99"/>
      <c r="AV56" s="98"/>
      <c r="AW56" s="99"/>
      <c r="AY56" s="98"/>
      <c r="AZ56" s="99"/>
      <c r="BB56" s="98"/>
      <c r="BC56" s="99"/>
      <c r="BE56"/>
      <c r="BF56"/>
      <c r="BG56" s="12"/>
      <c r="BI56"/>
    </row>
    <row r="57" spans="1:61">
      <c r="A57" s="113"/>
      <c r="B57" s="201" t="s">
        <v>337</v>
      </c>
      <c r="C57" s="22" t="s">
        <v>210</v>
      </c>
      <c r="D57" s="113" t="s">
        <v>374</v>
      </c>
      <c r="E57" s="31" t="s">
        <v>112</v>
      </c>
      <c r="F57" s="122">
        <v>0</v>
      </c>
      <c r="G57" s="31">
        <v>0</v>
      </c>
      <c r="H57" s="47">
        <v>0</v>
      </c>
      <c r="I57" s="102">
        <v>28.88</v>
      </c>
      <c r="J57" s="99">
        <v>1479.23</v>
      </c>
      <c r="K57" s="103">
        <f t="shared" si="7"/>
        <v>3.8033829726625057E-2</v>
      </c>
      <c r="L57" s="249" t="s">
        <v>3</v>
      </c>
      <c r="M57" s="104">
        <v>0</v>
      </c>
      <c r="N57" s="205">
        <f t="shared" si="8"/>
        <v>0</v>
      </c>
      <c r="O57" s="257" t="s">
        <v>3</v>
      </c>
      <c r="P57" s="104">
        <v>0</v>
      </c>
      <c r="Q57" s="223">
        <f t="shared" si="9"/>
        <v>0</v>
      </c>
      <c r="R57" s="108" t="s">
        <v>3</v>
      </c>
      <c r="S57" s="104">
        <v>0</v>
      </c>
      <c r="T57" s="205">
        <f t="shared" si="10"/>
        <v>0</v>
      </c>
      <c r="U57" s="105" t="s">
        <v>3</v>
      </c>
      <c r="V57" s="104">
        <v>0</v>
      </c>
      <c r="W57" s="223">
        <f t="shared" si="11"/>
        <v>0</v>
      </c>
      <c r="X57" s="102" t="s">
        <v>375</v>
      </c>
      <c r="Y57" s="99">
        <v>2052.2600000000002</v>
      </c>
      <c r="Z57" s="202">
        <f t="shared" si="12"/>
        <v>4.2127383995723786E-2</v>
      </c>
      <c r="AA57" s="107">
        <v>31.16</v>
      </c>
      <c r="AB57" s="99">
        <v>1353.04</v>
      </c>
      <c r="AC57" s="202">
        <f t="shared" si="13"/>
        <v>3.6200579743305608E-2</v>
      </c>
      <c r="AD57" s="107"/>
      <c r="AE57" s="99"/>
      <c r="AF57" s="168"/>
      <c r="AG57" s="98"/>
      <c r="AH57" s="99"/>
      <c r="AJ57" s="98"/>
      <c r="AK57" s="99"/>
      <c r="AM57" s="98"/>
      <c r="AN57" s="99"/>
      <c r="AP57" s="98"/>
      <c r="AQ57" s="99"/>
      <c r="AS57" s="98"/>
      <c r="AT57" s="99"/>
      <c r="AV57" s="98"/>
      <c r="AW57" s="99"/>
      <c r="AY57" s="98"/>
      <c r="AZ57" s="99"/>
      <c r="BB57" s="98"/>
      <c r="BC57" s="99"/>
      <c r="BE57"/>
      <c r="BF57"/>
      <c r="BG57" s="12"/>
      <c r="BI57"/>
    </row>
    <row r="58" spans="1:61">
      <c r="B58" s="211">
        <v>966</v>
      </c>
      <c r="C58" s="22" t="s">
        <v>213</v>
      </c>
      <c r="D58" s="243" t="s">
        <v>214</v>
      </c>
      <c r="E58" s="27">
        <v>0</v>
      </c>
      <c r="F58" s="116">
        <v>1</v>
      </c>
      <c r="G58" s="27">
        <v>0</v>
      </c>
      <c r="H58" s="42">
        <v>0</v>
      </c>
      <c r="I58" s="102">
        <v>21.12</v>
      </c>
      <c r="J58" s="99">
        <v>16297.9</v>
      </c>
      <c r="K58" s="103">
        <f t="shared" si="7"/>
        <v>0.41905015007913748</v>
      </c>
      <c r="L58" s="107">
        <v>22.18</v>
      </c>
      <c r="M58" s="99">
        <v>17539.28</v>
      </c>
      <c r="N58" s="25">
        <f t="shared" si="8"/>
        <v>0.57760453994465333</v>
      </c>
      <c r="O58" s="102">
        <v>24.94</v>
      </c>
      <c r="P58" s="99">
        <v>19509.61</v>
      </c>
      <c r="Q58" s="202">
        <f t="shared" si="9"/>
        <v>0.50328680325878705</v>
      </c>
      <c r="R58" s="107">
        <v>25.89</v>
      </c>
      <c r="S58" s="99">
        <v>15399.07</v>
      </c>
      <c r="T58" s="25">
        <f t="shared" si="10"/>
        <v>0.48012242998341181</v>
      </c>
      <c r="U58" s="102">
        <v>25.66</v>
      </c>
      <c r="V58" s="99">
        <v>20007.07</v>
      </c>
      <c r="W58" s="202">
        <f t="shared" si="11"/>
        <v>0.44056351873598898</v>
      </c>
      <c r="X58" s="102">
        <v>24.49</v>
      </c>
      <c r="Y58" s="99">
        <v>3018.84</v>
      </c>
      <c r="Z58" s="202">
        <f t="shared" si="12"/>
        <v>6.1968674486493326E-2</v>
      </c>
      <c r="AA58" s="107">
        <v>22.98</v>
      </c>
      <c r="AB58" s="99">
        <v>18495.37</v>
      </c>
      <c r="AC58" s="202">
        <f t="shared" si="13"/>
        <v>0.49484354975975742</v>
      </c>
      <c r="AD58" s="107"/>
      <c r="AE58" s="99"/>
      <c r="AF58" s="168"/>
      <c r="AG58" s="98"/>
      <c r="AH58" s="99"/>
      <c r="AJ58" s="98"/>
      <c r="AK58" s="99"/>
      <c r="AM58" s="98"/>
      <c r="AN58" s="99"/>
      <c r="AP58" s="98"/>
      <c r="AQ58" s="99"/>
      <c r="AS58" s="98"/>
      <c r="AT58" s="99"/>
      <c r="AV58" s="98"/>
      <c r="AW58" s="99"/>
      <c r="AY58" s="98"/>
      <c r="AZ58" s="99"/>
      <c r="BB58" s="98"/>
      <c r="BC58" s="99"/>
      <c r="BE58"/>
      <c r="BF58"/>
      <c r="BG58" s="12"/>
      <c r="BI58"/>
    </row>
    <row r="59" spans="1:61">
      <c r="B59" s="201">
        <v>1032</v>
      </c>
      <c r="C59" s="22" t="s">
        <v>228</v>
      </c>
      <c r="D59" s="247" t="s">
        <v>376</v>
      </c>
      <c r="E59" s="26" t="s">
        <v>112</v>
      </c>
      <c r="F59" s="117">
        <v>0</v>
      </c>
      <c r="G59" s="26">
        <v>1</v>
      </c>
      <c r="H59" s="41">
        <v>0</v>
      </c>
      <c r="I59" s="102">
        <v>30.06</v>
      </c>
      <c r="J59" s="99">
        <v>7310.23</v>
      </c>
      <c r="K59" s="103">
        <f t="shared" si="7"/>
        <v>0.18795998126218796</v>
      </c>
      <c r="L59" s="108" t="s">
        <v>3</v>
      </c>
      <c r="M59" s="104">
        <v>0</v>
      </c>
      <c r="N59" s="205">
        <f t="shared" si="8"/>
        <v>0</v>
      </c>
      <c r="O59" s="105" t="s">
        <v>3</v>
      </c>
      <c r="P59" s="104">
        <v>0</v>
      </c>
      <c r="Q59" s="223">
        <f t="shared" si="9"/>
        <v>0</v>
      </c>
      <c r="R59" s="108" t="s">
        <v>3</v>
      </c>
      <c r="S59" s="104">
        <v>0</v>
      </c>
      <c r="T59" s="205">
        <f t="shared" si="10"/>
        <v>0</v>
      </c>
      <c r="U59" s="105" t="s">
        <v>3</v>
      </c>
      <c r="V59" s="104">
        <v>0</v>
      </c>
      <c r="W59" s="223">
        <f t="shared" si="11"/>
        <v>0</v>
      </c>
      <c r="X59" s="102">
        <v>34.590000000000003</v>
      </c>
      <c r="Y59" s="99">
        <v>6423.76</v>
      </c>
      <c r="Z59" s="202">
        <f t="shared" si="12"/>
        <v>0.13186253409235216</v>
      </c>
      <c r="AA59" s="107">
        <v>32.58</v>
      </c>
      <c r="AB59" s="99">
        <v>6061.32</v>
      </c>
      <c r="AC59" s="202">
        <f t="shared" si="13"/>
        <v>0.16217059215521576</v>
      </c>
      <c r="AD59" s="107"/>
      <c r="AE59" s="99"/>
      <c r="AF59" s="168"/>
      <c r="AG59" s="98"/>
      <c r="AH59" s="99"/>
      <c r="AJ59" s="98"/>
      <c r="AK59" s="99"/>
      <c r="AM59" s="98"/>
      <c r="AN59" s="99"/>
      <c r="AP59" s="98"/>
      <c r="AQ59" s="99"/>
      <c r="AS59" s="98"/>
      <c r="AT59" s="99"/>
      <c r="AV59" s="98"/>
      <c r="AW59" s="99"/>
      <c r="AY59" s="98"/>
      <c r="AZ59" s="99"/>
      <c r="BB59" s="98"/>
      <c r="BC59" s="99"/>
      <c r="BE59"/>
      <c r="BF59"/>
      <c r="BG59" s="12"/>
      <c r="BI59"/>
    </row>
    <row r="60" spans="1:61">
      <c r="B60" s="201" t="s">
        <v>235</v>
      </c>
      <c r="C60" s="22" t="s">
        <v>377</v>
      </c>
      <c r="D60" s="113" t="s">
        <v>378</v>
      </c>
      <c r="E60" s="26" t="s">
        <v>484</v>
      </c>
      <c r="F60" s="117">
        <v>1</v>
      </c>
      <c r="G60" s="26">
        <v>0</v>
      </c>
      <c r="H60" s="41">
        <v>0</v>
      </c>
      <c r="I60" s="102">
        <v>30.24</v>
      </c>
      <c r="J60" s="99">
        <v>11579.76</v>
      </c>
      <c r="K60" s="103">
        <f t="shared" si="7"/>
        <v>0.29773775553171838</v>
      </c>
      <c r="L60" s="203">
        <v>30.75</v>
      </c>
      <c r="M60" s="99">
        <v>3954.25</v>
      </c>
      <c r="N60" s="25">
        <f t="shared" si="8"/>
        <v>0.1302215799095599</v>
      </c>
      <c r="O60" s="253">
        <v>34.46</v>
      </c>
      <c r="P60" s="99">
        <v>4868.93</v>
      </c>
      <c r="Q60" s="202">
        <f t="shared" si="9"/>
        <v>0.12560313686387406</v>
      </c>
      <c r="R60" s="107">
        <v>36.270000000000003</v>
      </c>
      <c r="S60" s="99">
        <v>5035.55</v>
      </c>
      <c r="T60" s="25">
        <f t="shared" si="10"/>
        <v>0.15700172168208662</v>
      </c>
      <c r="U60" s="105" t="s">
        <v>3</v>
      </c>
      <c r="V60" s="104">
        <v>0</v>
      </c>
      <c r="W60" s="223">
        <f t="shared" si="11"/>
        <v>0</v>
      </c>
      <c r="X60" s="102">
        <v>34.950000000000003</v>
      </c>
      <c r="Y60" s="99">
        <v>6197.05</v>
      </c>
      <c r="Z60" s="202">
        <f t="shared" si="12"/>
        <v>0.12720878689381465</v>
      </c>
      <c r="AA60" s="107">
        <v>32.880000000000003</v>
      </c>
      <c r="AB60" s="99">
        <v>7889.28</v>
      </c>
      <c r="AC60" s="202">
        <f t="shared" si="13"/>
        <v>0.21107765458320973</v>
      </c>
      <c r="AD60" s="107"/>
      <c r="AE60" s="99"/>
      <c r="AF60" s="168"/>
      <c r="AG60" s="98"/>
      <c r="AH60" s="99"/>
      <c r="AJ60" s="98"/>
      <c r="AK60" s="99"/>
      <c r="AM60" s="98"/>
      <c r="AN60" s="99"/>
      <c r="AP60" s="98"/>
      <c r="AQ60" s="99"/>
      <c r="AS60" s="98"/>
      <c r="AT60" s="99"/>
      <c r="AV60" s="98"/>
      <c r="AW60" s="99"/>
      <c r="AY60" s="98"/>
      <c r="AZ60" s="99"/>
      <c r="BB60" s="98"/>
      <c r="BC60" s="99"/>
      <c r="BE60"/>
      <c r="BF60"/>
      <c r="BG60" s="12"/>
      <c r="BI60"/>
    </row>
    <row r="61" spans="1:61">
      <c r="B61" s="201">
        <v>1056</v>
      </c>
      <c r="C61" s="22" t="s">
        <v>379</v>
      </c>
      <c r="D61" s="247" t="s">
        <v>380</v>
      </c>
      <c r="E61" s="26" t="s">
        <v>112</v>
      </c>
      <c r="F61" s="117">
        <v>1</v>
      </c>
      <c r="G61" s="26">
        <v>0</v>
      </c>
      <c r="H61" s="41">
        <v>0</v>
      </c>
      <c r="I61" s="102">
        <v>29.76</v>
      </c>
      <c r="J61" s="99">
        <v>2415.17</v>
      </c>
      <c r="K61" s="103">
        <f t="shared" si="7"/>
        <v>6.2098635466325755E-2</v>
      </c>
      <c r="L61" s="108" t="s">
        <v>3</v>
      </c>
      <c r="M61" s="104">
        <v>0</v>
      </c>
      <c r="N61" s="205">
        <f t="shared" si="8"/>
        <v>0</v>
      </c>
      <c r="O61" s="105" t="s">
        <v>3</v>
      </c>
      <c r="P61" s="104">
        <v>0</v>
      </c>
      <c r="Q61" s="223">
        <f t="shared" si="9"/>
        <v>0</v>
      </c>
      <c r="R61" s="108" t="s">
        <v>3</v>
      </c>
      <c r="S61" s="104">
        <v>0</v>
      </c>
      <c r="T61" s="205">
        <f t="shared" si="10"/>
        <v>0</v>
      </c>
      <c r="U61" s="105" t="s">
        <v>3</v>
      </c>
      <c r="V61" s="104">
        <v>0</v>
      </c>
      <c r="W61" s="223">
        <f t="shared" si="11"/>
        <v>0</v>
      </c>
      <c r="X61" s="102" t="s">
        <v>381</v>
      </c>
      <c r="Y61" s="99">
        <v>1902.93</v>
      </c>
      <c r="Z61" s="202">
        <f t="shared" si="12"/>
        <v>3.906204030044081E-2</v>
      </c>
      <c r="AA61" s="107" t="s">
        <v>382</v>
      </c>
      <c r="AB61" s="99">
        <v>1697.16</v>
      </c>
      <c r="AC61" s="202">
        <f t="shared" si="13"/>
        <v>4.5407508955499137E-2</v>
      </c>
      <c r="AD61" s="107"/>
      <c r="AE61" s="99"/>
      <c r="AF61" s="168"/>
      <c r="AG61" s="98"/>
      <c r="AH61" s="99"/>
      <c r="AJ61" s="98"/>
      <c r="AK61" s="99"/>
      <c r="AM61" s="98"/>
      <c r="AN61" s="99"/>
      <c r="AP61" s="98"/>
      <c r="AQ61" s="99"/>
      <c r="AS61" s="98"/>
      <c r="AT61" s="99"/>
      <c r="AV61" s="98"/>
      <c r="AW61" s="99"/>
      <c r="AY61" s="98"/>
      <c r="AZ61" s="99"/>
      <c r="BB61" s="98"/>
      <c r="BC61" s="99"/>
      <c r="BE61"/>
      <c r="BF61"/>
      <c r="BG61" s="12"/>
      <c r="BI61"/>
    </row>
    <row r="62" spans="1:61">
      <c r="B62" s="201" t="s">
        <v>383</v>
      </c>
      <c r="C62" s="22" t="s">
        <v>384</v>
      </c>
      <c r="D62" s="12" t="s">
        <v>385</v>
      </c>
      <c r="E62" s="26">
        <v>0</v>
      </c>
      <c r="F62" s="117">
        <v>1</v>
      </c>
      <c r="G62" s="26">
        <v>0</v>
      </c>
      <c r="H62" s="41">
        <v>0</v>
      </c>
      <c r="I62" s="102" t="s">
        <v>3</v>
      </c>
      <c r="J62" s="99">
        <v>0</v>
      </c>
      <c r="K62" s="103">
        <f t="shared" si="7"/>
        <v>0</v>
      </c>
      <c r="L62" s="207">
        <v>25.3</v>
      </c>
      <c r="M62" s="204">
        <v>2705.85</v>
      </c>
      <c r="N62" s="210">
        <f t="shared" si="8"/>
        <v>8.9109201997416107E-2</v>
      </c>
      <c r="O62" s="254" t="s">
        <v>386</v>
      </c>
      <c r="P62" s="204">
        <v>1086.57</v>
      </c>
      <c r="Q62" s="255">
        <f t="shared" si="9"/>
        <v>2.8030101156143059E-2</v>
      </c>
      <c r="R62" s="207">
        <v>30.22</v>
      </c>
      <c r="S62" s="204">
        <v>2028.65</v>
      </c>
      <c r="T62" s="210">
        <f t="shared" si="10"/>
        <v>6.325059679486153E-2</v>
      </c>
      <c r="U62" s="254">
        <v>30.4</v>
      </c>
      <c r="V62" s="204">
        <v>3080.17</v>
      </c>
      <c r="W62" s="255">
        <f t="shared" si="11"/>
        <v>6.7826549989830148E-2</v>
      </c>
      <c r="X62" s="102" t="s">
        <v>3</v>
      </c>
      <c r="Y62" s="99">
        <v>0</v>
      </c>
      <c r="Z62" s="202">
        <f t="shared" si="12"/>
        <v>0</v>
      </c>
      <c r="AA62" s="107" t="s">
        <v>3</v>
      </c>
      <c r="AB62" s="99">
        <v>0</v>
      </c>
      <c r="AC62" s="202">
        <f t="shared" si="13"/>
        <v>0</v>
      </c>
      <c r="AD62" s="107"/>
      <c r="AE62" s="99"/>
      <c r="AF62" s="168"/>
      <c r="AG62" s="98"/>
      <c r="AH62" s="99"/>
      <c r="AJ62" s="98"/>
      <c r="AK62" s="99"/>
      <c r="AM62" s="98"/>
      <c r="AN62" s="99"/>
      <c r="AP62" s="98"/>
      <c r="AQ62" s="99"/>
      <c r="AS62" s="98"/>
      <c r="AT62" s="99"/>
      <c r="AV62" s="98"/>
      <c r="AW62" s="99"/>
      <c r="AY62" s="98"/>
      <c r="AZ62" s="99"/>
      <c r="BB62" s="98"/>
      <c r="BC62" s="99"/>
      <c r="BE62"/>
      <c r="BF62"/>
      <c r="BG62" s="12"/>
      <c r="BI62"/>
    </row>
    <row r="63" spans="1:61">
      <c r="B63" s="201" t="s">
        <v>387</v>
      </c>
      <c r="C63" s="22" t="s">
        <v>384</v>
      </c>
      <c r="D63" s="242" t="s">
        <v>388</v>
      </c>
      <c r="E63" s="26">
        <v>0</v>
      </c>
      <c r="F63" s="117">
        <v>1</v>
      </c>
      <c r="G63" s="26">
        <v>0</v>
      </c>
      <c r="H63" s="41">
        <v>0</v>
      </c>
      <c r="I63" s="102">
        <v>32.130000000000003</v>
      </c>
      <c r="J63" s="99">
        <v>3238.01</v>
      </c>
      <c r="K63" s="103">
        <f t="shared" si="7"/>
        <v>8.3255424101126407E-2</v>
      </c>
      <c r="L63" s="108" t="s">
        <v>3</v>
      </c>
      <c r="M63" s="104">
        <v>0</v>
      </c>
      <c r="N63" s="205">
        <f t="shared" si="8"/>
        <v>0</v>
      </c>
      <c r="O63" s="105" t="s">
        <v>3</v>
      </c>
      <c r="P63" s="104">
        <v>0</v>
      </c>
      <c r="Q63" s="223">
        <f t="shared" si="9"/>
        <v>0</v>
      </c>
      <c r="R63" s="108" t="s">
        <v>3</v>
      </c>
      <c r="S63" s="104">
        <v>0</v>
      </c>
      <c r="T63" s="205">
        <f t="shared" si="10"/>
        <v>0</v>
      </c>
      <c r="U63" s="105" t="s">
        <v>3</v>
      </c>
      <c r="V63" s="104">
        <v>0</v>
      </c>
      <c r="W63" s="223">
        <f t="shared" si="11"/>
        <v>0</v>
      </c>
      <c r="X63" s="102" t="s">
        <v>389</v>
      </c>
      <c r="Y63" s="99">
        <v>3792.42</v>
      </c>
      <c r="Z63" s="202">
        <f t="shared" si="12"/>
        <v>7.7848193510112171E-2</v>
      </c>
      <c r="AA63" s="107">
        <v>34.85</v>
      </c>
      <c r="AB63" s="99">
        <v>2492.3000000000002</v>
      </c>
      <c r="AC63" s="202">
        <f t="shared" si="13"/>
        <v>6.6681476448767651E-2</v>
      </c>
      <c r="AD63" s="107"/>
      <c r="AE63" s="99"/>
      <c r="AF63" s="168"/>
      <c r="AG63" s="98"/>
      <c r="AH63" s="99"/>
      <c r="AJ63" s="98"/>
      <c r="AK63" s="99"/>
      <c r="AM63" s="98"/>
      <c r="AN63" s="99"/>
      <c r="AP63" s="98"/>
      <c r="AQ63" s="99"/>
      <c r="AS63" s="98"/>
      <c r="AT63" s="99"/>
      <c r="AV63" s="98"/>
      <c r="AW63" s="99"/>
      <c r="AY63" s="98"/>
      <c r="AZ63" s="99"/>
      <c r="BB63" s="98"/>
      <c r="BC63" s="99"/>
      <c r="BE63"/>
      <c r="BF63"/>
      <c r="BG63" s="12"/>
      <c r="BI63"/>
    </row>
    <row r="64" spans="1:61">
      <c r="B64" s="201">
        <v>1098</v>
      </c>
      <c r="C64" s="22" t="s">
        <v>390</v>
      </c>
      <c r="D64" s="113" t="s">
        <v>391</v>
      </c>
      <c r="E64" s="24" t="s">
        <v>112</v>
      </c>
      <c r="F64" s="15">
        <v>0</v>
      </c>
      <c r="G64" s="24">
        <v>0</v>
      </c>
      <c r="H64" s="41" t="s">
        <v>158</v>
      </c>
      <c r="I64" s="102">
        <v>25.53</v>
      </c>
      <c r="J64" s="99">
        <v>1596.49</v>
      </c>
      <c r="K64" s="103">
        <f t="shared" si="7"/>
        <v>4.1048808380211084E-2</v>
      </c>
      <c r="L64" s="249" t="s">
        <v>3</v>
      </c>
      <c r="M64" s="104">
        <v>0</v>
      </c>
      <c r="N64" s="205">
        <f t="shared" si="8"/>
        <v>0</v>
      </c>
      <c r="O64" s="257" t="s">
        <v>3</v>
      </c>
      <c r="P64" s="104">
        <v>0</v>
      </c>
      <c r="Q64" s="223">
        <f t="shared" si="9"/>
        <v>0</v>
      </c>
      <c r="R64" s="108" t="s">
        <v>3</v>
      </c>
      <c r="S64" s="104">
        <v>0</v>
      </c>
      <c r="T64" s="205">
        <f t="shared" si="10"/>
        <v>0</v>
      </c>
      <c r="U64" s="105" t="s">
        <v>3</v>
      </c>
      <c r="V64" s="104">
        <v>0</v>
      </c>
      <c r="W64" s="223">
        <f t="shared" si="11"/>
        <v>0</v>
      </c>
      <c r="X64" s="102">
        <v>29.06</v>
      </c>
      <c r="Y64" s="99">
        <v>1851.89</v>
      </c>
      <c r="Z64" s="202">
        <f t="shared" si="12"/>
        <v>3.8014326229542518E-2</v>
      </c>
      <c r="AA64" s="107" t="s">
        <v>392</v>
      </c>
      <c r="AB64" s="99">
        <v>1663.54</v>
      </c>
      <c r="AC64" s="202">
        <f t="shared" si="13"/>
        <v>4.4508005991085717E-2</v>
      </c>
      <c r="AD64" s="107"/>
      <c r="AE64" s="99"/>
      <c r="AF64" s="168"/>
      <c r="AG64" s="98"/>
      <c r="AH64" s="99"/>
      <c r="AJ64" s="98"/>
      <c r="AK64" s="99"/>
      <c r="AM64" s="98"/>
      <c r="AN64" s="99"/>
      <c r="AP64" s="98"/>
      <c r="AQ64" s="99"/>
      <c r="AS64" s="98"/>
      <c r="AT64" s="99"/>
      <c r="AV64" s="98"/>
      <c r="AW64" s="99"/>
      <c r="AY64" s="98"/>
      <c r="AZ64" s="99"/>
      <c r="BB64" s="98"/>
      <c r="BC64" s="99"/>
      <c r="BE64"/>
      <c r="BF64"/>
      <c r="BG64" s="12"/>
      <c r="BI64"/>
    </row>
    <row r="65" spans="2:61">
      <c r="B65" s="201">
        <v>1169</v>
      </c>
      <c r="C65" s="22" t="s">
        <v>252</v>
      </c>
      <c r="D65" s="242" t="s">
        <v>253</v>
      </c>
      <c r="E65" s="24">
        <v>0</v>
      </c>
      <c r="F65" s="15">
        <v>1</v>
      </c>
      <c r="G65" s="24">
        <v>0</v>
      </c>
      <c r="H65" s="41">
        <v>0</v>
      </c>
      <c r="I65" s="102">
        <v>29.93</v>
      </c>
      <c r="J65" s="99">
        <v>5737.78</v>
      </c>
      <c r="K65" s="103">
        <f t="shared" si="7"/>
        <v>0.14752928721621028</v>
      </c>
      <c r="L65" s="107" t="s">
        <v>361</v>
      </c>
      <c r="M65" s="99">
        <v>2625.9</v>
      </c>
      <c r="N65" s="25">
        <f t="shared" si="8"/>
        <v>8.6476284171338014E-2</v>
      </c>
      <c r="O65" s="102">
        <v>35.229999999999997</v>
      </c>
      <c r="P65" s="99">
        <v>5171.74</v>
      </c>
      <c r="Q65" s="202">
        <f t="shared" si="9"/>
        <v>0.13341468598734668</v>
      </c>
      <c r="R65" s="107">
        <v>36.86</v>
      </c>
      <c r="S65" s="99">
        <v>4202.57</v>
      </c>
      <c r="T65" s="25">
        <f t="shared" si="10"/>
        <v>0.13103051811410604</v>
      </c>
      <c r="U65" s="102">
        <v>36.81</v>
      </c>
      <c r="V65" s="99">
        <v>5415.62</v>
      </c>
      <c r="W65" s="202">
        <f t="shared" si="11"/>
        <v>0.11925407385174323</v>
      </c>
      <c r="X65" s="102">
        <v>35.130000000000003</v>
      </c>
      <c r="Y65" s="99">
        <v>5013.8500000000004</v>
      </c>
      <c r="Z65" s="202">
        <f t="shared" si="12"/>
        <v>0.10292086979571775</v>
      </c>
      <c r="AA65" s="107" t="s">
        <v>393</v>
      </c>
      <c r="AB65" s="99">
        <v>4268.83</v>
      </c>
      <c r="AC65" s="202">
        <f t="shared" si="13"/>
        <v>0.11421252943417436</v>
      </c>
      <c r="AD65" s="107"/>
      <c r="AE65" s="99"/>
      <c r="AF65" s="168"/>
      <c r="AG65" s="98"/>
      <c r="AH65" s="99"/>
      <c r="AJ65" s="98"/>
      <c r="AK65" s="99"/>
      <c r="AM65" s="98"/>
      <c r="AN65" s="99"/>
      <c r="AP65" s="98"/>
      <c r="AQ65" s="99"/>
      <c r="AS65" s="98"/>
      <c r="AT65" s="99"/>
      <c r="AV65" s="98"/>
      <c r="AW65" s="99"/>
      <c r="AY65" s="98"/>
      <c r="AZ65" s="99"/>
      <c r="BB65" s="98"/>
      <c r="BC65" s="99"/>
      <c r="BE65"/>
      <c r="BF65"/>
      <c r="BG65" s="12"/>
      <c r="BI65"/>
    </row>
    <row r="66" spans="2:61" ht="14.7" thickBot="1">
      <c r="B66" s="212"/>
      <c r="C66" s="213"/>
      <c r="D66" s="248"/>
      <c r="E66" s="240"/>
      <c r="F66" s="214"/>
      <c r="G66" s="240"/>
      <c r="H66" s="216"/>
      <c r="I66" s="236"/>
      <c r="J66" s="217">
        <f>SUM(J9:J65)</f>
        <v>3889248.0999999992</v>
      </c>
      <c r="K66" s="219"/>
      <c r="L66" s="218"/>
      <c r="M66" s="217">
        <f>SUM(M9:M65)</f>
        <v>3036555.0799999996</v>
      </c>
      <c r="N66" s="217"/>
      <c r="O66" s="232"/>
      <c r="P66" s="217">
        <f>SUM(P9:P65)</f>
        <v>3876439.810000001</v>
      </c>
      <c r="Q66" s="219"/>
      <c r="R66" s="218"/>
      <c r="S66" s="217">
        <f>SUM(S9:S65)</f>
        <v>3207321.5159999994</v>
      </c>
      <c r="T66" s="217"/>
      <c r="U66" s="232"/>
      <c r="V66" s="217">
        <f>SUM(V9:V65)</f>
        <v>4541245.2799999965</v>
      </c>
      <c r="W66" s="219"/>
      <c r="X66" s="224"/>
      <c r="Y66" s="217">
        <f>SUM(Y9:Y65)</f>
        <v>4871558.129999998</v>
      </c>
      <c r="Z66" s="219"/>
      <c r="AA66" s="217"/>
      <c r="AB66" s="217">
        <f>SUM(AB9:AB65)</f>
        <v>3737619.7</v>
      </c>
      <c r="AC66" s="219"/>
      <c r="AD66" s="172"/>
      <c r="AE66" s="127"/>
      <c r="AF66" s="172"/>
      <c r="AG66" s="172"/>
      <c r="AH66" s="127"/>
      <c r="AI66" s="172"/>
      <c r="AJ66" s="172"/>
      <c r="AK66" s="127"/>
      <c r="AL66" s="172"/>
      <c r="AM66" s="172"/>
      <c r="AN66" s="127"/>
      <c r="AO66" s="172"/>
      <c r="AP66" s="172"/>
      <c r="AQ66" s="127"/>
      <c r="AR66" s="172"/>
      <c r="AS66" s="172"/>
      <c r="AT66" s="127"/>
      <c r="AU66" s="172"/>
      <c r="AV66" s="172"/>
      <c r="AW66" s="127"/>
      <c r="AX66" s="172"/>
      <c r="AY66" s="172"/>
      <c r="AZ66" s="127"/>
      <c r="BA66" s="172"/>
      <c r="BB66" s="172"/>
      <c r="BC66" s="127"/>
      <c r="BD66" s="172"/>
      <c r="BE66"/>
      <c r="BF66"/>
      <c r="BG66"/>
      <c r="BI66"/>
    </row>
    <row r="69" spans="2:61" ht="23.35">
      <c r="B69" s="355" t="s">
        <v>517</v>
      </c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  <c r="Z69" s="355"/>
      <c r="AA69" s="355"/>
      <c r="AB69" s="355"/>
      <c r="AC69" s="355"/>
      <c r="AD69" s="164"/>
      <c r="AE69" s="165"/>
      <c r="AF69" s="165"/>
      <c r="AG69" s="20"/>
      <c r="AH69" s="165"/>
      <c r="AI69" s="165"/>
      <c r="AJ69" s="164"/>
      <c r="AK69" s="165"/>
      <c r="AL69" s="165"/>
      <c r="AM69" s="164"/>
      <c r="AN69" s="165"/>
      <c r="AO69" s="165"/>
      <c r="AP69" s="164"/>
      <c r="AQ69" s="165"/>
      <c r="AR69" s="165"/>
      <c r="AS69" s="164"/>
      <c r="AT69" s="165"/>
      <c r="AU69" s="165"/>
      <c r="AV69" s="164"/>
      <c r="AW69" s="165"/>
      <c r="AX69" s="165"/>
      <c r="AY69" s="164"/>
      <c r="AZ69" s="165"/>
      <c r="BA69" s="165"/>
      <c r="BB69" s="164"/>
      <c r="BC69" s="165"/>
      <c r="BD69" s="165"/>
      <c r="BE69"/>
      <c r="BF69" s="36"/>
      <c r="BG69"/>
      <c r="BI69"/>
    </row>
    <row r="70" spans="2:61" ht="14.7" thickBot="1">
      <c r="I70"/>
      <c r="L70" s="1"/>
      <c r="M70" s="2"/>
      <c r="N70" s="25"/>
      <c r="P70" s="2"/>
      <c r="Q70" s="12"/>
      <c r="S70" s="2"/>
      <c r="T70" s="25"/>
      <c r="V70" s="2"/>
      <c r="W70" s="25"/>
      <c r="Y70" s="25"/>
      <c r="Z70" s="25"/>
      <c r="AA70" s="39"/>
      <c r="AB70" s="25"/>
      <c r="AE70" s="25"/>
      <c r="AF70" s="25"/>
      <c r="AG70" s="39"/>
      <c r="AJ70" s="39"/>
      <c r="AM70" s="39"/>
      <c r="AP70" s="39"/>
      <c r="AS70" s="39"/>
      <c r="AV70" s="39"/>
      <c r="AY70" s="39"/>
      <c r="BB70"/>
      <c r="BE70"/>
      <c r="BF70"/>
      <c r="BG70"/>
      <c r="BI70"/>
    </row>
    <row r="71" spans="2:61" s="20" customFormat="1" ht="21" thickBot="1">
      <c r="B71" s="17"/>
      <c r="D71" s="17"/>
      <c r="E71" s="18"/>
      <c r="F71" s="18"/>
      <c r="G71" s="18"/>
      <c r="H71" s="19"/>
      <c r="I71" s="336" t="s">
        <v>464</v>
      </c>
      <c r="J71" s="337"/>
      <c r="K71" s="338"/>
      <c r="L71" s="339" t="s">
        <v>0</v>
      </c>
      <c r="M71" s="340"/>
      <c r="N71" s="341"/>
      <c r="O71" s="342" t="s">
        <v>51</v>
      </c>
      <c r="P71" s="342"/>
      <c r="Q71" s="342"/>
      <c r="R71" s="343" t="s">
        <v>52</v>
      </c>
      <c r="S71" s="344"/>
      <c r="T71" s="345"/>
      <c r="U71" s="346" t="s">
        <v>2</v>
      </c>
      <c r="V71" s="346"/>
      <c r="W71" s="346"/>
      <c r="X71" s="347" t="s">
        <v>1</v>
      </c>
      <c r="Y71" s="348"/>
      <c r="Z71" s="349"/>
      <c r="AA71" s="332" t="s">
        <v>53</v>
      </c>
      <c r="AB71" s="332"/>
      <c r="AC71" s="333"/>
      <c r="AD71" s="164"/>
      <c r="AE71" s="165"/>
      <c r="AF71" s="165"/>
      <c r="AH71" s="165"/>
      <c r="AI71" s="165"/>
      <c r="AJ71" s="164"/>
      <c r="AK71" s="165"/>
      <c r="AL71" s="165"/>
      <c r="AM71" s="166"/>
      <c r="AN71" s="165"/>
      <c r="AO71" s="165"/>
      <c r="AP71" s="166"/>
      <c r="AQ71" s="165"/>
      <c r="AR71" s="165"/>
      <c r="AS71" s="166"/>
      <c r="AT71" s="165"/>
      <c r="AU71" s="165"/>
      <c r="AV71" s="166"/>
      <c r="AW71" s="165"/>
      <c r="AX71" s="165"/>
      <c r="AY71" s="166"/>
      <c r="AZ71" s="165"/>
      <c r="BA71" s="165"/>
      <c r="BB71" s="166"/>
      <c r="BC71" s="165"/>
      <c r="BD71" s="165"/>
    </row>
    <row r="72" spans="2:61" ht="16.350000000000001">
      <c r="B72" s="189" t="s">
        <v>11</v>
      </c>
      <c r="C72" s="190" t="s">
        <v>10</v>
      </c>
      <c r="D72" s="191" t="s">
        <v>9</v>
      </c>
      <c r="E72" s="192" t="s">
        <v>467</v>
      </c>
      <c r="F72" s="193" t="s">
        <v>491</v>
      </c>
      <c r="G72" s="193" t="s">
        <v>492</v>
      </c>
      <c r="H72" s="237" t="s">
        <v>493</v>
      </c>
      <c r="I72" s="220" t="s">
        <v>289</v>
      </c>
      <c r="J72" s="195" t="s">
        <v>290</v>
      </c>
      <c r="K72" s="200" t="s">
        <v>291</v>
      </c>
      <c r="L72" s="233" t="s">
        <v>273</v>
      </c>
      <c r="M72" s="197" t="s">
        <v>274</v>
      </c>
      <c r="N72" s="234" t="s">
        <v>275</v>
      </c>
      <c r="O72" s="196" t="s">
        <v>276</v>
      </c>
      <c r="P72" s="197" t="s">
        <v>277</v>
      </c>
      <c r="Q72" s="229" t="s">
        <v>278</v>
      </c>
      <c r="R72" s="230" t="s">
        <v>8</v>
      </c>
      <c r="S72" s="198" t="s">
        <v>7</v>
      </c>
      <c r="T72" s="231" t="s">
        <v>279</v>
      </c>
      <c r="U72" s="198" t="s">
        <v>280</v>
      </c>
      <c r="V72" s="198" t="s">
        <v>281</v>
      </c>
      <c r="W72" s="199" t="s">
        <v>282</v>
      </c>
      <c r="X72" s="220" t="s">
        <v>283</v>
      </c>
      <c r="Y72" s="195" t="s">
        <v>284</v>
      </c>
      <c r="Z72" s="200" t="s">
        <v>285</v>
      </c>
      <c r="AA72" s="195" t="s">
        <v>286</v>
      </c>
      <c r="AB72" s="195" t="s">
        <v>287</v>
      </c>
      <c r="AC72" s="200" t="s">
        <v>288</v>
      </c>
      <c r="AD72" s="167" t="s">
        <v>497</v>
      </c>
      <c r="AE72" s="167" t="s">
        <v>498</v>
      </c>
      <c r="AF72" s="167" t="s">
        <v>292</v>
      </c>
      <c r="AG72" s="167" t="s">
        <v>499</v>
      </c>
      <c r="AH72" s="167" t="s">
        <v>500</v>
      </c>
      <c r="AI72" s="167" t="s">
        <v>293</v>
      </c>
      <c r="AJ72" s="167" t="s">
        <v>501</v>
      </c>
      <c r="AK72" s="167" t="s">
        <v>502</v>
      </c>
      <c r="AL72" s="167" t="s">
        <v>294</v>
      </c>
      <c r="AM72" s="167" t="s">
        <v>503</v>
      </c>
      <c r="AN72" s="167" t="s">
        <v>504</v>
      </c>
      <c r="AO72" s="167" t="s">
        <v>295</v>
      </c>
      <c r="AP72" s="167" t="s">
        <v>505</v>
      </c>
      <c r="AQ72" s="167" t="s">
        <v>506</v>
      </c>
      <c r="AR72" s="167" t="s">
        <v>296</v>
      </c>
      <c r="AS72" s="167" t="s">
        <v>507</v>
      </c>
      <c r="AT72" s="167" t="s">
        <v>508</v>
      </c>
      <c r="AU72" s="167" t="s">
        <v>297</v>
      </c>
      <c r="AV72" s="167" t="s">
        <v>509</v>
      </c>
      <c r="AW72" s="167" t="s">
        <v>510</v>
      </c>
      <c r="AX72" s="167" t="s">
        <v>298</v>
      </c>
      <c r="AY72" s="167" t="s">
        <v>511</v>
      </c>
      <c r="AZ72" s="167" t="s">
        <v>512</v>
      </c>
      <c r="BA72" s="167" t="s">
        <v>299</v>
      </c>
      <c r="BB72" s="167" t="s">
        <v>513</v>
      </c>
      <c r="BC72" s="167" t="s">
        <v>514</v>
      </c>
      <c r="BD72" s="167" t="s">
        <v>300</v>
      </c>
      <c r="BE72"/>
      <c r="BF72"/>
      <c r="BG72"/>
      <c r="BI72"/>
    </row>
    <row r="73" spans="2:61" s="56" customFormat="1">
      <c r="B73" s="226">
        <v>1317</v>
      </c>
      <c r="C73" s="173" t="s">
        <v>394</v>
      </c>
      <c r="D73" s="32" t="s">
        <v>395</v>
      </c>
      <c r="E73" s="116">
        <v>0</v>
      </c>
      <c r="F73" s="27">
        <v>0</v>
      </c>
      <c r="G73" s="27">
        <v>0</v>
      </c>
      <c r="H73" s="238">
        <v>0</v>
      </c>
      <c r="I73" s="228" t="s">
        <v>398</v>
      </c>
      <c r="J73" s="175">
        <v>1134.98</v>
      </c>
      <c r="K73" s="235">
        <f>J73/$J$78*100</f>
        <v>4.4043386022051569</v>
      </c>
      <c r="L73" s="228">
        <v>25.12</v>
      </c>
      <c r="M73" s="175">
        <v>2429.16</v>
      </c>
      <c r="N73" s="227">
        <f>M73/$M$78*100</f>
        <v>8.3357926133750961</v>
      </c>
      <c r="O73" s="225">
        <v>28.78</v>
      </c>
      <c r="P73" s="175">
        <v>2545.91</v>
      </c>
      <c r="Q73" s="177">
        <f>P73/$P$78*100</f>
        <v>11.361115052983223</v>
      </c>
      <c r="R73" s="228">
        <v>30.28</v>
      </c>
      <c r="S73" s="175">
        <v>3917.96</v>
      </c>
      <c r="T73" s="227">
        <f>S73/$S$78*100</f>
        <v>21.071959486350956</v>
      </c>
      <c r="U73" s="225">
        <v>30.7</v>
      </c>
      <c r="V73" s="175">
        <v>4250.6499999999996</v>
      </c>
      <c r="W73" s="177">
        <f>V73/$V$78*100</f>
        <v>18.829189551707898</v>
      </c>
      <c r="X73" s="228" t="s">
        <v>396</v>
      </c>
      <c r="Y73" s="175">
        <v>90.82</v>
      </c>
      <c r="Z73" s="227">
        <f>Y73/$Y$78*100</f>
        <v>0.51377321794461284</v>
      </c>
      <c r="AA73" s="225" t="s">
        <v>397</v>
      </c>
      <c r="AB73" s="175">
        <v>1172.3900000000001</v>
      </c>
      <c r="AC73" s="227">
        <f>AB73/$AB$78*100</f>
        <v>4.9434663169723345</v>
      </c>
      <c r="AD73" s="225"/>
      <c r="AE73" s="175"/>
      <c r="AF73" s="176"/>
      <c r="AG73" s="174"/>
      <c r="AH73" s="175"/>
      <c r="AI73" s="177"/>
      <c r="AJ73" s="174"/>
      <c r="AK73" s="175"/>
      <c r="AL73" s="177"/>
      <c r="AM73" s="174"/>
      <c r="AN73" s="175"/>
      <c r="AO73" s="177"/>
      <c r="AP73" s="174"/>
      <c r="AQ73" s="175"/>
      <c r="AR73" s="177"/>
      <c r="AS73" s="174"/>
      <c r="AT73" s="175"/>
      <c r="AU73" s="177"/>
      <c r="AV73" s="174"/>
      <c r="AW73" s="175"/>
      <c r="AX73" s="177"/>
      <c r="AY73" s="174"/>
      <c r="AZ73" s="175"/>
      <c r="BA73" s="177"/>
      <c r="BB73" s="174"/>
      <c r="BC73" s="175"/>
      <c r="BD73" s="177"/>
      <c r="BG73" s="55"/>
    </row>
    <row r="74" spans="2:61" s="56" customFormat="1">
      <c r="B74" s="226">
        <v>1463</v>
      </c>
      <c r="C74" s="173" t="s">
        <v>399</v>
      </c>
      <c r="D74" s="32" t="s">
        <v>400</v>
      </c>
      <c r="E74" s="116">
        <v>0</v>
      </c>
      <c r="F74" s="27">
        <v>0</v>
      </c>
      <c r="G74" s="27">
        <v>0</v>
      </c>
      <c r="H74" s="238">
        <v>1</v>
      </c>
      <c r="I74" s="228">
        <v>28.94</v>
      </c>
      <c r="J74" s="175">
        <v>2226.85</v>
      </c>
      <c r="K74" s="235">
        <f>J74/$J$78*100</f>
        <v>8.6413869991722798</v>
      </c>
      <c r="L74" s="228">
        <v>28.42</v>
      </c>
      <c r="M74" s="175">
        <v>6273.88</v>
      </c>
      <c r="N74" s="227">
        <f>M74/$M$78*100</f>
        <v>21.529155165243029</v>
      </c>
      <c r="O74" s="225">
        <v>32.479999999999997</v>
      </c>
      <c r="P74" s="175">
        <v>4327.7299999999996</v>
      </c>
      <c r="Q74" s="177">
        <f>P74/$P$78*100</f>
        <v>19.312480978607681</v>
      </c>
      <c r="R74" s="228">
        <v>34.229999999999997</v>
      </c>
      <c r="S74" s="175">
        <v>4722.6899999999996</v>
      </c>
      <c r="T74" s="227">
        <f>S74/$S$78*100</f>
        <v>25.400037863223407</v>
      </c>
      <c r="U74" s="225">
        <v>34.479999999999997</v>
      </c>
      <c r="V74" s="175">
        <v>5024.43</v>
      </c>
      <c r="W74" s="177">
        <f>V74/$V$78*100</f>
        <v>22.25681833585163</v>
      </c>
      <c r="X74" s="228">
        <v>33.24</v>
      </c>
      <c r="Y74" s="175">
        <v>1741.24</v>
      </c>
      <c r="Z74" s="227">
        <f>Y74/$Y$78*100</f>
        <v>9.8502805330750682</v>
      </c>
      <c r="AA74" s="225">
        <v>31.4</v>
      </c>
      <c r="AB74" s="175">
        <v>1432.83</v>
      </c>
      <c r="AC74" s="227">
        <f>AB74/$AB$78*100</f>
        <v>6.0416302108918263</v>
      </c>
      <c r="AD74" s="225"/>
      <c r="AE74" s="175"/>
      <c r="AF74" s="176"/>
      <c r="AG74" s="174"/>
      <c r="AH74" s="175"/>
      <c r="AI74" s="177"/>
      <c r="AJ74" s="174"/>
      <c r="AK74" s="175"/>
      <c r="AL74" s="177"/>
      <c r="AM74" s="174"/>
      <c r="AN74" s="175"/>
      <c r="AO74" s="177"/>
      <c r="AP74" s="174"/>
      <c r="AQ74" s="175"/>
      <c r="AR74" s="177"/>
      <c r="AS74" s="174"/>
      <c r="AT74" s="175"/>
      <c r="AU74" s="177"/>
      <c r="AV74" s="174"/>
      <c r="AW74" s="175"/>
      <c r="AX74" s="177"/>
      <c r="AY74" s="174"/>
      <c r="AZ74" s="175"/>
      <c r="BA74" s="177"/>
      <c r="BB74" s="174"/>
      <c r="BC74" s="175"/>
      <c r="BD74" s="177"/>
      <c r="BG74" s="55"/>
    </row>
    <row r="75" spans="2:61" s="56" customFormat="1">
      <c r="B75" s="226">
        <v>1721</v>
      </c>
      <c r="C75" s="173" t="s">
        <v>401</v>
      </c>
      <c r="D75" s="32" t="s">
        <v>402</v>
      </c>
      <c r="E75" s="116">
        <v>0</v>
      </c>
      <c r="F75" s="27">
        <v>0</v>
      </c>
      <c r="G75" s="27" t="s">
        <v>405</v>
      </c>
      <c r="H75" s="238">
        <v>0</v>
      </c>
      <c r="I75" s="228">
        <v>28.16</v>
      </c>
      <c r="J75" s="175">
        <v>3481.96</v>
      </c>
      <c r="K75" s="235">
        <f>J75/$J$78*100</f>
        <v>13.511895222236753</v>
      </c>
      <c r="L75" s="228">
        <v>28.24</v>
      </c>
      <c r="M75" s="175">
        <v>3172.23</v>
      </c>
      <c r="N75" s="227">
        <f>M75/$M$78*100</f>
        <v>10.885677107282717</v>
      </c>
      <c r="O75" s="225">
        <v>32.07</v>
      </c>
      <c r="P75" s="175">
        <v>2998.56</v>
      </c>
      <c r="Q75" s="177">
        <f>P75/$P$78*100</f>
        <v>13.381064198370474</v>
      </c>
      <c r="R75" s="228">
        <v>33.75</v>
      </c>
      <c r="S75" s="175">
        <v>3063.35</v>
      </c>
      <c r="T75" s="227">
        <f>S75/$S$78*100</f>
        <v>16.475611566354225</v>
      </c>
      <c r="U75" s="225">
        <v>33.89</v>
      </c>
      <c r="V75" s="175">
        <v>4368.0600000000004</v>
      </c>
      <c r="W75" s="177">
        <f>V75/$V$78*100</f>
        <v>19.349282983363299</v>
      </c>
      <c r="X75" s="228">
        <v>32.53</v>
      </c>
      <c r="Y75" s="175">
        <v>2884.74</v>
      </c>
      <c r="Z75" s="227">
        <f>Y75/$Y$78*100</f>
        <v>16.319116414154841</v>
      </c>
      <c r="AA75" s="225">
        <v>30.56</v>
      </c>
      <c r="AB75" s="175">
        <v>3069.93</v>
      </c>
      <c r="AC75" s="227">
        <f>AB75/$AB$78*100</f>
        <v>12.944579491860964</v>
      </c>
      <c r="AD75" s="225"/>
      <c r="AE75" s="175"/>
      <c r="AF75" s="176"/>
      <c r="AG75" s="174"/>
      <c r="AH75" s="175"/>
      <c r="AI75" s="177"/>
      <c r="AJ75" s="174"/>
      <c r="AK75" s="175"/>
      <c r="AL75" s="177"/>
      <c r="AM75" s="174"/>
      <c r="AN75" s="175"/>
      <c r="AO75" s="177"/>
      <c r="AP75" s="174"/>
      <c r="AQ75" s="175"/>
      <c r="AR75" s="177"/>
      <c r="AS75" s="174"/>
      <c r="AT75" s="175"/>
      <c r="AU75" s="177"/>
      <c r="AV75" s="174"/>
      <c r="AW75" s="175"/>
      <c r="AX75" s="177"/>
      <c r="AY75" s="174"/>
      <c r="AZ75" s="175"/>
      <c r="BA75" s="177"/>
      <c r="BB75" s="174"/>
      <c r="BC75" s="175"/>
      <c r="BD75" s="177"/>
      <c r="BG75" s="55"/>
    </row>
    <row r="76" spans="2:61" s="56" customFormat="1">
      <c r="B76" s="226">
        <v>1883</v>
      </c>
      <c r="C76" s="173" t="s">
        <v>403</v>
      </c>
      <c r="D76" s="32" t="s">
        <v>404</v>
      </c>
      <c r="E76" s="116">
        <v>0</v>
      </c>
      <c r="F76" s="27">
        <v>0</v>
      </c>
      <c r="G76" s="27" t="s">
        <v>405</v>
      </c>
      <c r="H76" s="238">
        <v>0</v>
      </c>
      <c r="I76" s="228">
        <v>31.48</v>
      </c>
      <c r="J76" s="175">
        <v>8057.29</v>
      </c>
      <c r="K76" s="235">
        <f>J76/$J$78*100</f>
        <v>31.266659655819122</v>
      </c>
      <c r="L76" s="228">
        <v>32.799999999999997</v>
      </c>
      <c r="M76" s="175">
        <v>7736.72</v>
      </c>
      <c r="N76" s="227">
        <f>M76/$M$78*100</f>
        <v>26.548968955421376</v>
      </c>
      <c r="O76" s="225">
        <v>36.619999999999997</v>
      </c>
      <c r="P76" s="175">
        <v>6772.98</v>
      </c>
      <c r="Q76" s="177">
        <f>P76/$P$78*100</f>
        <v>30.224401110626186</v>
      </c>
      <c r="R76" s="228">
        <v>38.340000000000003</v>
      </c>
      <c r="S76" s="175">
        <v>6889.24</v>
      </c>
      <c r="T76" s="227">
        <f>S76/$S$78*100</f>
        <v>37.052391084071417</v>
      </c>
      <c r="U76" s="225">
        <v>38.24</v>
      </c>
      <c r="V76" s="175">
        <v>8931.65</v>
      </c>
      <c r="W76" s="177">
        <f>V76/$V$78*100</f>
        <v>39.564709129077173</v>
      </c>
      <c r="X76" s="228">
        <v>37.04</v>
      </c>
      <c r="Y76" s="175">
        <v>7751.45</v>
      </c>
      <c r="Z76" s="227">
        <f>Y76/$Y$78*100</f>
        <v>43.850334840748403</v>
      </c>
      <c r="AA76" s="225">
        <v>34.42</v>
      </c>
      <c r="AB76" s="175">
        <v>8428.0499999999993</v>
      </c>
      <c r="AC76" s="227">
        <f>AB76/$AB$78*100</f>
        <v>35.537475833774316</v>
      </c>
      <c r="AD76" s="225"/>
      <c r="AE76" s="175"/>
      <c r="AF76" s="176"/>
      <c r="AG76" s="174"/>
      <c r="AH76" s="175"/>
      <c r="AI76" s="177"/>
      <c r="AJ76" s="174"/>
      <c r="AK76" s="175"/>
      <c r="AL76" s="177"/>
      <c r="AM76" s="174"/>
      <c r="AN76" s="175"/>
      <c r="AO76" s="177"/>
      <c r="AP76" s="174"/>
      <c r="AQ76" s="175"/>
      <c r="AR76" s="177"/>
      <c r="AS76" s="174"/>
      <c r="AT76" s="175"/>
      <c r="AU76" s="177"/>
      <c r="AV76" s="174"/>
      <c r="AW76" s="175"/>
      <c r="AX76" s="177"/>
      <c r="AY76" s="174"/>
      <c r="AZ76" s="175"/>
      <c r="BA76" s="177"/>
      <c r="BB76" s="174"/>
      <c r="BC76" s="175"/>
      <c r="BD76" s="177"/>
      <c r="BG76" s="55"/>
    </row>
    <row r="77" spans="2:61" s="56" customFormat="1">
      <c r="B77" s="226">
        <v>2029</v>
      </c>
      <c r="C77" s="173" t="s">
        <v>406</v>
      </c>
      <c r="D77" s="32" t="s">
        <v>515</v>
      </c>
      <c r="E77" s="116">
        <v>0</v>
      </c>
      <c r="F77" s="27">
        <v>0</v>
      </c>
      <c r="G77" s="27" t="s">
        <v>405</v>
      </c>
      <c r="H77" s="238">
        <v>1</v>
      </c>
      <c r="I77" s="228">
        <v>36.08</v>
      </c>
      <c r="J77" s="175">
        <v>10868.51</v>
      </c>
      <c r="K77" s="235">
        <f>J77/$J$78*100</f>
        <v>42.175719520566687</v>
      </c>
      <c r="L77" s="228">
        <v>35.24</v>
      </c>
      <c r="M77" s="175">
        <v>9529.33</v>
      </c>
      <c r="N77" s="227">
        <f>M77/$M$78*100</f>
        <v>32.700406158677779</v>
      </c>
      <c r="O77" s="225">
        <v>39.49</v>
      </c>
      <c r="P77" s="175">
        <v>5763.8</v>
      </c>
      <c r="Q77" s="177">
        <f>P77/$P$78*100</f>
        <v>25.720938659412436</v>
      </c>
      <c r="R77" s="228" t="s">
        <v>3</v>
      </c>
      <c r="S77" s="175">
        <v>0</v>
      </c>
      <c r="T77" s="227">
        <f>S77/$S$78*100</f>
        <v>0</v>
      </c>
      <c r="U77" s="225" t="s">
        <v>3</v>
      </c>
      <c r="V77" s="175">
        <v>0</v>
      </c>
      <c r="W77" s="177">
        <f>V77/$V$78*100</f>
        <v>0</v>
      </c>
      <c r="X77" s="228">
        <v>39.630000000000003</v>
      </c>
      <c r="Y77" s="175">
        <v>5208.8100000000004</v>
      </c>
      <c r="Z77" s="227">
        <f>Y77/$Y$78*100</f>
        <v>29.46649499407707</v>
      </c>
      <c r="AA77" s="225">
        <v>38.85</v>
      </c>
      <c r="AB77" s="175">
        <v>9612.75</v>
      </c>
      <c r="AC77" s="227">
        <f>AB77/$AB$78*100</f>
        <v>40.532848146500569</v>
      </c>
      <c r="AD77" s="225"/>
      <c r="AE77" s="175"/>
      <c r="AF77" s="176"/>
      <c r="AG77" s="174"/>
      <c r="AH77" s="175"/>
      <c r="AI77" s="177"/>
      <c r="AJ77" s="174"/>
      <c r="AK77" s="175"/>
      <c r="AL77" s="177"/>
      <c r="AM77" s="174"/>
      <c r="AN77" s="175"/>
      <c r="AO77" s="177"/>
      <c r="AP77" s="174"/>
      <c r="AQ77" s="175"/>
      <c r="AR77" s="177"/>
      <c r="AS77" s="174"/>
      <c r="AT77" s="175"/>
      <c r="AU77" s="177"/>
      <c r="AV77" s="174"/>
      <c r="AW77" s="175"/>
      <c r="AX77" s="177"/>
      <c r="AY77" s="174"/>
      <c r="AZ77" s="175"/>
      <c r="BA77" s="177"/>
      <c r="BB77" s="174"/>
      <c r="BC77" s="175"/>
      <c r="BD77" s="177"/>
      <c r="BG77" s="55"/>
    </row>
    <row r="78" spans="2:61" ht="14.7" thickBot="1">
      <c r="B78" s="212"/>
      <c r="C78" s="213"/>
      <c r="D78" s="213"/>
      <c r="E78" s="214"/>
      <c r="F78" s="240"/>
      <c r="G78" s="215"/>
      <c r="H78" s="239"/>
      <c r="I78" s="236"/>
      <c r="J78" s="217">
        <f>SUM(J73:J77)</f>
        <v>25769.59</v>
      </c>
      <c r="K78" s="219"/>
      <c r="L78" s="232"/>
      <c r="M78" s="217">
        <f>SUM(M73:M77)</f>
        <v>29141.32</v>
      </c>
      <c r="N78" s="219"/>
      <c r="O78" s="218"/>
      <c r="P78" s="217">
        <f>SUM(P73:P77)</f>
        <v>22408.98</v>
      </c>
      <c r="Q78" s="217"/>
      <c r="R78" s="232"/>
      <c r="S78" s="217">
        <f>SUM(S73:S77)</f>
        <v>18593.239999999998</v>
      </c>
      <c r="T78" s="219"/>
      <c r="U78" s="218"/>
      <c r="V78" s="217">
        <f>SUM(V73:V77)</f>
        <v>22574.79</v>
      </c>
      <c r="W78" s="217"/>
      <c r="X78" s="224"/>
      <c r="Y78" s="217">
        <f>SUM(Y73:Y77)</f>
        <v>17677.060000000001</v>
      </c>
      <c r="Z78" s="219"/>
      <c r="AA78" s="217"/>
      <c r="AB78" s="217">
        <f>SUM(AB73:AB77)</f>
        <v>23715.949999999997</v>
      </c>
      <c r="AC78" s="219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 s="127"/>
      <c r="AX78" s="172"/>
      <c r="AY78" s="172"/>
      <c r="AZ78" s="127"/>
      <c r="BA78" s="172"/>
      <c r="BB78" s="172"/>
      <c r="BC78" s="127"/>
      <c r="BD78" s="172"/>
      <c r="BE78"/>
      <c r="BF78"/>
      <c r="BG78"/>
      <c r="BI78"/>
    </row>
    <row r="79" spans="2:61">
      <c r="D79" t="s">
        <v>526</v>
      </c>
    </row>
    <row r="80" spans="2:61">
      <c r="D80" t="s">
        <v>472</v>
      </c>
    </row>
    <row r="81" spans="2:77">
      <c r="D81"/>
    </row>
    <row r="82" spans="2:77" ht="20.7">
      <c r="B82" s="34" t="s">
        <v>272</v>
      </c>
      <c r="E82" s="12"/>
      <c r="G82" s="16"/>
      <c r="H82" s="15"/>
      <c r="I82" s="2"/>
      <c r="J82" s="36"/>
      <c r="K82" s="36"/>
      <c r="L82" s="36"/>
      <c r="M82" s="36"/>
      <c r="N82" s="36"/>
      <c r="O82" s="36"/>
      <c r="P82" s="36"/>
      <c r="Q82" s="36"/>
      <c r="R82" s="36"/>
      <c r="AA82"/>
      <c r="AB82"/>
      <c r="AC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I82"/>
    </row>
    <row r="83" spans="2:77">
      <c r="B83" s="12" t="s">
        <v>473</v>
      </c>
      <c r="C83" t="s">
        <v>474</v>
      </c>
      <c r="E83"/>
      <c r="F83"/>
      <c r="G83" s="12"/>
      <c r="H83" s="12"/>
      <c r="I83"/>
      <c r="J83" s="12"/>
      <c r="K83"/>
      <c r="M83" s="12"/>
      <c r="P83" s="12"/>
      <c r="R83" s="36"/>
      <c r="AA83"/>
      <c r="AB83"/>
      <c r="AC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I83"/>
    </row>
    <row r="84" spans="2:77">
      <c r="B84" s="12" t="s">
        <v>475</v>
      </c>
      <c r="C84" t="s">
        <v>476</v>
      </c>
      <c r="E84"/>
      <c r="F84"/>
      <c r="G84" s="12"/>
      <c r="H84" s="12"/>
      <c r="I84"/>
      <c r="J84" s="12"/>
      <c r="K84"/>
      <c r="M84" s="12"/>
      <c r="P84" s="12"/>
      <c r="R84" s="36"/>
      <c r="AA84"/>
      <c r="AB84"/>
      <c r="AC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I84"/>
    </row>
    <row r="85" spans="2:77">
      <c r="B85" s="12" t="s">
        <v>457</v>
      </c>
      <c r="C85" t="s">
        <v>477</v>
      </c>
      <c r="E85"/>
      <c r="F85"/>
      <c r="G85" s="12"/>
      <c r="H85" s="12"/>
      <c r="I85"/>
      <c r="J85" s="12"/>
      <c r="K85"/>
      <c r="M85" s="12"/>
      <c r="P85" s="12"/>
      <c r="R85" s="36"/>
      <c r="AA85"/>
      <c r="AB85"/>
      <c r="AC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I85"/>
    </row>
    <row r="86" spans="2:77">
      <c r="B86"/>
      <c r="C86" t="s">
        <v>458</v>
      </c>
      <c r="E86"/>
      <c r="F86"/>
      <c r="G86" s="12"/>
      <c r="H86" s="12"/>
      <c r="I86"/>
      <c r="J86" s="12"/>
      <c r="K86"/>
      <c r="M86" s="12"/>
      <c r="P86" s="12"/>
      <c r="R86" s="36"/>
      <c r="AA86"/>
      <c r="AB86"/>
      <c r="AC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I86"/>
    </row>
    <row r="87" spans="2:77">
      <c r="B87" s="12" t="s">
        <v>459</v>
      </c>
      <c r="C87" t="s">
        <v>494</v>
      </c>
      <c r="E87"/>
      <c r="F87"/>
      <c r="G87" s="12"/>
      <c r="H87" s="12"/>
      <c r="I87"/>
      <c r="J87" s="12"/>
      <c r="K87"/>
      <c r="M87" s="12"/>
      <c r="P87" s="12"/>
      <c r="R87" s="36"/>
      <c r="AA87"/>
      <c r="AB87"/>
      <c r="AC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I87"/>
    </row>
    <row r="88" spans="2:77">
      <c r="B88" s="12" t="s">
        <v>460</v>
      </c>
      <c r="C88" t="s">
        <v>495</v>
      </c>
      <c r="E88"/>
      <c r="F88"/>
      <c r="G88" s="12"/>
      <c r="H88" s="12"/>
      <c r="I88"/>
      <c r="J88" s="12"/>
      <c r="K88"/>
      <c r="M88" s="12"/>
      <c r="P88" s="12"/>
      <c r="R88" s="36"/>
      <c r="AA88"/>
      <c r="AB88"/>
      <c r="AC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I88"/>
    </row>
    <row r="89" spans="2:77">
      <c r="B89" s="12" t="s">
        <v>461</v>
      </c>
      <c r="C89" t="s">
        <v>518</v>
      </c>
      <c r="E89" s="12"/>
      <c r="G89" s="16"/>
      <c r="H89" s="15"/>
      <c r="I89" s="2"/>
      <c r="J89" s="36"/>
      <c r="K89" s="36"/>
      <c r="L89" s="36"/>
      <c r="M89" s="36"/>
      <c r="N89" s="36"/>
      <c r="O89" s="36"/>
      <c r="P89" s="36"/>
      <c r="Q89" s="36"/>
      <c r="R89" s="36"/>
      <c r="AA89"/>
      <c r="AB89"/>
      <c r="AC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I89"/>
    </row>
    <row r="90" spans="2:77">
      <c r="B90" s="12" t="s">
        <v>478</v>
      </c>
      <c r="C90" t="s">
        <v>462</v>
      </c>
      <c r="E90" s="12"/>
      <c r="G90" s="16"/>
      <c r="H90" s="15"/>
      <c r="I90" s="2"/>
      <c r="J90" s="36"/>
      <c r="K90" s="36"/>
      <c r="L90" s="36"/>
      <c r="M90" s="36"/>
      <c r="N90" s="36"/>
      <c r="O90" s="36"/>
      <c r="P90" s="36"/>
      <c r="Q90" s="36"/>
      <c r="R90" s="36"/>
      <c r="AA90"/>
      <c r="AB90"/>
      <c r="AC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I90"/>
    </row>
    <row r="91" spans="2:77">
      <c r="B91" s="12" t="s">
        <v>479</v>
      </c>
      <c r="C91" t="s">
        <v>463</v>
      </c>
      <c r="E91" s="12"/>
      <c r="G91" s="16"/>
      <c r="H91" s="15"/>
      <c r="I91" s="2"/>
      <c r="J91" s="36"/>
      <c r="K91" s="36"/>
      <c r="L91" s="36"/>
      <c r="M91" s="36"/>
      <c r="N91" s="36"/>
      <c r="O91" s="36"/>
      <c r="P91" s="36"/>
      <c r="Q91" s="36"/>
      <c r="R91" s="36"/>
      <c r="AA91"/>
      <c r="AB91"/>
      <c r="AC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I91"/>
    </row>
    <row r="92" spans="2:77">
      <c r="E92" s="2"/>
      <c r="I92"/>
      <c r="J92"/>
      <c r="K92"/>
      <c r="L92" s="35"/>
      <c r="M92" s="12"/>
      <c r="N92" s="12"/>
      <c r="O92" s="12"/>
      <c r="P92" s="12"/>
      <c r="Q92" s="12"/>
      <c r="R92" s="35"/>
      <c r="S92" s="12"/>
      <c r="T92" s="12"/>
      <c r="U92" s="12"/>
      <c r="V92" s="12"/>
      <c r="W92" s="12"/>
      <c r="X92" s="35"/>
      <c r="Y92" s="12"/>
      <c r="Z92" s="12"/>
      <c r="AA92" s="35"/>
      <c r="AB92" s="12"/>
      <c r="AC92" s="12"/>
      <c r="AD92" s="36"/>
      <c r="AE92" s="36"/>
      <c r="AF92" s="36"/>
      <c r="AG92"/>
      <c r="AH92"/>
      <c r="AI92"/>
      <c r="AJ92"/>
      <c r="AK92"/>
      <c r="AL92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13"/>
      <c r="BF92"/>
      <c r="BG92" s="36"/>
      <c r="BI92"/>
      <c r="BY92" s="36"/>
    </row>
    <row r="93" spans="2:77">
      <c r="B93" s="61"/>
      <c r="C93" s="334" t="s">
        <v>522</v>
      </c>
      <c r="D93" s="335"/>
      <c r="E93" s="2"/>
      <c r="I93"/>
      <c r="J93"/>
      <c r="K93"/>
      <c r="L93" s="35"/>
      <c r="M93" s="12"/>
      <c r="N93" s="12"/>
      <c r="O93" s="12"/>
      <c r="P93" s="12"/>
      <c r="Q93" s="12"/>
      <c r="R93" s="35"/>
      <c r="S93" s="12"/>
      <c r="T93" s="12"/>
      <c r="U93" s="12"/>
      <c r="V93" s="12"/>
      <c r="W93" s="12"/>
      <c r="X93" s="35"/>
      <c r="Y93" s="12"/>
      <c r="Z93" s="12"/>
      <c r="AA93" s="35"/>
      <c r="AB93" s="12"/>
      <c r="AC93" s="12"/>
      <c r="AD93" s="36"/>
      <c r="AE93" s="36"/>
      <c r="AF93" s="36"/>
      <c r="AG93"/>
      <c r="AH93"/>
      <c r="AI93"/>
      <c r="AJ93"/>
      <c r="AK93"/>
      <c r="AL93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13"/>
      <c r="BF93"/>
      <c r="BG93" s="36"/>
      <c r="BI93"/>
      <c r="BY93" s="36"/>
    </row>
    <row r="94" spans="2:77">
      <c r="B94" s="62"/>
      <c r="C94" s="334" t="s">
        <v>528</v>
      </c>
      <c r="D94" s="335"/>
    </row>
  </sheetData>
  <mergeCells count="20">
    <mergeCell ref="O71:Q71"/>
    <mergeCell ref="R71:T71"/>
    <mergeCell ref="U71:W71"/>
    <mergeCell ref="A1:P1"/>
    <mergeCell ref="C93:D93"/>
    <mergeCell ref="C94:D94"/>
    <mergeCell ref="AD2:BD2"/>
    <mergeCell ref="I7:K7"/>
    <mergeCell ref="L7:N7"/>
    <mergeCell ref="O7:Q7"/>
    <mergeCell ref="R7:T7"/>
    <mergeCell ref="U7:W7"/>
    <mergeCell ref="X7:Z7"/>
    <mergeCell ref="AA7:AC7"/>
    <mergeCell ref="X71:Z71"/>
    <mergeCell ref="AA71:AC71"/>
    <mergeCell ref="B5:AC5"/>
    <mergeCell ref="B69:AC69"/>
    <mergeCell ref="I71:K71"/>
    <mergeCell ref="L71:N71"/>
  </mergeCells>
  <phoneticPr fontId="18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744B-A670-4A88-9227-E06E860F9467}">
  <dimension ref="B1:BY55"/>
  <sheetViews>
    <sheetView topLeftCell="B1" zoomScale="70" zoomScaleNormal="70" workbookViewId="0">
      <pane xSplit="5" ySplit="8" topLeftCell="G9" activePane="bottomRight" state="frozen"/>
      <selection activeCell="B1" sqref="B1"/>
      <selection pane="topRight" activeCell="F1" sqref="F1"/>
      <selection pane="bottomLeft" activeCell="B4" sqref="B4"/>
      <selection pane="bottomRight" activeCell="N3" sqref="N3"/>
    </sheetView>
  </sheetViews>
  <sheetFormatPr defaultColWidth="8.87890625" defaultRowHeight="14.35"/>
  <cols>
    <col min="2" max="2" width="9.46875" customWidth="1"/>
    <col min="3" max="3" width="8" customWidth="1"/>
    <col min="4" max="4" width="8.87890625" customWidth="1"/>
    <col min="5" max="5" width="72.52734375" style="12" customWidth="1"/>
    <col min="6" max="6" width="11.9375" customWidth="1"/>
    <col min="7" max="7" width="5.76171875" customWidth="1"/>
    <col min="8" max="8" width="9.64453125" customWidth="1"/>
    <col min="9" max="9" width="7.41015625" customWidth="1"/>
    <col min="10" max="10" width="6.76171875" style="12" customWidth="1"/>
    <col min="11" max="11" width="8.52734375" customWidth="1"/>
    <col min="12" max="12" width="6.76171875" customWidth="1"/>
    <col min="13" max="13" width="7.41015625" customWidth="1"/>
    <col min="14" max="14" width="9" customWidth="1"/>
    <col min="15" max="15" width="6" customWidth="1"/>
    <col min="16" max="16" width="7.41015625" customWidth="1"/>
    <col min="17" max="17" width="8.52734375" customWidth="1"/>
    <col min="18" max="18" width="6" customWidth="1"/>
    <col min="19" max="19" width="6.76171875" customWidth="1"/>
    <col min="20" max="20" width="9.41015625" customWidth="1"/>
    <col min="21" max="21" width="6.64453125" customWidth="1"/>
    <col min="22" max="22" width="6.76171875" customWidth="1"/>
    <col min="23" max="23" width="10.234375" customWidth="1"/>
    <col min="24" max="24" width="6.87890625" customWidth="1"/>
    <col min="25" max="25" width="6" customWidth="1"/>
    <col min="26" max="26" width="8.52734375" customWidth="1"/>
    <col min="27" max="27" width="5.87890625" customWidth="1"/>
    <col min="28" max="29" width="7.41015625" style="57" customWidth="1"/>
  </cols>
  <sheetData>
    <row r="1" spans="2:33" ht="24" customHeight="1">
      <c r="B1" s="357" t="s">
        <v>529</v>
      </c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AB1"/>
      <c r="AC1"/>
    </row>
    <row r="2" spans="2:33" ht="20.7">
      <c r="B2" s="14"/>
      <c r="AB2"/>
      <c r="AC2"/>
    </row>
    <row r="3" spans="2:33" ht="20.7">
      <c r="B3" s="14"/>
      <c r="C3" s="37" t="s">
        <v>533</v>
      </c>
      <c r="AB3"/>
      <c r="AC3"/>
    </row>
    <row r="4" spans="2:33" ht="20.7">
      <c r="B4" s="14"/>
      <c r="AB4"/>
      <c r="AC4"/>
    </row>
    <row r="5" spans="2:33" ht="23.35">
      <c r="B5" s="355" t="s">
        <v>516</v>
      </c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165"/>
      <c r="AC5" s="164"/>
      <c r="AD5" s="165"/>
      <c r="AE5" s="165"/>
      <c r="AG5" s="36"/>
    </row>
    <row r="6" spans="2:33" ht="23.7" thickBot="1"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165"/>
      <c r="AC6" s="164"/>
      <c r="AD6" s="165"/>
      <c r="AE6" s="165"/>
      <c r="AG6" s="36"/>
    </row>
    <row r="7" spans="2:33" s="20" customFormat="1" ht="21" thickBot="1">
      <c r="E7" s="17"/>
      <c r="G7" s="336" t="s">
        <v>464</v>
      </c>
      <c r="H7" s="337"/>
      <c r="I7" s="338"/>
      <c r="J7" s="340" t="s">
        <v>0</v>
      </c>
      <c r="K7" s="340"/>
      <c r="L7" s="340"/>
      <c r="M7" s="351" t="s">
        <v>51</v>
      </c>
      <c r="N7" s="342"/>
      <c r="O7" s="352"/>
      <c r="P7" s="344" t="s">
        <v>52</v>
      </c>
      <c r="Q7" s="344"/>
      <c r="R7" s="344"/>
      <c r="S7" s="353" t="s">
        <v>2</v>
      </c>
      <c r="T7" s="346"/>
      <c r="U7" s="354"/>
      <c r="V7" s="348" t="s">
        <v>1</v>
      </c>
      <c r="W7" s="348"/>
      <c r="X7" s="348"/>
      <c r="Y7" s="356" t="s">
        <v>53</v>
      </c>
      <c r="Z7" s="332"/>
      <c r="AA7" s="333"/>
    </row>
    <row r="8" spans="2:33" ht="16.7" thickBot="1">
      <c r="C8" s="233" t="s">
        <v>11</v>
      </c>
      <c r="D8" s="262" t="s">
        <v>10</v>
      </c>
      <c r="E8" s="263" t="s">
        <v>9</v>
      </c>
      <c r="F8" s="295" t="s">
        <v>524</v>
      </c>
      <c r="G8" s="296" t="s">
        <v>63</v>
      </c>
      <c r="H8" s="264" t="s">
        <v>89</v>
      </c>
      <c r="I8" s="265" t="s">
        <v>74</v>
      </c>
      <c r="J8" s="297" t="s">
        <v>6</v>
      </c>
      <c r="K8" s="264" t="s">
        <v>407</v>
      </c>
      <c r="L8" s="194" t="s">
        <v>279</v>
      </c>
      <c r="M8" s="233" t="s">
        <v>87</v>
      </c>
      <c r="N8" s="264" t="s">
        <v>76</v>
      </c>
      <c r="O8" s="265" t="s">
        <v>77</v>
      </c>
      <c r="P8" s="304" t="s">
        <v>78</v>
      </c>
      <c r="Q8" s="264" t="s">
        <v>79</v>
      </c>
      <c r="R8" s="313" t="s">
        <v>80</v>
      </c>
      <c r="S8" s="296" t="s">
        <v>81</v>
      </c>
      <c r="T8" s="264" t="s">
        <v>82</v>
      </c>
      <c r="U8" s="265" t="s">
        <v>83</v>
      </c>
      <c r="V8" s="304" t="s">
        <v>84</v>
      </c>
      <c r="W8" s="264" t="s">
        <v>85</v>
      </c>
      <c r="X8" s="313" t="s">
        <v>86</v>
      </c>
      <c r="Y8" s="296" t="s">
        <v>75</v>
      </c>
      <c r="Z8" s="264" t="s">
        <v>7</v>
      </c>
      <c r="AA8" s="265" t="s">
        <v>60</v>
      </c>
      <c r="AB8"/>
      <c r="AC8"/>
    </row>
    <row r="9" spans="2:33">
      <c r="C9" s="326" t="s">
        <v>91</v>
      </c>
      <c r="D9" s="331" t="s">
        <v>92</v>
      </c>
      <c r="E9" s="50" t="s">
        <v>93</v>
      </c>
      <c r="F9" s="51">
        <v>0</v>
      </c>
      <c r="G9" s="302">
        <v>6.29</v>
      </c>
      <c r="H9" s="52">
        <v>2811.19</v>
      </c>
      <c r="I9" s="266">
        <f t="shared" ref="I9:I20" si="0">H9/$H$21*100</f>
        <v>8.4929031197753737</v>
      </c>
      <c r="J9" s="49" t="s">
        <v>408</v>
      </c>
      <c r="K9" s="187">
        <v>1245</v>
      </c>
      <c r="L9" s="187">
        <f t="shared" ref="L9:L20" si="1">K9/$K$21*100</f>
        <v>9.5069736897366681</v>
      </c>
      <c r="M9" s="305" t="s">
        <v>409</v>
      </c>
      <c r="N9" s="187">
        <v>642.29999999999995</v>
      </c>
      <c r="O9" s="30">
        <f t="shared" ref="O9:O20" si="2">N9/$N$21*100</f>
        <v>6.9336494118866252</v>
      </c>
      <c r="P9" s="115">
        <v>6.05</v>
      </c>
      <c r="Q9" s="187">
        <v>2593.7600000000002</v>
      </c>
      <c r="R9" s="187">
        <f t="shared" ref="R9:R20" si="3">Q9/$Q$21*100</f>
        <v>7.749136581460105</v>
      </c>
      <c r="S9" s="53" t="s">
        <v>410</v>
      </c>
      <c r="T9" s="187">
        <v>840.4</v>
      </c>
      <c r="U9" s="30">
        <f t="shared" ref="U9:U20" si="4">T9/$T$21*100</f>
        <v>5.1596488933830145</v>
      </c>
      <c r="V9" s="115">
        <v>6.3</v>
      </c>
      <c r="W9" s="187">
        <v>1087.29</v>
      </c>
      <c r="X9" s="187">
        <f t="shared" ref="X9:X20" si="5">W9/$W$21*100</f>
        <v>4.3591214643703804</v>
      </c>
      <c r="Y9" s="53">
        <v>6.04</v>
      </c>
      <c r="Z9" s="187">
        <v>1588.27</v>
      </c>
      <c r="AA9" s="266">
        <f t="shared" ref="AA9:AA20" si="6">Z9/$Z$21*100</f>
        <v>5.3945852055215129</v>
      </c>
      <c r="AB9"/>
      <c r="AC9"/>
    </row>
    <row r="10" spans="2:33">
      <c r="C10" s="327" t="s">
        <v>94</v>
      </c>
      <c r="D10" s="22" t="s">
        <v>92</v>
      </c>
      <c r="E10" s="23" t="s">
        <v>411</v>
      </c>
      <c r="F10" s="130">
        <v>0</v>
      </c>
      <c r="G10" s="53" t="s">
        <v>3</v>
      </c>
      <c r="H10" s="187">
        <v>0</v>
      </c>
      <c r="I10" s="30">
        <f t="shared" si="0"/>
        <v>0</v>
      </c>
      <c r="J10" s="269">
        <v>10.83</v>
      </c>
      <c r="K10" s="268">
        <v>3001.04</v>
      </c>
      <c r="L10" s="268">
        <f t="shared" si="1"/>
        <v>22.916311905098258</v>
      </c>
      <c r="M10" s="306" t="s">
        <v>412</v>
      </c>
      <c r="N10" s="268">
        <v>2385.3000000000002</v>
      </c>
      <c r="O10" s="307">
        <f t="shared" si="2"/>
        <v>25.749391160163736</v>
      </c>
      <c r="P10" s="269">
        <v>10.050000000000001</v>
      </c>
      <c r="Q10" s="268">
        <v>3530.52</v>
      </c>
      <c r="R10" s="268">
        <f t="shared" si="3"/>
        <v>10.547807693686588</v>
      </c>
      <c r="S10" s="314">
        <v>10.01</v>
      </c>
      <c r="T10" s="268">
        <v>5220.5600000000004</v>
      </c>
      <c r="U10" s="307">
        <f t="shared" si="4"/>
        <v>32.051709456020504</v>
      </c>
      <c r="V10" s="269">
        <v>9.9499999999999993</v>
      </c>
      <c r="W10" s="268">
        <v>2588.61</v>
      </c>
      <c r="X10" s="268">
        <f t="shared" si="5"/>
        <v>10.378156162462462</v>
      </c>
      <c r="Y10" s="53" t="s">
        <v>3</v>
      </c>
      <c r="Z10" s="187">
        <v>0</v>
      </c>
      <c r="AA10" s="30">
        <f t="shared" si="6"/>
        <v>0</v>
      </c>
      <c r="AB10"/>
      <c r="AC10"/>
    </row>
    <row r="11" spans="2:33">
      <c r="C11" s="327">
        <v>513</v>
      </c>
      <c r="D11" s="22" t="s">
        <v>102</v>
      </c>
      <c r="E11" s="23" t="s">
        <v>413</v>
      </c>
      <c r="F11" s="270">
        <v>0</v>
      </c>
      <c r="G11" s="53">
        <v>8.92</v>
      </c>
      <c r="H11" s="187">
        <v>5649.93</v>
      </c>
      <c r="I11" s="30">
        <f t="shared" si="0"/>
        <v>17.069037711258396</v>
      </c>
      <c r="J11" s="298">
        <v>10.95</v>
      </c>
      <c r="K11" s="187">
        <v>2774.36</v>
      </c>
      <c r="L11" s="187">
        <f t="shared" si="1"/>
        <v>21.185355442456082</v>
      </c>
      <c r="M11" s="305">
        <v>11.43</v>
      </c>
      <c r="N11" s="187">
        <v>1599.77</v>
      </c>
      <c r="O11" s="30">
        <f t="shared" si="2"/>
        <v>17.269569235020814</v>
      </c>
      <c r="P11" s="115">
        <v>9.0500000000000007</v>
      </c>
      <c r="Q11" s="187">
        <v>7768.7</v>
      </c>
      <c r="R11" s="187">
        <f t="shared" si="3"/>
        <v>23.209825643231873</v>
      </c>
      <c r="S11" s="53">
        <v>9.07</v>
      </c>
      <c r="T11" s="187">
        <v>5454.19</v>
      </c>
      <c r="U11" s="30">
        <f t="shared" si="4"/>
        <v>33.486084480962283</v>
      </c>
      <c r="V11" s="115">
        <v>9.06</v>
      </c>
      <c r="W11" s="187">
        <v>3703.94</v>
      </c>
      <c r="X11" s="187">
        <f t="shared" si="5"/>
        <v>14.849694521921498</v>
      </c>
      <c r="Y11" s="53">
        <v>8.92</v>
      </c>
      <c r="Z11" s="187">
        <v>3648.6</v>
      </c>
      <c r="AA11" s="30">
        <f t="shared" si="6"/>
        <v>12.392529973408672</v>
      </c>
      <c r="AB11"/>
      <c r="AC11"/>
    </row>
    <row r="12" spans="2:33">
      <c r="C12" s="327">
        <v>529</v>
      </c>
      <c r="D12" s="22" t="s">
        <v>104</v>
      </c>
      <c r="E12" s="23" t="s">
        <v>414</v>
      </c>
      <c r="F12" s="271">
        <v>0</v>
      </c>
      <c r="G12" s="53">
        <v>8.75</v>
      </c>
      <c r="H12" s="187">
        <v>1381.44</v>
      </c>
      <c r="I12" s="30">
        <f t="shared" si="0"/>
        <v>4.1734767432235076</v>
      </c>
      <c r="J12" s="299" t="s">
        <v>415</v>
      </c>
      <c r="K12" s="187">
        <v>658.03</v>
      </c>
      <c r="L12" s="187">
        <f t="shared" si="1"/>
        <v>5.0247983108894934</v>
      </c>
      <c r="M12" s="305" t="s">
        <v>416</v>
      </c>
      <c r="N12" s="187">
        <v>294.49</v>
      </c>
      <c r="O12" s="30">
        <f t="shared" si="2"/>
        <v>3.1790291379518805</v>
      </c>
      <c r="P12" s="115">
        <v>8.93</v>
      </c>
      <c r="Q12" s="187">
        <v>1669.66</v>
      </c>
      <c r="R12" s="187">
        <f t="shared" si="3"/>
        <v>4.9882885789744149</v>
      </c>
      <c r="S12" s="53">
        <v>8.89</v>
      </c>
      <c r="T12" s="187">
        <v>1365.11</v>
      </c>
      <c r="U12" s="30">
        <f t="shared" si="4"/>
        <v>8.3811141133342293</v>
      </c>
      <c r="V12" s="115">
        <v>8.77</v>
      </c>
      <c r="W12" s="187">
        <v>1024.44</v>
      </c>
      <c r="X12" s="187">
        <f t="shared" si="5"/>
        <v>4.1071456492376388</v>
      </c>
      <c r="Y12" s="53">
        <v>8.75</v>
      </c>
      <c r="Z12" s="187">
        <v>732.43</v>
      </c>
      <c r="AA12" s="30">
        <f t="shared" si="6"/>
        <v>2.4877105543012972</v>
      </c>
      <c r="AB12"/>
      <c r="AC12"/>
    </row>
    <row r="13" spans="2:33">
      <c r="C13" s="327" t="s">
        <v>109</v>
      </c>
      <c r="D13" s="22" t="s">
        <v>18</v>
      </c>
      <c r="E13" s="22" t="s">
        <v>110</v>
      </c>
      <c r="F13" s="130" t="s">
        <v>484</v>
      </c>
      <c r="G13" s="53" t="s">
        <v>3</v>
      </c>
      <c r="H13" s="187">
        <v>0</v>
      </c>
      <c r="I13" s="30">
        <f t="shared" si="0"/>
        <v>0</v>
      </c>
      <c r="J13" s="115">
        <v>12.02</v>
      </c>
      <c r="K13" s="187">
        <v>3383.28</v>
      </c>
      <c r="L13" s="187">
        <f t="shared" si="1"/>
        <v>25.835143730933556</v>
      </c>
      <c r="M13" s="305">
        <v>12.69</v>
      </c>
      <c r="N13" s="187">
        <v>3304.05</v>
      </c>
      <c r="O13" s="30">
        <f t="shared" si="2"/>
        <v>35.667327322659204</v>
      </c>
      <c r="P13" s="115">
        <v>11.1</v>
      </c>
      <c r="Q13" s="187">
        <v>12365.27</v>
      </c>
      <c r="R13" s="187">
        <f t="shared" si="3"/>
        <v>36.942572210470971</v>
      </c>
      <c r="S13" s="315" t="s">
        <v>3</v>
      </c>
      <c r="T13" s="273">
        <v>0</v>
      </c>
      <c r="U13" s="54">
        <f t="shared" si="4"/>
        <v>0</v>
      </c>
      <c r="V13" s="115" t="s">
        <v>301</v>
      </c>
      <c r="W13" s="187">
        <v>634.5</v>
      </c>
      <c r="X13" s="187">
        <f t="shared" si="5"/>
        <v>2.543813121745814</v>
      </c>
      <c r="Y13" s="53" t="s">
        <v>417</v>
      </c>
      <c r="Z13" s="187">
        <v>1097.04</v>
      </c>
      <c r="AA13" s="30">
        <f t="shared" si="6"/>
        <v>3.7261144225259688</v>
      </c>
      <c r="AB13"/>
      <c r="AC13"/>
    </row>
    <row r="14" spans="2:33">
      <c r="C14" s="327" t="s">
        <v>90</v>
      </c>
      <c r="D14" s="22" t="s">
        <v>18</v>
      </c>
      <c r="E14" s="23" t="s">
        <v>418</v>
      </c>
      <c r="F14" s="130" t="s">
        <v>112</v>
      </c>
      <c r="G14" s="53">
        <v>12.15</v>
      </c>
      <c r="H14" s="187">
        <v>1965.6</v>
      </c>
      <c r="I14" s="30">
        <f t="shared" si="0"/>
        <v>5.9382860540306694</v>
      </c>
      <c r="J14" s="272" t="s">
        <v>3</v>
      </c>
      <c r="K14" s="273">
        <v>0</v>
      </c>
      <c r="L14" s="273">
        <f t="shared" si="1"/>
        <v>0</v>
      </c>
      <c r="M14" s="308" t="s">
        <v>3</v>
      </c>
      <c r="N14" s="273">
        <v>0</v>
      </c>
      <c r="O14" s="54">
        <f t="shared" si="2"/>
        <v>0</v>
      </c>
      <c r="P14" s="272" t="s">
        <v>3</v>
      </c>
      <c r="Q14" s="273">
        <v>0</v>
      </c>
      <c r="R14" s="273">
        <f t="shared" si="3"/>
        <v>0</v>
      </c>
      <c r="S14" s="315" t="s">
        <v>3</v>
      </c>
      <c r="T14" s="273">
        <v>0</v>
      </c>
      <c r="U14" s="54">
        <f t="shared" si="4"/>
        <v>0</v>
      </c>
      <c r="V14" s="115">
        <v>12.29</v>
      </c>
      <c r="W14" s="187">
        <v>1154.24</v>
      </c>
      <c r="X14" s="187">
        <f t="shared" si="5"/>
        <v>4.627534842622361</v>
      </c>
      <c r="Y14" s="53">
        <v>12.25</v>
      </c>
      <c r="Z14" s="187">
        <v>1580.84</v>
      </c>
      <c r="AA14" s="30">
        <f t="shared" si="6"/>
        <v>5.369349088188172</v>
      </c>
      <c r="AB14"/>
      <c r="AC14"/>
    </row>
    <row r="15" spans="2:33">
      <c r="C15" s="327" t="s">
        <v>419</v>
      </c>
      <c r="D15" s="22" t="s">
        <v>18</v>
      </c>
      <c r="E15" s="23" t="s">
        <v>309</v>
      </c>
      <c r="F15" s="130" t="s">
        <v>112</v>
      </c>
      <c r="G15" s="53" t="s">
        <v>3</v>
      </c>
      <c r="H15" s="187">
        <v>0</v>
      </c>
      <c r="I15" s="30">
        <f t="shared" si="0"/>
        <v>0</v>
      </c>
      <c r="J15" s="115" t="s">
        <v>3</v>
      </c>
      <c r="K15" s="187">
        <v>0</v>
      </c>
      <c r="L15" s="187">
        <f t="shared" si="1"/>
        <v>0</v>
      </c>
      <c r="M15" s="305" t="s">
        <v>3</v>
      </c>
      <c r="N15" s="187">
        <v>0</v>
      </c>
      <c r="O15" s="30">
        <f t="shared" si="2"/>
        <v>0</v>
      </c>
      <c r="P15" s="115" t="s">
        <v>3</v>
      </c>
      <c r="Q15" s="187">
        <v>0</v>
      </c>
      <c r="R15" s="187">
        <f t="shared" si="3"/>
        <v>0</v>
      </c>
      <c r="S15" s="314">
        <v>13.93</v>
      </c>
      <c r="T15" s="268">
        <v>1194.81</v>
      </c>
      <c r="U15" s="307">
        <f t="shared" si="4"/>
        <v>7.3355546100701563</v>
      </c>
      <c r="V15" s="269">
        <v>13.82</v>
      </c>
      <c r="W15" s="268">
        <v>9929.08</v>
      </c>
      <c r="X15" s="268">
        <f t="shared" si="5"/>
        <v>39.807287613654729</v>
      </c>
      <c r="Y15" s="53" t="s">
        <v>3</v>
      </c>
      <c r="Z15" s="187">
        <v>0</v>
      </c>
      <c r="AA15" s="30">
        <f t="shared" si="6"/>
        <v>0</v>
      </c>
      <c r="AB15"/>
      <c r="AC15"/>
    </row>
    <row r="16" spans="2:33" s="56" customFormat="1">
      <c r="B16"/>
      <c r="C16" s="328">
        <v>628</v>
      </c>
      <c r="D16" s="173" t="s">
        <v>114</v>
      </c>
      <c r="E16" s="32" t="s">
        <v>420</v>
      </c>
      <c r="F16" s="275">
        <v>0</v>
      </c>
      <c r="G16" s="303" t="s">
        <v>3</v>
      </c>
      <c r="H16" s="276">
        <v>0</v>
      </c>
      <c r="I16" s="277">
        <f t="shared" si="0"/>
        <v>0</v>
      </c>
      <c r="J16" s="300" t="s">
        <v>421</v>
      </c>
      <c r="K16" s="276">
        <v>474.2</v>
      </c>
      <c r="L16" s="276">
        <f t="shared" si="1"/>
        <v>3.6210497378900626</v>
      </c>
      <c r="M16" s="309" t="s">
        <v>192</v>
      </c>
      <c r="N16" s="276">
        <v>83.1</v>
      </c>
      <c r="O16" s="277">
        <f t="shared" si="2"/>
        <v>0.89706720555469188</v>
      </c>
      <c r="P16" s="274">
        <v>12.21</v>
      </c>
      <c r="Q16" s="276">
        <v>1399.3</v>
      </c>
      <c r="R16" s="276">
        <f t="shared" si="3"/>
        <v>4.1805590410975277</v>
      </c>
      <c r="S16" s="303" t="s">
        <v>422</v>
      </c>
      <c r="T16" s="276">
        <v>450.3</v>
      </c>
      <c r="U16" s="277">
        <f t="shared" si="4"/>
        <v>2.7646238656477529</v>
      </c>
      <c r="V16" s="274" t="s">
        <v>423</v>
      </c>
      <c r="W16" s="276">
        <v>280.2</v>
      </c>
      <c r="X16" s="276">
        <f t="shared" si="5"/>
        <v>1.1233671185392862</v>
      </c>
      <c r="Y16" s="303" t="s">
        <v>424</v>
      </c>
      <c r="Z16" s="276">
        <v>439.7</v>
      </c>
      <c r="AA16" s="277">
        <f t="shared" si="6"/>
        <v>1.4934482895652559</v>
      </c>
    </row>
    <row r="17" spans="2:58">
      <c r="C17" s="327">
        <v>716</v>
      </c>
      <c r="D17" s="22" t="s">
        <v>141</v>
      </c>
      <c r="E17" s="23" t="s">
        <v>425</v>
      </c>
      <c r="F17" s="130">
        <v>0</v>
      </c>
      <c r="G17" s="53">
        <v>10.75</v>
      </c>
      <c r="H17" s="187">
        <v>3013.75</v>
      </c>
      <c r="I17" s="30">
        <f t="shared" si="0"/>
        <v>9.1048583614850056</v>
      </c>
      <c r="J17" s="115">
        <v>12.91</v>
      </c>
      <c r="K17" s="187">
        <v>1194.58</v>
      </c>
      <c r="L17" s="187">
        <f t="shared" si="1"/>
        <v>9.1219603456109475</v>
      </c>
      <c r="M17" s="305" t="s">
        <v>426</v>
      </c>
      <c r="N17" s="187">
        <v>660.82</v>
      </c>
      <c r="O17" s="30">
        <f t="shared" si="2"/>
        <v>7.1335734148574197</v>
      </c>
      <c r="P17" s="115">
        <v>11.1</v>
      </c>
      <c r="Q17" s="187">
        <v>3030</v>
      </c>
      <c r="R17" s="187">
        <f t="shared" si="3"/>
        <v>9.0524504355931601</v>
      </c>
      <c r="S17" s="53">
        <v>11.01</v>
      </c>
      <c r="T17" s="187">
        <v>1329.08</v>
      </c>
      <c r="U17" s="30">
        <f t="shared" si="4"/>
        <v>8.1599073669889304</v>
      </c>
      <c r="V17" s="115">
        <v>10.95</v>
      </c>
      <c r="W17" s="187">
        <v>1637.21</v>
      </c>
      <c r="X17" s="187">
        <f t="shared" si="5"/>
        <v>6.5638396864514812</v>
      </c>
      <c r="Y17" s="53">
        <v>10.79</v>
      </c>
      <c r="Z17" s="187">
        <v>1873.95</v>
      </c>
      <c r="AA17" s="30">
        <f t="shared" si="6"/>
        <v>6.3649020291808318</v>
      </c>
      <c r="AB17"/>
      <c r="AC17"/>
    </row>
    <row r="18" spans="2:58">
      <c r="C18" s="329" t="s">
        <v>427</v>
      </c>
      <c r="D18" s="22" t="s">
        <v>146</v>
      </c>
      <c r="E18" s="23" t="s">
        <v>428</v>
      </c>
      <c r="F18" s="152">
        <v>0</v>
      </c>
      <c r="G18" s="53">
        <v>10.63</v>
      </c>
      <c r="H18" s="187">
        <v>1026.78</v>
      </c>
      <c r="I18" s="30">
        <f t="shared" si="0"/>
        <v>3.1020112711424552</v>
      </c>
      <c r="J18" s="92" t="s">
        <v>429</v>
      </c>
      <c r="K18" s="187">
        <v>365.16</v>
      </c>
      <c r="L18" s="187">
        <f t="shared" si="1"/>
        <v>2.7884068373849336</v>
      </c>
      <c r="M18" s="305" t="s">
        <v>430</v>
      </c>
      <c r="N18" s="187">
        <v>293.69</v>
      </c>
      <c r="O18" s="30">
        <f t="shared" si="2"/>
        <v>3.1703931119056254</v>
      </c>
      <c r="P18" s="115">
        <v>11.1</v>
      </c>
      <c r="Q18" s="187">
        <v>1114.3900000000001</v>
      </c>
      <c r="R18" s="187">
        <f t="shared" si="3"/>
        <v>3.3293598154853674</v>
      </c>
      <c r="S18" s="53">
        <v>10.77</v>
      </c>
      <c r="T18" s="187">
        <v>433.48</v>
      </c>
      <c r="U18" s="30">
        <f t="shared" si="4"/>
        <v>2.6613572135931336</v>
      </c>
      <c r="V18" s="115">
        <v>10.71</v>
      </c>
      <c r="W18" s="187">
        <v>543.25</v>
      </c>
      <c r="X18" s="187">
        <f t="shared" si="5"/>
        <v>2.177977113299312</v>
      </c>
      <c r="Y18" s="53" t="s">
        <v>97</v>
      </c>
      <c r="Z18" s="187">
        <v>619.73</v>
      </c>
      <c r="AA18" s="30">
        <f t="shared" si="6"/>
        <v>2.1049231487202098</v>
      </c>
      <c r="AB18"/>
      <c r="AC18"/>
    </row>
    <row r="19" spans="2:58" s="56" customFormat="1">
      <c r="C19" s="328">
        <v>749</v>
      </c>
      <c r="D19" s="173" t="s">
        <v>25</v>
      </c>
      <c r="E19" s="32" t="s">
        <v>333</v>
      </c>
      <c r="F19" s="278" t="s">
        <v>520</v>
      </c>
      <c r="G19" s="303">
        <v>13.67</v>
      </c>
      <c r="H19" s="276">
        <v>16046.21</v>
      </c>
      <c r="I19" s="277">
        <f t="shared" si="0"/>
        <v>48.477302128127526</v>
      </c>
      <c r="J19" s="280" t="s">
        <v>3</v>
      </c>
      <c r="K19" s="279">
        <v>0</v>
      </c>
      <c r="L19" s="279">
        <f t="shared" si="1"/>
        <v>0</v>
      </c>
      <c r="M19" s="310" t="s">
        <v>3</v>
      </c>
      <c r="N19" s="279">
        <v>0</v>
      </c>
      <c r="O19" s="311">
        <f t="shared" si="2"/>
        <v>0</v>
      </c>
      <c r="P19" s="280" t="s">
        <v>3</v>
      </c>
      <c r="Q19" s="279">
        <v>0</v>
      </c>
      <c r="R19" s="279">
        <f t="shared" si="3"/>
        <v>0</v>
      </c>
      <c r="S19" s="316" t="s">
        <v>3</v>
      </c>
      <c r="T19" s="279">
        <v>0</v>
      </c>
      <c r="U19" s="311">
        <f t="shared" si="4"/>
        <v>0</v>
      </c>
      <c r="V19" s="281">
        <v>13.82</v>
      </c>
      <c r="W19" s="282">
        <v>1607.76</v>
      </c>
      <c r="X19" s="282">
        <f t="shared" si="5"/>
        <v>6.4457698733145001</v>
      </c>
      <c r="Y19" s="303">
        <v>13.71</v>
      </c>
      <c r="Z19" s="276">
        <v>16951</v>
      </c>
      <c r="AA19" s="277">
        <f t="shared" si="6"/>
        <v>57.574350594543219</v>
      </c>
    </row>
    <row r="20" spans="2:58">
      <c r="C20" s="327">
        <v>952</v>
      </c>
      <c r="D20" s="22" t="s">
        <v>210</v>
      </c>
      <c r="E20" s="23" t="s">
        <v>211</v>
      </c>
      <c r="F20" s="271" t="s">
        <v>112</v>
      </c>
      <c r="G20" s="53">
        <v>16.54</v>
      </c>
      <c r="H20" s="187">
        <v>1205.56</v>
      </c>
      <c r="I20" s="30">
        <f t="shared" si="0"/>
        <v>3.6421246109570684</v>
      </c>
      <c r="J20" s="301" t="s">
        <v>3</v>
      </c>
      <c r="K20" s="273">
        <v>0</v>
      </c>
      <c r="L20" s="273">
        <f t="shared" si="1"/>
        <v>0</v>
      </c>
      <c r="M20" s="308" t="s">
        <v>3</v>
      </c>
      <c r="N20" s="273">
        <v>0</v>
      </c>
      <c r="O20" s="54">
        <f t="shared" si="2"/>
        <v>0</v>
      </c>
      <c r="P20" s="272" t="s">
        <v>3</v>
      </c>
      <c r="Q20" s="273">
        <v>0</v>
      </c>
      <c r="R20" s="273">
        <f t="shared" si="3"/>
        <v>0</v>
      </c>
      <c r="S20" s="315" t="s">
        <v>3</v>
      </c>
      <c r="T20" s="273">
        <v>0</v>
      </c>
      <c r="U20" s="54">
        <f t="shared" si="4"/>
        <v>0</v>
      </c>
      <c r="V20" s="115" t="s">
        <v>431</v>
      </c>
      <c r="W20" s="187">
        <v>752.35</v>
      </c>
      <c r="X20" s="187">
        <f t="shared" si="5"/>
        <v>3.0162928323805569</v>
      </c>
      <c r="Y20" s="53" t="s">
        <v>432</v>
      </c>
      <c r="Z20" s="187">
        <v>910.37</v>
      </c>
      <c r="AA20" s="30">
        <f t="shared" si="6"/>
        <v>3.0920866940448537</v>
      </c>
      <c r="AB20"/>
      <c r="AC20"/>
    </row>
    <row r="21" spans="2:58" ht="14.7" thickBot="1">
      <c r="C21" s="330" t="s">
        <v>433</v>
      </c>
      <c r="D21" s="285"/>
      <c r="E21" s="285"/>
      <c r="F21" s="286"/>
      <c r="G21" s="178"/>
      <c r="H21" s="287">
        <f>SUM(H9:H20)</f>
        <v>33100.46</v>
      </c>
      <c r="I21" s="180"/>
      <c r="J21" s="284"/>
      <c r="K21" s="287">
        <f>SUM(K9:K20)</f>
        <v>13095.65</v>
      </c>
      <c r="L21" s="287"/>
      <c r="M21" s="312"/>
      <c r="N21" s="287">
        <f>SUM(N9:N20)</f>
        <v>9263.52</v>
      </c>
      <c r="O21" s="288"/>
      <c r="P21" s="284"/>
      <c r="Q21" s="287">
        <f>SUM(Q9:Q20)</f>
        <v>33471.599999999999</v>
      </c>
      <c r="R21" s="287"/>
      <c r="S21" s="289"/>
      <c r="T21" s="287">
        <f>SUM(T9:T20)</f>
        <v>16287.929999999998</v>
      </c>
      <c r="U21" s="288"/>
      <c r="V21" s="284"/>
      <c r="W21" s="287">
        <f>SUM(W9:W20)</f>
        <v>24942.869999999995</v>
      </c>
      <c r="X21" s="287"/>
      <c r="Y21" s="289"/>
      <c r="Z21" s="287">
        <f>SUM(Z9:Z20)</f>
        <v>29441.93</v>
      </c>
      <c r="AA21" s="180"/>
      <c r="AB21" s="188"/>
    </row>
    <row r="22" spans="2:58">
      <c r="C22" s="186"/>
      <c r="D22" s="115"/>
      <c r="E22" s="115"/>
      <c r="F22" s="186"/>
      <c r="H22" s="187"/>
      <c r="J22" s="115"/>
      <c r="K22" s="187"/>
      <c r="L22" s="187"/>
      <c r="M22" s="187"/>
      <c r="N22" s="187"/>
      <c r="O22" s="187"/>
      <c r="P22" s="115"/>
      <c r="Q22" s="187"/>
      <c r="R22" s="187"/>
      <c r="S22" s="115"/>
      <c r="T22" s="187"/>
      <c r="U22" s="187"/>
      <c r="V22" s="115"/>
      <c r="W22" s="187"/>
      <c r="X22" s="187"/>
      <c r="Y22" s="115"/>
      <c r="Z22" s="187"/>
      <c r="AB22" s="188"/>
    </row>
    <row r="23" spans="2:58" ht="23.35">
      <c r="B23" s="355" t="s">
        <v>517</v>
      </c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355"/>
      <c r="Z23" s="355"/>
      <c r="AA23" s="355"/>
      <c r="AB23" s="261"/>
      <c r="AC23" s="261"/>
      <c r="AD23" s="164"/>
      <c r="AE23" s="165"/>
      <c r="AF23" s="165"/>
      <c r="AG23" s="20"/>
      <c r="AH23" s="165"/>
      <c r="AI23" s="165"/>
      <c r="AJ23" s="164"/>
      <c r="AK23" s="165"/>
      <c r="AL23" s="165"/>
      <c r="AM23" s="164"/>
      <c r="AN23" s="165"/>
      <c r="AO23" s="165"/>
      <c r="AP23" s="164"/>
      <c r="AQ23" s="165"/>
      <c r="AR23" s="165"/>
      <c r="AS23" s="164"/>
      <c r="AT23" s="165"/>
      <c r="AU23" s="165"/>
      <c r="AV23" s="164"/>
      <c r="AW23" s="165"/>
      <c r="AX23" s="165"/>
      <c r="AY23" s="164"/>
      <c r="AZ23" s="165"/>
      <c r="BA23" s="165"/>
      <c r="BB23" s="164"/>
      <c r="BC23" s="165"/>
      <c r="BD23" s="165"/>
      <c r="BF23" s="36"/>
    </row>
    <row r="24" spans="2:58" ht="14.7" thickBot="1"/>
    <row r="25" spans="2:58" ht="21" thickBot="1">
      <c r="B25" s="20"/>
      <c r="C25" s="20"/>
      <c r="D25" s="20"/>
      <c r="E25" s="17"/>
      <c r="F25" s="20"/>
      <c r="G25" s="336" t="s">
        <v>464</v>
      </c>
      <c r="H25" s="337"/>
      <c r="I25" s="337"/>
      <c r="J25" s="339" t="s">
        <v>0</v>
      </c>
      <c r="K25" s="340"/>
      <c r="L25" s="341"/>
      <c r="M25" s="342" t="s">
        <v>51</v>
      </c>
      <c r="N25" s="342"/>
      <c r="O25" s="342"/>
      <c r="P25" s="343" t="s">
        <v>52</v>
      </c>
      <c r="Q25" s="344"/>
      <c r="R25" s="345"/>
      <c r="S25" s="346" t="s">
        <v>2</v>
      </c>
      <c r="T25" s="346"/>
      <c r="U25" s="346"/>
      <c r="V25" s="347" t="s">
        <v>1</v>
      </c>
      <c r="W25" s="348"/>
      <c r="X25" s="349"/>
      <c r="Y25" s="332" t="s">
        <v>53</v>
      </c>
      <c r="Z25" s="332"/>
      <c r="AA25" s="333"/>
      <c r="AB25"/>
      <c r="AC25"/>
    </row>
    <row r="26" spans="2:58" ht="16.350000000000001">
      <c r="C26" s="233" t="s">
        <v>11</v>
      </c>
      <c r="D26" s="262" t="s">
        <v>10</v>
      </c>
      <c r="E26" s="263" t="s">
        <v>9</v>
      </c>
      <c r="F26" s="295" t="s">
        <v>524</v>
      </c>
      <c r="G26" s="296" t="s">
        <v>63</v>
      </c>
      <c r="H26" s="264" t="s">
        <v>89</v>
      </c>
      <c r="I26" s="313" t="s">
        <v>74</v>
      </c>
      <c r="J26" s="317" t="s">
        <v>6</v>
      </c>
      <c r="K26" s="264" t="s">
        <v>407</v>
      </c>
      <c r="L26" s="237" t="s">
        <v>279</v>
      </c>
      <c r="M26" s="196" t="s">
        <v>87</v>
      </c>
      <c r="N26" s="264" t="s">
        <v>76</v>
      </c>
      <c r="O26" s="313" t="s">
        <v>77</v>
      </c>
      <c r="P26" s="296" t="s">
        <v>78</v>
      </c>
      <c r="Q26" s="264" t="s">
        <v>79</v>
      </c>
      <c r="R26" s="265" t="s">
        <v>80</v>
      </c>
      <c r="S26" s="304" t="s">
        <v>81</v>
      </c>
      <c r="T26" s="264" t="s">
        <v>82</v>
      </c>
      <c r="U26" s="313" t="s">
        <v>83</v>
      </c>
      <c r="V26" s="296" t="s">
        <v>84</v>
      </c>
      <c r="W26" s="264" t="s">
        <v>85</v>
      </c>
      <c r="X26" s="265" t="s">
        <v>86</v>
      </c>
      <c r="Y26" s="304" t="s">
        <v>75</v>
      </c>
      <c r="Z26" s="264" t="s">
        <v>7</v>
      </c>
      <c r="AA26" s="265" t="s">
        <v>60</v>
      </c>
      <c r="AB26"/>
      <c r="AC26"/>
    </row>
    <row r="27" spans="2:58">
      <c r="C27" s="267" t="s">
        <v>434</v>
      </c>
      <c r="D27" s="331" t="s">
        <v>394</v>
      </c>
      <c r="E27" s="50" t="s">
        <v>395</v>
      </c>
      <c r="F27" s="270">
        <v>0</v>
      </c>
      <c r="G27" s="53" t="s">
        <v>3</v>
      </c>
      <c r="H27" s="187">
        <v>0</v>
      </c>
      <c r="I27" s="187">
        <f t="shared" ref="I27:I35" si="7">H27/$H$36*100</f>
        <v>0</v>
      </c>
      <c r="J27" s="318">
        <v>19.63</v>
      </c>
      <c r="K27" s="268">
        <v>20491.400000000001</v>
      </c>
      <c r="L27" s="307">
        <f t="shared" ref="L27:L35" si="8">K27/$K$36*100</f>
        <v>10.686947497398984</v>
      </c>
      <c r="M27" s="268">
        <v>21.54</v>
      </c>
      <c r="N27" s="268">
        <v>21107.84</v>
      </c>
      <c r="O27" s="268">
        <f t="shared" ref="O27:O35" si="9">N27/$N$36*100</f>
        <v>10.649285415827276</v>
      </c>
      <c r="P27" s="314">
        <v>17.350000000000001</v>
      </c>
      <c r="Q27" s="268">
        <v>45455.4</v>
      </c>
      <c r="R27" s="307">
        <f t="shared" ref="R27:R35" si="10">Q27/$Q$36*100</f>
        <v>10.179934782700224</v>
      </c>
      <c r="S27" s="269">
        <v>17.03</v>
      </c>
      <c r="T27" s="268">
        <v>20690.59</v>
      </c>
      <c r="U27" s="268">
        <f t="shared" ref="U27:U35" si="11">T27/$T$36*100</f>
        <v>6.0532159345239167</v>
      </c>
      <c r="V27" s="314" t="s">
        <v>435</v>
      </c>
      <c r="W27" s="268">
        <v>324.02</v>
      </c>
      <c r="X27" s="307">
        <f t="shared" ref="X27:X35" si="12">W27/$W$36*100</f>
        <v>0.12758869958362185</v>
      </c>
      <c r="Y27" s="115" t="s">
        <v>3</v>
      </c>
      <c r="Z27" s="187">
        <v>0</v>
      </c>
      <c r="AA27" s="30">
        <f t="shared" ref="AA27:AA35" si="13">Z27/$Z$36*100</f>
        <v>0</v>
      </c>
      <c r="AB27"/>
      <c r="AC27"/>
    </row>
    <row r="28" spans="2:58">
      <c r="C28" s="267">
        <v>1479</v>
      </c>
      <c r="D28" s="22" t="s">
        <v>436</v>
      </c>
      <c r="E28" s="22" t="s">
        <v>437</v>
      </c>
      <c r="F28" s="130" t="s">
        <v>112</v>
      </c>
      <c r="G28" s="53" t="s">
        <v>3</v>
      </c>
      <c r="H28" s="187">
        <v>0</v>
      </c>
      <c r="I28" s="187">
        <f t="shared" si="7"/>
        <v>0</v>
      </c>
      <c r="J28" s="53" t="s">
        <v>3</v>
      </c>
      <c r="K28" s="187">
        <v>0</v>
      </c>
      <c r="L28" s="30">
        <f t="shared" si="8"/>
        <v>0</v>
      </c>
      <c r="M28" s="187" t="s">
        <v>3</v>
      </c>
      <c r="N28" s="187">
        <v>0</v>
      </c>
      <c r="O28" s="187">
        <f t="shared" si="9"/>
        <v>0</v>
      </c>
      <c r="P28" s="53" t="s">
        <v>3</v>
      </c>
      <c r="Q28" s="187">
        <v>0</v>
      </c>
      <c r="R28" s="30">
        <f t="shared" si="10"/>
        <v>0</v>
      </c>
      <c r="S28" s="269">
        <v>17.690000000000001</v>
      </c>
      <c r="T28" s="268">
        <v>19788.7</v>
      </c>
      <c r="U28" s="268">
        <f t="shared" si="11"/>
        <v>5.7893600019870597</v>
      </c>
      <c r="V28" s="314">
        <v>17.579999999999998</v>
      </c>
      <c r="W28" s="268">
        <v>4487.8100000000004</v>
      </c>
      <c r="X28" s="307">
        <f t="shared" si="12"/>
        <v>1.7671558603739712</v>
      </c>
      <c r="Y28" s="115" t="s">
        <v>3</v>
      </c>
      <c r="Z28" s="187">
        <v>0</v>
      </c>
      <c r="AA28" s="30">
        <f t="shared" si="13"/>
        <v>0</v>
      </c>
      <c r="AB28"/>
      <c r="AC28"/>
    </row>
    <row r="29" spans="2:58">
      <c r="C29" s="267">
        <v>1520</v>
      </c>
      <c r="D29" s="22" t="s">
        <v>438</v>
      </c>
      <c r="E29" s="23" t="s">
        <v>439</v>
      </c>
      <c r="F29" s="271">
        <v>0</v>
      </c>
      <c r="G29" s="53" t="s">
        <v>3</v>
      </c>
      <c r="H29" s="187">
        <v>0</v>
      </c>
      <c r="I29" s="187">
        <f t="shared" si="7"/>
        <v>0</v>
      </c>
      <c r="J29" s="319">
        <v>21.19</v>
      </c>
      <c r="K29" s="268">
        <v>115454.29</v>
      </c>
      <c r="L29" s="307">
        <f t="shared" si="8"/>
        <v>60.213257053177252</v>
      </c>
      <c r="M29" s="268">
        <v>23.28</v>
      </c>
      <c r="N29" s="268">
        <v>131112.20000000001</v>
      </c>
      <c r="O29" s="268">
        <f t="shared" si="9"/>
        <v>66.148466129032101</v>
      </c>
      <c r="P29" s="314">
        <v>18.52</v>
      </c>
      <c r="Q29" s="268">
        <v>325381.51</v>
      </c>
      <c r="R29" s="307">
        <f t="shared" si="10"/>
        <v>72.870606161127625</v>
      </c>
      <c r="S29" s="269">
        <v>18.100000000000001</v>
      </c>
      <c r="T29" s="268">
        <v>159057.78</v>
      </c>
      <c r="U29" s="268">
        <f t="shared" si="11"/>
        <v>46.533766722263579</v>
      </c>
      <c r="V29" s="314">
        <v>18.04</v>
      </c>
      <c r="W29" s="268">
        <v>1932.09</v>
      </c>
      <c r="X29" s="307">
        <f t="shared" si="12"/>
        <v>0.76079516875044739</v>
      </c>
      <c r="Y29" s="115" t="s">
        <v>3</v>
      </c>
      <c r="Z29" s="187">
        <v>0</v>
      </c>
      <c r="AA29" s="30">
        <f t="shared" si="13"/>
        <v>0</v>
      </c>
      <c r="AB29"/>
      <c r="AC29"/>
    </row>
    <row r="30" spans="2:58">
      <c r="B30" s="290"/>
      <c r="C30" s="267">
        <v>1641</v>
      </c>
      <c r="D30" s="22" t="s">
        <v>440</v>
      </c>
      <c r="E30" s="22" t="s">
        <v>441</v>
      </c>
      <c r="F30" s="130" t="s">
        <v>112</v>
      </c>
      <c r="G30" s="53">
        <v>18</v>
      </c>
      <c r="H30" s="187">
        <v>29503.74</v>
      </c>
      <c r="I30" s="187">
        <f t="shared" si="7"/>
        <v>15.058716189237426</v>
      </c>
      <c r="J30" s="315" t="s">
        <v>3</v>
      </c>
      <c r="K30" s="273">
        <v>0</v>
      </c>
      <c r="L30" s="54">
        <f t="shared" si="8"/>
        <v>0</v>
      </c>
      <c r="M30" s="273" t="s">
        <v>3</v>
      </c>
      <c r="N30" s="273">
        <v>0</v>
      </c>
      <c r="O30" s="273">
        <f t="shared" si="9"/>
        <v>0</v>
      </c>
      <c r="P30" s="315" t="s">
        <v>3</v>
      </c>
      <c r="Q30" s="273">
        <v>0</v>
      </c>
      <c r="R30" s="54">
        <f t="shared" si="10"/>
        <v>0</v>
      </c>
      <c r="S30" s="291" t="s">
        <v>442</v>
      </c>
      <c r="T30" s="292">
        <v>3709.28</v>
      </c>
      <c r="U30" s="292">
        <f t="shared" si="11"/>
        <v>1.0851828199007798</v>
      </c>
      <c r="V30" s="53">
        <v>18.329999999999998</v>
      </c>
      <c r="W30" s="187">
        <v>28320.95</v>
      </c>
      <c r="X30" s="30">
        <f t="shared" si="12"/>
        <v>11.151883159906104</v>
      </c>
      <c r="Y30" s="115">
        <v>18.22</v>
      </c>
      <c r="Z30" s="187">
        <v>33865.379999999997</v>
      </c>
      <c r="AA30" s="30">
        <f t="shared" si="13"/>
        <v>14.911118796891179</v>
      </c>
      <c r="AB30"/>
      <c r="AC30"/>
    </row>
    <row r="31" spans="2:58">
      <c r="C31" s="267" t="s">
        <v>443</v>
      </c>
      <c r="D31" s="22" t="s">
        <v>444</v>
      </c>
      <c r="E31" s="23" t="s">
        <v>445</v>
      </c>
      <c r="F31" s="130" t="s">
        <v>112</v>
      </c>
      <c r="G31" s="53" t="s">
        <v>3</v>
      </c>
      <c r="H31" s="187">
        <v>0</v>
      </c>
      <c r="I31" s="187">
        <f t="shared" si="7"/>
        <v>0</v>
      </c>
      <c r="J31" s="53" t="s">
        <v>3</v>
      </c>
      <c r="K31" s="187">
        <v>0</v>
      </c>
      <c r="L31" s="30">
        <f t="shared" si="8"/>
        <v>0</v>
      </c>
      <c r="M31" s="268" t="s">
        <v>446</v>
      </c>
      <c r="N31" s="268">
        <v>6467.37</v>
      </c>
      <c r="O31" s="268">
        <f t="shared" si="9"/>
        <v>3.2629046373176438</v>
      </c>
      <c r="P31" s="314" t="s">
        <v>447</v>
      </c>
      <c r="Q31" s="268">
        <v>9704.1</v>
      </c>
      <c r="R31" s="307">
        <f t="shared" si="10"/>
        <v>2.1732754551670701</v>
      </c>
      <c r="S31" s="269">
        <v>18.690000000000001</v>
      </c>
      <c r="T31" s="268">
        <v>82505.09</v>
      </c>
      <c r="U31" s="268">
        <f t="shared" si="11"/>
        <v>24.137597113824683</v>
      </c>
      <c r="V31" s="314">
        <v>18.64</v>
      </c>
      <c r="W31" s="268">
        <v>19213.14</v>
      </c>
      <c r="X31" s="307">
        <f t="shared" si="12"/>
        <v>7.565519250410679</v>
      </c>
      <c r="Y31" s="115" t="s">
        <v>3</v>
      </c>
      <c r="Z31" s="187">
        <v>0</v>
      </c>
      <c r="AA31" s="30">
        <f t="shared" si="13"/>
        <v>0</v>
      </c>
      <c r="AB31"/>
      <c r="AC31"/>
    </row>
    <row r="32" spans="2:58">
      <c r="C32" s="267" t="s">
        <v>448</v>
      </c>
      <c r="D32" s="22" t="s">
        <v>444</v>
      </c>
      <c r="E32" s="23" t="s">
        <v>449</v>
      </c>
      <c r="F32" s="130" t="s">
        <v>112</v>
      </c>
      <c r="G32" s="53" t="s">
        <v>3</v>
      </c>
      <c r="H32" s="187">
        <v>0</v>
      </c>
      <c r="I32" s="187">
        <f t="shared" si="7"/>
        <v>0</v>
      </c>
      <c r="J32" s="320">
        <v>23.41</v>
      </c>
      <c r="K32" s="293">
        <v>53994.93</v>
      </c>
      <c r="L32" s="321">
        <f t="shared" si="8"/>
        <v>28.160154115176773</v>
      </c>
      <c r="M32" s="293">
        <v>25.83</v>
      </c>
      <c r="N32" s="293">
        <v>37542.46</v>
      </c>
      <c r="O32" s="293">
        <f t="shared" si="9"/>
        <v>18.940847180586875</v>
      </c>
      <c r="P32" s="323">
        <v>20.309999999999999</v>
      </c>
      <c r="Q32" s="293">
        <v>61394.03</v>
      </c>
      <c r="R32" s="321">
        <f t="shared" si="10"/>
        <v>13.749460381981921</v>
      </c>
      <c r="S32" s="294">
        <v>19.48</v>
      </c>
      <c r="T32" s="293">
        <v>19447.02</v>
      </c>
      <c r="U32" s="293">
        <f t="shared" si="11"/>
        <v>5.6893984822571664</v>
      </c>
      <c r="V32" s="53" t="s">
        <v>3</v>
      </c>
      <c r="W32" s="187">
        <v>0</v>
      </c>
      <c r="X32" s="30">
        <f t="shared" si="12"/>
        <v>0</v>
      </c>
      <c r="Y32" s="115" t="s">
        <v>3</v>
      </c>
      <c r="Z32" s="187">
        <v>0</v>
      </c>
      <c r="AA32" s="30">
        <f t="shared" si="13"/>
        <v>0</v>
      </c>
      <c r="AB32"/>
      <c r="AC32"/>
    </row>
    <row r="33" spans="2:77">
      <c r="C33" s="267">
        <v>1723</v>
      </c>
      <c r="D33" s="22" t="s">
        <v>450</v>
      </c>
      <c r="E33" s="23" t="s">
        <v>451</v>
      </c>
      <c r="F33" s="271">
        <v>0</v>
      </c>
      <c r="G33" s="53" t="s">
        <v>3</v>
      </c>
      <c r="H33" s="187">
        <v>0</v>
      </c>
      <c r="I33" s="187">
        <f t="shared" si="7"/>
        <v>0</v>
      </c>
      <c r="J33" s="320">
        <v>20.83</v>
      </c>
      <c r="K33" s="293">
        <v>1801.69</v>
      </c>
      <c r="L33" s="321">
        <f t="shared" si="8"/>
        <v>0.93964133424699026</v>
      </c>
      <c r="M33" s="293">
        <v>22.8</v>
      </c>
      <c r="N33" s="293">
        <v>1979.11</v>
      </c>
      <c r="O33" s="293">
        <f t="shared" si="9"/>
        <v>0.99849663723611315</v>
      </c>
      <c r="P33" s="323">
        <v>18.170000000000002</v>
      </c>
      <c r="Q33" s="293">
        <v>4584.5200000000004</v>
      </c>
      <c r="R33" s="321">
        <f t="shared" si="10"/>
        <v>1.0267232190231486</v>
      </c>
      <c r="S33" s="115" t="s">
        <v>3</v>
      </c>
      <c r="T33" s="187">
        <v>0</v>
      </c>
      <c r="U33" s="187">
        <f t="shared" si="11"/>
        <v>0</v>
      </c>
      <c r="V33" s="53" t="s">
        <v>3</v>
      </c>
      <c r="W33" s="187">
        <v>0</v>
      </c>
      <c r="X33" s="30">
        <f t="shared" si="12"/>
        <v>0</v>
      </c>
      <c r="Y33" s="115" t="s">
        <v>3</v>
      </c>
      <c r="Z33" s="187">
        <v>0</v>
      </c>
      <c r="AA33" s="30">
        <f t="shared" si="13"/>
        <v>0</v>
      </c>
      <c r="AB33"/>
      <c r="AC33"/>
    </row>
    <row r="34" spans="2:77">
      <c r="B34" s="290"/>
      <c r="C34" s="267">
        <v>1844</v>
      </c>
      <c r="D34" s="22" t="s">
        <v>452</v>
      </c>
      <c r="E34" s="23" t="s">
        <v>453</v>
      </c>
      <c r="F34" s="130" t="s">
        <v>112</v>
      </c>
      <c r="G34" s="53" t="s">
        <v>27</v>
      </c>
      <c r="H34" s="187">
        <v>4886.8599999999997</v>
      </c>
      <c r="I34" s="187">
        <f t="shared" si="7"/>
        <v>2.4942545520173645</v>
      </c>
      <c r="J34" s="322" t="s">
        <v>3</v>
      </c>
      <c r="K34" s="273">
        <v>0</v>
      </c>
      <c r="L34" s="54">
        <f t="shared" si="8"/>
        <v>0</v>
      </c>
      <c r="M34" s="273" t="s">
        <v>3</v>
      </c>
      <c r="N34" s="273">
        <v>0</v>
      </c>
      <c r="O34" s="273">
        <f t="shared" si="9"/>
        <v>0</v>
      </c>
      <c r="P34" s="315" t="s">
        <v>3</v>
      </c>
      <c r="Q34" s="273">
        <v>0</v>
      </c>
      <c r="R34" s="54">
        <f t="shared" si="10"/>
        <v>0</v>
      </c>
      <c r="S34" s="115">
        <v>19.850000000000001</v>
      </c>
      <c r="T34" s="187">
        <v>34627.97</v>
      </c>
      <c r="U34" s="187">
        <f t="shared" si="11"/>
        <v>10.13072028319232</v>
      </c>
      <c r="V34" s="53">
        <v>19.25</v>
      </c>
      <c r="W34" s="187">
        <v>95735.55</v>
      </c>
      <c r="X34" s="30">
        <f t="shared" si="12"/>
        <v>37.697593754776896</v>
      </c>
      <c r="Y34" s="115">
        <v>19.96</v>
      </c>
      <c r="Z34" s="187">
        <v>2468.5500000000002</v>
      </c>
      <c r="AA34" s="30">
        <f t="shared" si="13"/>
        <v>1.0869165592137375</v>
      </c>
      <c r="AB34"/>
      <c r="AC34"/>
    </row>
    <row r="35" spans="2:77">
      <c r="B35" s="290"/>
      <c r="C35" s="267">
        <v>2006</v>
      </c>
      <c r="D35" s="22" t="s">
        <v>454</v>
      </c>
      <c r="E35" s="23" t="s">
        <v>455</v>
      </c>
      <c r="F35" s="130" t="s">
        <v>112</v>
      </c>
      <c r="G35" s="53">
        <v>19.79</v>
      </c>
      <c r="H35" s="187">
        <v>161534.07</v>
      </c>
      <c r="I35" s="187">
        <f t="shared" si="7"/>
        <v>82.447029258745204</v>
      </c>
      <c r="J35" s="315" t="s">
        <v>3</v>
      </c>
      <c r="K35" s="273">
        <v>0</v>
      </c>
      <c r="L35" s="54">
        <f t="shared" si="8"/>
        <v>0</v>
      </c>
      <c r="M35" s="273" t="s">
        <v>3</v>
      </c>
      <c r="N35" s="273">
        <v>0</v>
      </c>
      <c r="O35" s="273">
        <f t="shared" si="9"/>
        <v>0</v>
      </c>
      <c r="P35" s="315" t="s">
        <v>3</v>
      </c>
      <c r="Q35" s="273">
        <v>0</v>
      </c>
      <c r="R35" s="54">
        <f t="shared" si="10"/>
        <v>0</v>
      </c>
      <c r="S35" s="272" t="s">
        <v>456</v>
      </c>
      <c r="T35" s="273">
        <v>1985.1</v>
      </c>
      <c r="U35" s="273">
        <f t="shared" si="11"/>
        <v>0.58075864205048899</v>
      </c>
      <c r="V35" s="324">
        <v>20.18</v>
      </c>
      <c r="W35" s="292">
        <v>103943.1</v>
      </c>
      <c r="X35" s="325">
        <f t="shared" si="12"/>
        <v>40.929464106198282</v>
      </c>
      <c r="Y35" s="115">
        <v>20.02</v>
      </c>
      <c r="Z35" s="187">
        <v>190781.02</v>
      </c>
      <c r="AA35" s="30">
        <f t="shared" si="13"/>
        <v>84.001964643895093</v>
      </c>
      <c r="AB35"/>
      <c r="AC35"/>
    </row>
    <row r="36" spans="2:77" ht="14.7" thickBot="1">
      <c r="C36" s="283" t="s">
        <v>433</v>
      </c>
      <c r="D36" s="285"/>
      <c r="E36" s="285"/>
      <c r="F36" s="286"/>
      <c r="G36" s="178"/>
      <c r="H36" s="287">
        <f>SUM(H27:H35)</f>
        <v>195924.67</v>
      </c>
      <c r="I36" s="179"/>
      <c r="J36" s="289"/>
      <c r="K36" s="287">
        <f>SUM(K27:K35)</f>
        <v>191742.31</v>
      </c>
      <c r="L36" s="288"/>
      <c r="M36" s="287"/>
      <c r="N36" s="287">
        <f>SUM(N27:N35)</f>
        <v>198208.97999999998</v>
      </c>
      <c r="O36" s="287"/>
      <c r="P36" s="289"/>
      <c r="Q36" s="287">
        <f>SUM(Q27:Q35)</f>
        <v>446519.56000000006</v>
      </c>
      <c r="R36" s="288"/>
      <c r="S36" s="284"/>
      <c r="T36" s="287">
        <f>SUM(T27:T35)</f>
        <v>341811.53</v>
      </c>
      <c r="U36" s="287"/>
      <c r="V36" s="289"/>
      <c r="W36" s="287">
        <f>SUM(W27:W35)</f>
        <v>253956.66</v>
      </c>
      <c r="X36" s="288"/>
      <c r="Y36" s="284"/>
      <c r="Z36" s="287">
        <f>SUM(Z27:Z35)</f>
        <v>227114.94999999998</v>
      </c>
      <c r="AA36" s="180">
        <f>SUBTOTAL(109,Table1324[Percentage5])</f>
        <v>100.00000000000001</v>
      </c>
      <c r="AB36"/>
      <c r="AC36"/>
    </row>
    <row r="37" spans="2:77">
      <c r="E37" t="s">
        <v>527</v>
      </c>
      <c r="AB37"/>
      <c r="AC37"/>
    </row>
    <row r="38" spans="2:77">
      <c r="E38" t="s">
        <v>472</v>
      </c>
    </row>
    <row r="40" spans="2:77" ht="20.7">
      <c r="C40" s="34" t="s">
        <v>272</v>
      </c>
      <c r="F40" s="12"/>
      <c r="G40" s="15"/>
      <c r="H40" s="16"/>
      <c r="I40" s="15"/>
      <c r="J40" s="2"/>
      <c r="K40" s="36"/>
      <c r="L40" s="36"/>
      <c r="M40" s="36"/>
      <c r="N40" s="36"/>
      <c r="O40" s="36"/>
      <c r="P40" s="36"/>
      <c r="Q40" s="36"/>
      <c r="R40" s="36"/>
      <c r="S40" s="36"/>
      <c r="AB40"/>
      <c r="AC40"/>
    </row>
    <row r="41" spans="2:77">
      <c r="C41" s="12" t="s">
        <v>473</v>
      </c>
      <c r="D41" t="s">
        <v>474</v>
      </c>
      <c r="H41" s="12"/>
      <c r="I41" s="12"/>
      <c r="J41"/>
      <c r="K41" s="12"/>
      <c r="N41" s="12"/>
      <c r="Q41" s="12"/>
      <c r="S41" s="36"/>
      <c r="AB41"/>
      <c r="AC41"/>
    </row>
    <row r="42" spans="2:77">
      <c r="C42" s="12" t="s">
        <v>475</v>
      </c>
      <c r="D42" t="s">
        <v>476</v>
      </c>
      <c r="H42" s="12"/>
      <c r="I42" s="12"/>
      <c r="J42"/>
      <c r="K42" s="12"/>
      <c r="N42" s="12"/>
      <c r="Q42" s="12"/>
      <c r="S42" s="36"/>
      <c r="AB42"/>
      <c r="AC42"/>
    </row>
    <row r="43" spans="2:77">
      <c r="C43" s="12" t="s">
        <v>457</v>
      </c>
      <c r="D43" t="s">
        <v>477</v>
      </c>
      <c r="H43" s="12"/>
      <c r="I43" s="12"/>
      <c r="J43"/>
      <c r="K43" s="12"/>
      <c r="N43" s="12"/>
      <c r="Q43" s="12"/>
      <c r="S43" s="36"/>
      <c r="AB43"/>
      <c r="AC43"/>
    </row>
    <row r="44" spans="2:77">
      <c r="D44" t="s">
        <v>458</v>
      </c>
      <c r="H44" s="12"/>
      <c r="I44" s="12"/>
      <c r="J44"/>
      <c r="K44" s="12"/>
      <c r="N44" s="12"/>
      <c r="Q44" s="12"/>
      <c r="S44" s="36"/>
      <c r="AB44"/>
      <c r="AC44"/>
    </row>
    <row r="45" spans="2:77">
      <c r="C45" s="12" t="s">
        <v>459</v>
      </c>
      <c r="D45" t="s">
        <v>494</v>
      </c>
      <c r="H45" s="12"/>
      <c r="I45" s="12"/>
      <c r="J45"/>
      <c r="K45" s="12"/>
      <c r="N45" s="12"/>
      <c r="Q45" s="12"/>
      <c r="S45" s="36"/>
      <c r="AB45"/>
      <c r="AC45"/>
    </row>
    <row r="46" spans="2:77">
      <c r="C46" s="12" t="s">
        <v>478</v>
      </c>
      <c r="D46" t="s">
        <v>462</v>
      </c>
      <c r="F46" s="12"/>
      <c r="G46" s="15"/>
      <c r="H46" s="16"/>
      <c r="I46" s="15"/>
      <c r="J46" s="2"/>
      <c r="K46" s="36"/>
      <c r="L46" s="36"/>
      <c r="M46" s="36"/>
      <c r="N46" s="36"/>
      <c r="O46" s="36"/>
      <c r="P46" s="36"/>
      <c r="Q46" s="36"/>
      <c r="R46" s="36"/>
      <c r="S46" s="36"/>
      <c r="AB46"/>
      <c r="AC46"/>
    </row>
    <row r="47" spans="2:77">
      <c r="C47" s="12" t="s">
        <v>479</v>
      </c>
      <c r="D47" t="s">
        <v>463</v>
      </c>
      <c r="F47" s="12"/>
      <c r="G47" s="15"/>
      <c r="H47" s="16"/>
      <c r="I47" s="15"/>
      <c r="J47" s="2"/>
      <c r="K47" s="36"/>
      <c r="L47" s="36"/>
      <c r="M47" s="36"/>
      <c r="N47" s="36"/>
      <c r="O47" s="36"/>
      <c r="P47" s="36"/>
      <c r="Q47" s="36"/>
      <c r="R47" s="36"/>
      <c r="S47" s="36"/>
      <c r="AB47"/>
      <c r="AC47"/>
    </row>
    <row r="48" spans="2:77">
      <c r="C48" s="12"/>
      <c r="F48" s="2"/>
      <c r="G48" s="15"/>
      <c r="H48" s="15"/>
      <c r="I48" s="2"/>
      <c r="J48"/>
      <c r="M48" s="35"/>
      <c r="N48" s="12"/>
      <c r="O48" s="12"/>
      <c r="P48" s="12"/>
      <c r="Q48" s="12"/>
      <c r="R48" s="12"/>
      <c r="S48" s="35"/>
      <c r="T48" s="12"/>
      <c r="U48" s="12"/>
      <c r="V48" s="12"/>
      <c r="W48" s="12"/>
      <c r="X48" s="12"/>
      <c r="Y48" s="12"/>
      <c r="Z48" s="12"/>
      <c r="AA48" s="35"/>
      <c r="AB48" s="12"/>
      <c r="AC48" s="12"/>
      <c r="AD48" s="36"/>
      <c r="AE48" s="36"/>
      <c r="AF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13"/>
      <c r="BG48" s="36"/>
      <c r="BY48" s="36"/>
    </row>
    <row r="49" spans="3:77">
      <c r="C49" s="61"/>
      <c r="D49" s="162" t="s">
        <v>522</v>
      </c>
      <c r="E49" s="1"/>
      <c r="F49" s="2"/>
      <c r="G49" s="15"/>
      <c r="H49" s="15"/>
      <c r="I49" s="2"/>
      <c r="J49"/>
      <c r="M49" s="35"/>
      <c r="N49" s="12"/>
      <c r="O49" s="12"/>
      <c r="P49" s="12"/>
      <c r="Q49" s="12"/>
      <c r="R49" s="12"/>
      <c r="S49" s="35"/>
      <c r="T49" s="12"/>
      <c r="U49" s="12"/>
      <c r="V49" s="12"/>
      <c r="W49" s="12"/>
      <c r="X49" s="12"/>
      <c r="Y49" s="12"/>
      <c r="Z49" s="12"/>
      <c r="AA49" s="35"/>
      <c r="AB49" s="12"/>
      <c r="AC49" s="12"/>
      <c r="AD49" s="36"/>
      <c r="AE49" s="36"/>
      <c r="AF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13"/>
      <c r="BG49" s="36"/>
      <c r="BY49" s="36"/>
    </row>
    <row r="50" spans="3:77">
      <c r="C50" s="62"/>
      <c r="D50" s="162" t="s">
        <v>528</v>
      </c>
      <c r="E50" s="1"/>
      <c r="F50" s="15"/>
      <c r="G50" s="15"/>
      <c r="H50" s="15"/>
      <c r="I50" s="2"/>
      <c r="J50" s="25"/>
      <c r="K50" s="25"/>
      <c r="L50" s="25"/>
      <c r="AA50" s="2"/>
      <c r="AB50" s="2"/>
      <c r="AC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I50" s="36"/>
    </row>
    <row r="51" spans="3:77">
      <c r="E51"/>
      <c r="F51" s="12"/>
      <c r="J51"/>
      <c r="K51" s="12"/>
    </row>
    <row r="52" spans="3:77">
      <c r="E52"/>
      <c r="F52" s="12"/>
      <c r="J52"/>
      <c r="K52" s="12"/>
    </row>
    <row r="53" spans="3:77">
      <c r="E53"/>
      <c r="F53" s="12"/>
      <c r="J53"/>
      <c r="K53" s="12"/>
    </row>
    <row r="54" spans="3:77">
      <c r="E54"/>
      <c r="F54" s="12"/>
      <c r="J54"/>
      <c r="K54" s="12"/>
    </row>
    <row r="55" spans="3:77">
      <c r="E55"/>
      <c r="F55" s="12"/>
      <c r="J55"/>
      <c r="K55" s="12"/>
    </row>
  </sheetData>
  <mergeCells count="17">
    <mergeCell ref="B1:O1"/>
    <mergeCell ref="Y25:AA25"/>
    <mergeCell ref="B5:AA5"/>
    <mergeCell ref="B23:AA23"/>
    <mergeCell ref="G25:I25"/>
    <mergeCell ref="J25:L25"/>
    <mergeCell ref="M25:O25"/>
    <mergeCell ref="P25:R25"/>
    <mergeCell ref="S25:U25"/>
    <mergeCell ref="V25:X25"/>
    <mergeCell ref="G7:I7"/>
    <mergeCell ref="J7:L7"/>
    <mergeCell ref="M7:O7"/>
    <mergeCell ref="P7:R7"/>
    <mergeCell ref="S7:U7"/>
    <mergeCell ref="V7:X7"/>
    <mergeCell ref="Y7:AA7"/>
  </mergeCells>
  <pageMargins left="0.7" right="0.7" top="0.75" bottom="0.75" header="0.3" footer="0.3"/>
  <pageSetup paperSize="9" orientation="portrait" r:id="rId1"/>
  <ignoredErrors>
    <ignoredError sqref="C18:AA18" numberStoredAsText="1"/>
  </ignoredErrors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S9A</vt:lpstr>
      <vt:lpstr>Table S9B</vt:lpstr>
      <vt:lpstr>Table S9C</vt:lpstr>
      <vt:lpstr>Table S9D</vt:lpstr>
    </vt:vector>
  </TitlesOfParts>
  <Company>Gothenburg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de Jesus Vaz Luis</dc:creator>
  <cp:lastModifiedBy>Ana Sofia de Jesus Vaz Luis</cp:lastModifiedBy>
  <dcterms:created xsi:type="dcterms:W3CDTF">2023-08-10T10:03:13Z</dcterms:created>
  <dcterms:modified xsi:type="dcterms:W3CDTF">2025-11-20T15:56:26Z</dcterms:modified>
</cp:coreProperties>
</file>