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unet-my.sharepoint.com/personal/ana_luis_medkem_gu_se/Documents/Dokument/MyPapers/Enzyme paper/X_First submission_Cell/"/>
    </mc:Choice>
  </mc:AlternateContent>
  <xr:revisionPtr revIDLastSave="106" documentId="8_{8E8FFBED-30EB-498F-AC08-E7B6027BFF45}" xr6:coauthVersionLast="47" xr6:coauthVersionMax="47" xr10:uidLastSave="{0E2E13A6-F257-42E0-BF60-5898D697FA03}"/>
  <bookViews>
    <workbookView xWindow="-93" yWindow="-93" windowWidth="25786" windowHeight="15466" xr2:uid="{00000000-000D-0000-FFFF-FFFF00000000}"/>
  </bookViews>
  <sheets>
    <sheet name="Table 1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7" i="2" l="1"/>
  <c r="H136" i="2" s="1"/>
  <c r="M147" i="2"/>
  <c r="N134" i="2" s="1"/>
  <c r="J147" i="2"/>
  <c r="K138" i="2" s="1"/>
  <c r="N143" i="2" l="1"/>
  <c r="K123" i="2"/>
  <c r="P147" i="2"/>
  <c r="H143" i="2"/>
  <c r="H38" i="2" l="1"/>
  <c r="H102" i="2"/>
  <c r="H104" i="2"/>
  <c r="K45" i="2"/>
  <c r="H50" i="2"/>
  <c r="H52" i="2"/>
  <c r="H54" i="2"/>
  <c r="H108" i="2"/>
  <c r="K109" i="2"/>
  <c r="H94" i="2"/>
  <c r="H114" i="2"/>
  <c r="K96" i="2"/>
  <c r="H60" i="2"/>
  <c r="H12" i="2"/>
  <c r="H62" i="2"/>
  <c r="H116" i="2"/>
  <c r="H84" i="2"/>
  <c r="H40" i="2"/>
  <c r="H7" i="2"/>
  <c r="H8" i="2"/>
  <c r="H14" i="2"/>
  <c r="H70" i="2"/>
  <c r="H118" i="2"/>
  <c r="H44" i="2"/>
  <c r="K58" i="2"/>
  <c r="H18" i="2"/>
  <c r="K71" i="2"/>
  <c r="H124" i="2"/>
  <c r="H126" i="2"/>
  <c r="H86" i="2"/>
  <c r="H20" i="2"/>
  <c r="H22" i="2"/>
  <c r="H76" i="2"/>
  <c r="H134" i="2"/>
  <c r="H30" i="2"/>
  <c r="H92" i="2"/>
  <c r="H72" i="2"/>
  <c r="H28" i="2"/>
  <c r="H82" i="2"/>
  <c r="H140" i="2"/>
  <c r="K135" i="2"/>
  <c r="K32" i="2"/>
  <c r="K136" i="2"/>
  <c r="K99" i="2"/>
  <c r="K22" i="2"/>
  <c r="K36" i="2"/>
  <c r="K49" i="2"/>
  <c r="K61" i="2"/>
  <c r="K74" i="2"/>
  <c r="K86" i="2"/>
  <c r="K100" i="2"/>
  <c r="K113" i="2"/>
  <c r="K125" i="2"/>
  <c r="K124" i="2"/>
  <c r="K37" i="2"/>
  <c r="K75" i="2"/>
  <c r="K87" i="2"/>
  <c r="K101" i="2"/>
  <c r="K139" i="2"/>
  <c r="K122" i="2"/>
  <c r="K10" i="2"/>
  <c r="K137" i="2"/>
  <c r="K11" i="2"/>
  <c r="K23" i="2"/>
  <c r="K12" i="2"/>
  <c r="K24" i="2"/>
  <c r="K50" i="2"/>
  <c r="K62" i="2"/>
  <c r="K88" i="2"/>
  <c r="K114" i="2"/>
  <c r="K126" i="2"/>
  <c r="K141" i="2"/>
  <c r="K98" i="2"/>
  <c r="K127" i="2"/>
  <c r="K64" i="2"/>
  <c r="K52" i="2"/>
  <c r="K65" i="2"/>
  <c r="K78" i="2"/>
  <c r="K91" i="2"/>
  <c r="K116" i="2"/>
  <c r="K129" i="2"/>
  <c r="K142" i="2"/>
  <c r="K140" i="2"/>
  <c r="K79" i="2"/>
  <c r="K130" i="2"/>
  <c r="K143" i="2"/>
  <c r="K47" i="2"/>
  <c r="K111" i="2"/>
  <c r="K35" i="2"/>
  <c r="K51" i="2"/>
  <c r="K115" i="2"/>
  <c r="K39" i="2"/>
  <c r="K77" i="2"/>
  <c r="K117" i="2"/>
  <c r="K28" i="2"/>
  <c r="K41" i="2"/>
  <c r="K67" i="2"/>
  <c r="K80" i="2"/>
  <c r="K92" i="2"/>
  <c r="K105" i="2"/>
  <c r="K131" i="2"/>
  <c r="K144" i="2"/>
  <c r="K21" i="2"/>
  <c r="K72" i="2"/>
  <c r="K73" i="2"/>
  <c r="K38" i="2"/>
  <c r="K102" i="2"/>
  <c r="K90" i="2"/>
  <c r="K104" i="2"/>
  <c r="K16" i="2"/>
  <c r="K17" i="2"/>
  <c r="K29" i="2"/>
  <c r="K42" i="2"/>
  <c r="K54" i="2"/>
  <c r="K68" i="2"/>
  <c r="K81" i="2"/>
  <c r="K93" i="2"/>
  <c r="K106" i="2"/>
  <c r="K118" i="2"/>
  <c r="K132" i="2"/>
  <c r="K145" i="2"/>
  <c r="K34" i="2"/>
  <c r="K85" i="2"/>
  <c r="K48" i="2"/>
  <c r="K13" i="2"/>
  <c r="K63" i="2"/>
  <c r="K89" i="2"/>
  <c r="K26" i="2"/>
  <c r="K103" i="2"/>
  <c r="K40" i="2"/>
  <c r="K6" i="2"/>
  <c r="K43" i="2"/>
  <c r="K55" i="2"/>
  <c r="K69" i="2"/>
  <c r="K107" i="2"/>
  <c r="K119" i="2"/>
  <c r="K133" i="2"/>
  <c r="K146" i="2"/>
  <c r="K9" i="2"/>
  <c r="K112" i="2"/>
  <c r="K25" i="2"/>
  <c r="K14" i="2"/>
  <c r="K27" i="2"/>
  <c r="K53" i="2"/>
  <c r="K18" i="2"/>
  <c r="K56" i="2"/>
  <c r="K82" i="2"/>
  <c r="K94" i="2"/>
  <c r="K120" i="2"/>
  <c r="K60" i="2"/>
  <c r="K76" i="2"/>
  <c r="K128" i="2"/>
  <c r="K15" i="2"/>
  <c r="K66" i="2"/>
  <c r="K30" i="2"/>
  <c r="K7" i="2"/>
  <c r="K19" i="2"/>
  <c r="K31" i="2"/>
  <c r="K44" i="2"/>
  <c r="K57" i="2"/>
  <c r="K70" i="2"/>
  <c r="K83" i="2"/>
  <c r="K95" i="2"/>
  <c r="K108" i="2"/>
  <c r="K121" i="2"/>
  <c r="K134" i="2"/>
  <c r="K8" i="2"/>
  <c r="K20" i="2"/>
  <c r="K33" i="2"/>
  <c r="K46" i="2"/>
  <c r="K59" i="2"/>
  <c r="K84" i="2"/>
  <c r="K97" i="2"/>
  <c r="K110" i="2"/>
  <c r="H66" i="2"/>
  <c r="H98" i="2"/>
  <c r="H130" i="2"/>
  <c r="H34" i="2"/>
  <c r="H24" i="2"/>
  <c r="H56" i="2"/>
  <c r="H88" i="2"/>
  <c r="H120" i="2"/>
  <c r="H46" i="2"/>
  <c r="H78" i="2"/>
  <c r="H110" i="2"/>
  <c r="H142" i="2"/>
  <c r="H36" i="2"/>
  <c r="H100" i="2"/>
  <c r="H132" i="2"/>
  <c r="H26" i="2"/>
  <c r="H58" i="2"/>
  <c r="H90" i="2"/>
  <c r="H122" i="2"/>
  <c r="H68" i="2"/>
  <c r="H6" i="2"/>
  <c r="H16" i="2"/>
  <c r="H48" i="2"/>
  <c r="H80" i="2"/>
  <c r="H112" i="2"/>
  <c r="H144" i="2"/>
  <c r="H146" i="2"/>
  <c r="H10" i="2"/>
  <c r="H42" i="2"/>
  <c r="H74" i="2"/>
  <c r="H106" i="2"/>
  <c r="H138" i="2"/>
  <c r="H32" i="2"/>
  <c r="H64" i="2"/>
  <c r="H96" i="2"/>
  <c r="H128" i="2"/>
  <c r="N8" i="2"/>
  <c r="N16" i="2"/>
  <c r="N20" i="2"/>
  <c r="N24" i="2"/>
  <c r="N32" i="2"/>
  <c r="N36" i="2"/>
  <c r="N44" i="2"/>
  <c r="N48" i="2"/>
  <c r="N52" i="2"/>
  <c r="N60" i="2"/>
  <c r="N64" i="2"/>
  <c r="N72" i="2"/>
  <c r="N76" i="2"/>
  <c r="N84" i="2"/>
  <c r="N92" i="2"/>
  <c r="N100" i="2"/>
  <c r="N104" i="2"/>
  <c r="N112" i="2"/>
  <c r="N116" i="2"/>
  <c r="N124" i="2"/>
  <c r="N132" i="2"/>
  <c r="N140" i="2"/>
  <c r="H9" i="2"/>
  <c r="H13" i="2"/>
  <c r="H17" i="2"/>
  <c r="H21" i="2"/>
  <c r="H25" i="2"/>
  <c r="H29" i="2"/>
  <c r="H33" i="2"/>
  <c r="H37" i="2"/>
  <c r="H41" i="2"/>
  <c r="H45" i="2"/>
  <c r="H49" i="2"/>
  <c r="H53" i="2"/>
  <c r="H57" i="2"/>
  <c r="H61" i="2"/>
  <c r="H65" i="2"/>
  <c r="H69" i="2"/>
  <c r="H73" i="2"/>
  <c r="H77" i="2"/>
  <c r="H81" i="2"/>
  <c r="H85" i="2"/>
  <c r="H89" i="2"/>
  <c r="H93" i="2"/>
  <c r="H97" i="2"/>
  <c r="H101" i="2"/>
  <c r="H105" i="2"/>
  <c r="H109" i="2"/>
  <c r="H113" i="2"/>
  <c r="H117" i="2"/>
  <c r="H121" i="2"/>
  <c r="H125" i="2"/>
  <c r="H129" i="2"/>
  <c r="H133" i="2"/>
  <c r="H137" i="2"/>
  <c r="H141" i="2"/>
  <c r="H145" i="2"/>
  <c r="N12" i="2"/>
  <c r="N28" i="2"/>
  <c r="N40" i="2"/>
  <c r="N56" i="2"/>
  <c r="N68" i="2"/>
  <c r="N80" i="2"/>
  <c r="N88" i="2"/>
  <c r="N96" i="2"/>
  <c r="N108" i="2"/>
  <c r="N120" i="2"/>
  <c r="N128" i="2"/>
  <c r="N136" i="2"/>
  <c r="N144" i="2"/>
  <c r="N9" i="2"/>
  <c r="N13" i="2"/>
  <c r="N17" i="2"/>
  <c r="N21" i="2"/>
  <c r="N25" i="2"/>
  <c r="N29" i="2"/>
  <c r="N33" i="2"/>
  <c r="N37" i="2"/>
  <c r="N41" i="2"/>
  <c r="N45" i="2"/>
  <c r="N49" i="2"/>
  <c r="N53" i="2"/>
  <c r="N57" i="2"/>
  <c r="N61" i="2"/>
  <c r="N65" i="2"/>
  <c r="N69" i="2"/>
  <c r="N73" i="2"/>
  <c r="N77" i="2"/>
  <c r="N81" i="2"/>
  <c r="N85" i="2"/>
  <c r="N89" i="2"/>
  <c r="N93" i="2"/>
  <c r="N97" i="2"/>
  <c r="N101" i="2"/>
  <c r="N105" i="2"/>
  <c r="N109" i="2"/>
  <c r="N113" i="2"/>
  <c r="N117" i="2"/>
  <c r="N121" i="2"/>
  <c r="N125" i="2"/>
  <c r="N129" i="2"/>
  <c r="N133" i="2"/>
  <c r="N137" i="2"/>
  <c r="N141" i="2"/>
  <c r="N145" i="2"/>
  <c r="N6" i="2"/>
  <c r="N10" i="2"/>
  <c r="N14" i="2"/>
  <c r="N18" i="2"/>
  <c r="N22" i="2"/>
  <c r="N26" i="2"/>
  <c r="N30" i="2"/>
  <c r="N34" i="2"/>
  <c r="N38" i="2"/>
  <c r="N42" i="2"/>
  <c r="N46" i="2"/>
  <c r="N50" i="2"/>
  <c r="N54" i="2"/>
  <c r="N58" i="2"/>
  <c r="N62" i="2"/>
  <c r="N66" i="2"/>
  <c r="N70" i="2"/>
  <c r="N74" i="2"/>
  <c r="N78" i="2"/>
  <c r="N82" i="2"/>
  <c r="N86" i="2"/>
  <c r="N90" i="2"/>
  <c r="N94" i="2"/>
  <c r="N98" i="2"/>
  <c r="N102" i="2"/>
  <c r="N106" i="2"/>
  <c r="N110" i="2"/>
  <c r="N114" i="2"/>
  <c r="N118" i="2"/>
  <c r="N122" i="2"/>
  <c r="N126" i="2"/>
  <c r="N130" i="2"/>
  <c r="N138" i="2"/>
  <c r="N142" i="2"/>
  <c r="N146" i="2"/>
  <c r="H11" i="2"/>
  <c r="H15" i="2"/>
  <c r="H19" i="2"/>
  <c r="H23" i="2"/>
  <c r="H27" i="2"/>
  <c r="H31" i="2"/>
  <c r="H35" i="2"/>
  <c r="H39" i="2"/>
  <c r="H43" i="2"/>
  <c r="H47" i="2"/>
  <c r="H51" i="2"/>
  <c r="H55" i="2"/>
  <c r="H59" i="2"/>
  <c r="H63" i="2"/>
  <c r="H67" i="2"/>
  <c r="H71" i="2"/>
  <c r="H75" i="2"/>
  <c r="H79" i="2"/>
  <c r="H83" i="2"/>
  <c r="H87" i="2"/>
  <c r="H91" i="2"/>
  <c r="H95" i="2"/>
  <c r="H99" i="2"/>
  <c r="H103" i="2"/>
  <c r="H107" i="2"/>
  <c r="H111" i="2"/>
  <c r="H115" i="2"/>
  <c r="H119" i="2"/>
  <c r="H123" i="2"/>
  <c r="H127" i="2"/>
  <c r="H131" i="2"/>
  <c r="H135" i="2"/>
  <c r="H139" i="2"/>
  <c r="N7" i="2"/>
  <c r="N11" i="2"/>
  <c r="N15" i="2"/>
  <c r="N19" i="2"/>
  <c r="N23" i="2"/>
  <c r="N27" i="2"/>
  <c r="N31" i="2"/>
  <c r="N35" i="2"/>
  <c r="N39" i="2"/>
  <c r="N43" i="2"/>
  <c r="N47" i="2"/>
  <c r="N51" i="2"/>
  <c r="N55" i="2"/>
  <c r="N59" i="2"/>
  <c r="N63" i="2"/>
  <c r="N67" i="2"/>
  <c r="N71" i="2"/>
  <c r="N75" i="2"/>
  <c r="N79" i="2"/>
  <c r="N83" i="2"/>
  <c r="N87" i="2"/>
  <c r="N91" i="2"/>
  <c r="N95" i="2"/>
  <c r="N99" i="2"/>
  <c r="N103" i="2"/>
  <c r="N107" i="2"/>
  <c r="N111" i="2"/>
  <c r="N115" i="2"/>
  <c r="N119" i="2"/>
  <c r="N123" i="2"/>
  <c r="N127" i="2"/>
  <c r="N131" i="2"/>
  <c r="N135" i="2"/>
  <c r="N139" i="2"/>
</calcChain>
</file>

<file path=xl/sharedStrings.xml><?xml version="1.0" encoding="utf-8"?>
<sst xmlns="http://schemas.openxmlformats.org/spreadsheetml/2006/main" count="871" uniqueCount="349">
  <si>
    <r>
      <t>Mass</t>
    </r>
    <r>
      <rPr>
        <vertAlign val="superscript"/>
        <sz val="11"/>
        <color theme="1"/>
        <rFont val="Calibri"/>
        <family val="2"/>
      </rPr>
      <t>[1]</t>
    </r>
  </si>
  <si>
    <r>
      <t>Composition</t>
    </r>
    <r>
      <rPr>
        <vertAlign val="superscript"/>
        <sz val="11"/>
        <color theme="1"/>
        <rFont val="Calibri"/>
        <family val="2"/>
      </rPr>
      <t>[2]</t>
    </r>
  </si>
  <si>
    <r>
      <t xml:space="preserve">Putative structures </t>
    </r>
    <r>
      <rPr>
        <vertAlign val="superscript"/>
        <sz val="11"/>
        <color theme="1"/>
        <rFont val="Calibri"/>
        <family val="2"/>
      </rPr>
      <t>[3]</t>
    </r>
  </si>
  <si>
    <r>
      <t xml:space="preserve">RT </t>
    </r>
    <r>
      <rPr>
        <vertAlign val="superscript"/>
        <sz val="11"/>
        <color theme="1"/>
        <rFont val="Calibri"/>
        <family val="2"/>
      </rPr>
      <t>[10]</t>
    </r>
  </si>
  <si>
    <r>
      <t>Intensity</t>
    </r>
    <r>
      <rPr>
        <vertAlign val="superscript"/>
        <sz val="11"/>
        <color theme="1"/>
        <rFont val="Calibri"/>
        <family val="2"/>
      </rPr>
      <t xml:space="preserve"> [11]</t>
    </r>
  </si>
  <si>
    <t>Percentage</t>
  </si>
  <si>
    <t>RT4</t>
  </si>
  <si>
    <t>Intensity4</t>
  </si>
  <si>
    <t>Percentage2</t>
  </si>
  <si>
    <t>RT6</t>
  </si>
  <si>
    <t>Intensity6</t>
  </si>
  <si>
    <t>Percentage3</t>
  </si>
  <si>
    <t>RT7</t>
  </si>
  <si>
    <t>Intensity7</t>
  </si>
  <si>
    <t>Percentage4</t>
  </si>
  <si>
    <t>nd</t>
  </si>
  <si>
    <t>Hex2HexNAc2deHex2</t>
  </si>
  <si>
    <r>
      <t>Fucα1-2Galβ1-3</t>
    </r>
    <r>
      <rPr>
        <sz val="11"/>
        <color theme="1"/>
        <rFont val="Calibri"/>
        <family val="2"/>
      </rPr>
      <t>(Fucα1-2Galβ1-4GlcNAcβ1-6)</t>
    </r>
    <r>
      <rPr>
        <sz val="11"/>
        <color theme="1"/>
        <rFont val="Calibri"/>
        <family val="2"/>
        <scheme val="minor"/>
      </rPr>
      <t>GalNAcol</t>
    </r>
  </si>
  <si>
    <t>Hex1HexNAc1deHex1</t>
  </si>
  <si>
    <t>Fucα1-2Galβ1-3GalNAcol</t>
  </si>
  <si>
    <t>1098-1</t>
  </si>
  <si>
    <t>1098-2</t>
  </si>
  <si>
    <t>1098-3</t>
  </si>
  <si>
    <t>Hex2HexNAc3deHex1</t>
  </si>
  <si>
    <t>Fuc</t>
  </si>
  <si>
    <t>H3</t>
  </si>
  <si>
    <t>Lewis</t>
  </si>
  <si>
    <r>
      <t>Fuc</t>
    </r>
    <r>
      <rPr>
        <sz val="11"/>
        <color theme="1"/>
        <rFont val="Calibri"/>
        <family val="2"/>
      </rPr>
      <t>α1-3(Galβ1-4)GlcNAcβ1-3Galβ1-3GlcNAcβ1-3GalNAcol</t>
    </r>
  </si>
  <si>
    <t>GlcNAcα1-4Galβ1-3(Fucα1-2Galβ1-4GlcNAcβ1-6)GalNAcol</t>
  </si>
  <si>
    <r>
      <t>Gal</t>
    </r>
    <r>
      <rPr>
        <sz val="11"/>
        <color theme="1"/>
        <rFont val="Calibri"/>
        <family val="2"/>
      </rPr>
      <t>β1-3GlcNAcβ1-3(Fucα1-2Galβ1-4GlcNAcβ1-6)GalNAcol</t>
    </r>
  </si>
  <si>
    <t>H2</t>
  </si>
  <si>
    <t>21.05*</t>
  </si>
  <si>
    <t>Hex3HexNAc3deHex1</t>
  </si>
  <si>
    <t>Galβ1-3(Fucα1-2Galβ1-4GlcNAcβ1-3Galβ1-4GlcNAcβ1-6)GalNAcol</t>
  </si>
  <si>
    <t>Hex1HexNAc1deHex2</t>
  </si>
  <si>
    <r>
      <t>Fuc</t>
    </r>
    <r>
      <rPr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  <scheme val="minor"/>
      </rPr>
      <t>1-2Gal</t>
    </r>
    <r>
      <rPr>
        <sz val="11"/>
        <color theme="1"/>
        <rFont val="Calibri"/>
        <family val="2"/>
      </rPr>
      <t>β</t>
    </r>
    <r>
      <rPr>
        <sz val="11"/>
        <color theme="1"/>
        <rFont val="Calibri"/>
        <family val="2"/>
        <scheme val="minor"/>
      </rPr>
      <t>1-4(Fuc</t>
    </r>
    <r>
      <rPr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  <scheme val="minor"/>
      </rPr>
      <t>1-3)GlcNAcol</t>
    </r>
  </si>
  <si>
    <t>690-1</t>
  </si>
  <si>
    <t>Hex2HexNAc1deHex1</t>
  </si>
  <si>
    <t>690-2</t>
  </si>
  <si>
    <t>H1</t>
  </si>
  <si>
    <t>528-1</t>
  </si>
  <si>
    <t>528-2</t>
  </si>
  <si>
    <t>Fucα1-2Galβ1-4GlcNAc</t>
  </si>
  <si>
    <t>Fucα1-2Galβ1-4GlcNAcβ1-3Galc</t>
  </si>
  <si>
    <t>Fucα1-2Galβ1-3GlcNAcβ1-3Galc</t>
  </si>
  <si>
    <t>Fucα1-2Galβ1-3GlcNAc</t>
  </si>
  <si>
    <t>Fucα1-2Galβ-4GlcNAcβ1-3Galol</t>
  </si>
  <si>
    <t>733-1</t>
  </si>
  <si>
    <t>733-2</t>
  </si>
  <si>
    <t>Hex1HexNAc2deHex1</t>
  </si>
  <si>
    <t>18.63*</t>
  </si>
  <si>
    <r>
      <t>Fuc</t>
    </r>
    <r>
      <rPr>
        <sz val="11"/>
        <color theme="1"/>
        <rFont val="Calibri"/>
        <family val="2"/>
      </rPr>
      <t>α1-2Galβ1-3GlcNAcβ1-6GalNAcol</t>
    </r>
  </si>
  <si>
    <t>1486-1</t>
  </si>
  <si>
    <t>1486-2</t>
  </si>
  <si>
    <t>Hex3HexNAc3deHex2Sul1</t>
  </si>
  <si>
    <t>Hex3HexNAc4deHex1Sul1</t>
  </si>
  <si>
    <t>Hex4HexNAc3deHex2</t>
  </si>
  <si>
    <t>1609-1</t>
  </si>
  <si>
    <t>1609-2</t>
  </si>
  <si>
    <t>1609-3</t>
  </si>
  <si>
    <t>Hex3HexNAc4deHex2</t>
  </si>
  <si>
    <t>Hex4HexNAc4deHex1</t>
  </si>
  <si>
    <t>Galβ1-3(Fucα1-2Galβ1-4GlcNAcβ1-3Galβ1-4GlcNAcβ1-3Galβ1-4GlcNAcβ1-6)GalNAcol</t>
  </si>
  <si>
    <t>Hex3HexNAc4deHex2Sul1</t>
  </si>
  <si>
    <t>Hex5HexNAc3deHex2</t>
  </si>
  <si>
    <t>Hex4HexNAc4deHex2</t>
  </si>
  <si>
    <t>Hex2HexNAc3deHex2Sul1</t>
  </si>
  <si>
    <t>Fucα1-2Galβ1-4GlcNAcβ1-3[Fucα1-2Galβ1-4(6S)GlcNAcβ1-6]GalNAcol</t>
  </si>
  <si>
    <t>1406-1</t>
  </si>
  <si>
    <t>1406-2</t>
  </si>
  <si>
    <t>1406-3</t>
  </si>
  <si>
    <t>1406-4</t>
  </si>
  <si>
    <t>1406-5</t>
  </si>
  <si>
    <t>Hex3HexNAc3deHex2</t>
  </si>
  <si>
    <t>Lewis/H2</t>
  </si>
  <si>
    <t>23.30*</t>
  </si>
  <si>
    <t>1203-1</t>
  </si>
  <si>
    <t>1203-3</t>
  </si>
  <si>
    <t>1203-2</t>
  </si>
  <si>
    <t>Hex3HexNAc2deHex2</t>
  </si>
  <si>
    <t>Fucα1-2Galβ1-4GlcNAcβ1-3[Fuc(Gal)GlcNAcβ1-6]Galol</t>
  </si>
  <si>
    <t>Fucα1-2Galβ1-4GlcNAcβ1-3(Fucα1-2Galβ1-4GlcNAcβ1-6)Galol</t>
  </si>
  <si>
    <t>Fucα1-2Galβ1-3GlcNAcβ1-3(Fucα1-2)Galβ1-4GlcNAcβ1-3Galol</t>
  </si>
  <si>
    <t>Hex2HexNAc2deHex2Sul1</t>
  </si>
  <si>
    <t>Hex5HexNAc5deHex3</t>
  </si>
  <si>
    <t>Fucα1-2Galβ1-4GlcNAcβ1-3Galβ1-3[Fucα1-2Galβ1-3GlcNAcβ1-3(Fucα1-2)Galβ1-4GlcNAcβ1-3Galβ1-4GlcNAcβ1-6]GalNAcol</t>
  </si>
  <si>
    <t>1057-1</t>
  </si>
  <si>
    <t>1057-2</t>
  </si>
  <si>
    <t>Hex3HexNAc2deHex1</t>
  </si>
  <si>
    <t>Gal(Fuc)GlcNAcβ1-3Galβ1-4GlcNAcβ1-3Galol</t>
  </si>
  <si>
    <t>Fucα1-2Galβ1-4GlcNAcβ1-3Galβ1-4GlcNAcβ1-3Galol</t>
  </si>
  <si>
    <t>Hex1HexNAc3deHex1Sul1</t>
  </si>
  <si>
    <t>GlcNAcβ1-3[Fucα1-2Galβ1-4(6S)GlcNAcβ1-6]GalNAcol</t>
  </si>
  <si>
    <t>Hex5HexNAc4deHex3</t>
  </si>
  <si>
    <t>1041-1</t>
  </si>
  <si>
    <t>1041-2</t>
  </si>
  <si>
    <t>1041-3</t>
  </si>
  <si>
    <r>
      <t>Fuc</t>
    </r>
    <r>
      <rPr>
        <sz val="11"/>
        <color theme="1"/>
        <rFont val="Calibri"/>
        <family val="2"/>
      </rPr>
      <t>α1-2Galβ1-4GlcNAcβ1-3(Fucα1-2)Galβ1-3GalNAcol</t>
    </r>
  </si>
  <si>
    <r>
      <t>Fucα1-2Galβ1-3</t>
    </r>
    <r>
      <rPr>
        <sz val="11"/>
        <color theme="1"/>
        <rFont val="Calibri"/>
        <family val="2"/>
      </rPr>
      <t>(Fucα1-2Galβ1-3GlcNAcβ1-6)</t>
    </r>
    <r>
      <rPr>
        <sz val="11"/>
        <color theme="1"/>
        <rFont val="Calibri"/>
        <family val="2"/>
        <scheme val="minor"/>
      </rPr>
      <t>GalNAcol</t>
    </r>
  </si>
  <si>
    <t>975-1</t>
  </si>
  <si>
    <t>975-2</t>
  </si>
  <si>
    <t>Hex2HexNAc2deHex1Sul1</t>
  </si>
  <si>
    <r>
      <t>Fuc</t>
    </r>
    <r>
      <rPr>
        <sz val="11"/>
        <color theme="1"/>
        <rFont val="Calibri"/>
        <family val="2"/>
      </rPr>
      <t>α1-2</t>
    </r>
    <r>
      <rPr>
        <sz val="11"/>
        <color theme="1"/>
        <rFont val="Calibri"/>
        <family val="2"/>
        <scheme val="minor"/>
      </rPr>
      <t>Gal</t>
    </r>
    <r>
      <rPr>
        <sz val="11"/>
        <color theme="1"/>
        <rFont val="Calibri"/>
        <family val="2"/>
      </rPr>
      <t>β1-4</t>
    </r>
    <r>
      <rPr>
        <sz val="11"/>
        <color theme="1"/>
        <rFont val="Calibri"/>
        <family val="2"/>
        <scheme val="minor"/>
      </rPr>
      <t>(6S)GlcNAc</t>
    </r>
    <r>
      <rPr>
        <sz val="11"/>
        <color theme="1"/>
        <rFont val="Times New Roman"/>
        <family val="1"/>
      </rPr>
      <t>β1</t>
    </r>
    <r>
      <rPr>
        <sz val="11"/>
        <color theme="1"/>
        <rFont val="Calibri"/>
        <family val="2"/>
        <scheme val="minor"/>
      </rPr>
      <t>-3Galβ1-3GalNAcol</t>
    </r>
  </si>
  <si>
    <t>Galβ1-3[Fucα1-2Galβ1-4(6S)GlcNAcβ1-6]GalNAcol</t>
  </si>
  <si>
    <t>1917-1</t>
  </si>
  <si>
    <t>1917-2</t>
  </si>
  <si>
    <t>Hex4HexNAc4deHex3</t>
  </si>
  <si>
    <t>Hex3HexNAc4deHex1</t>
  </si>
  <si>
    <t>895-1</t>
  </si>
  <si>
    <t>895-2</t>
  </si>
  <si>
    <t>895-3</t>
  </si>
  <si>
    <t>Hex2HexNAc2deHex1</t>
  </si>
  <si>
    <t>Fucα1-2Galβ1-4GlcNAcβ1-6Galβ1-3GalNAcol</t>
  </si>
  <si>
    <t>19.55*</t>
  </si>
  <si>
    <t>Galβ1-3(Fucα1-2Galβ1-4GlcNAcβ1-6)GalNAcol</t>
  </si>
  <si>
    <t>Fucα1-2Galβ1-4GlcNAcβ1-3Galβ1-3GalNAcol</t>
  </si>
  <si>
    <t>18.43*</t>
  </si>
  <si>
    <t>895-4</t>
  </si>
  <si>
    <r>
      <t>Gal</t>
    </r>
    <r>
      <rPr>
        <sz val="11"/>
        <color theme="1"/>
        <rFont val="Calibri"/>
        <family val="2"/>
      </rPr>
      <t>β1-4</t>
    </r>
    <r>
      <rPr>
        <sz val="11"/>
        <color theme="1"/>
        <rFont val="Calibri"/>
        <family val="2"/>
        <scheme val="minor"/>
      </rPr>
      <t>(Fuc</t>
    </r>
    <r>
      <rPr>
        <sz val="11"/>
        <color theme="1"/>
        <rFont val="Calibri"/>
        <family val="2"/>
      </rPr>
      <t>α1-3</t>
    </r>
    <r>
      <rPr>
        <sz val="11"/>
        <color theme="1"/>
        <rFont val="Calibri"/>
        <family val="2"/>
        <scheme val="minor"/>
      </rPr>
      <t>)GlcNAc</t>
    </r>
    <r>
      <rPr>
        <sz val="11"/>
        <color theme="1"/>
        <rFont val="Calibri"/>
        <family val="2"/>
      </rPr>
      <t>β1</t>
    </r>
    <r>
      <rPr>
        <sz val="11"/>
        <color theme="1"/>
        <rFont val="Calibri"/>
        <family val="2"/>
        <scheme val="minor"/>
      </rPr>
      <t>-3Gal</t>
    </r>
    <r>
      <rPr>
        <sz val="11"/>
        <color theme="1"/>
        <rFont val="Calibri"/>
        <family val="2"/>
      </rPr>
      <t>β1-3GalNAcol</t>
    </r>
  </si>
  <si>
    <t>692-1</t>
  </si>
  <si>
    <t>692-2</t>
  </si>
  <si>
    <t>Fucα1-2Galβ-3GlcNAcβ1-3Galol</t>
  </si>
  <si>
    <t>Fucα1-2Galβ1-3[Fucα1-2Galβ1-4GlcNAcβ1-3Galβ1-4(6S)GlcNAcβ1-6]GalNAcol</t>
  </si>
  <si>
    <r>
      <t>Fuc</t>
    </r>
    <r>
      <rPr>
        <sz val="11"/>
        <color theme="1"/>
        <rFont val="Times New Roman"/>
        <family val="1"/>
      </rPr>
      <t>α</t>
    </r>
    <r>
      <rPr>
        <sz val="11"/>
        <color theme="1"/>
        <rFont val="Calibri"/>
        <family val="2"/>
        <scheme val="minor"/>
      </rPr>
      <t>1-2Galβ1-4GlcNAcβ1-3[Fucα1-2Galβ1-4(6S)GlcNAcβ1-6]Galβ1-3GalNAcol</t>
    </r>
  </si>
  <si>
    <t>Hex2HexNAc3deHex1Sul1</t>
  </si>
  <si>
    <r>
      <t>Fucα1-2Galβ1-4(6S)GlcNAc</t>
    </r>
    <r>
      <rPr>
        <sz val="11"/>
        <color theme="1"/>
        <rFont val="Calibri"/>
        <family val="2"/>
      </rPr>
      <t>β</t>
    </r>
    <r>
      <rPr>
        <sz val="11"/>
        <color theme="1"/>
        <rFont val="Calibri"/>
        <family val="2"/>
        <scheme val="minor"/>
      </rPr>
      <t>1-3Gal</t>
    </r>
    <r>
      <rPr>
        <sz val="11"/>
        <color theme="1"/>
        <rFont val="Times New Roman"/>
        <family val="1"/>
      </rPr>
      <t>β</t>
    </r>
    <r>
      <rPr>
        <sz val="11"/>
        <color theme="1"/>
        <rFont val="Calibri"/>
        <family val="2"/>
        <scheme val="minor"/>
      </rPr>
      <t>1-4GlcNAcβ1-6GalNAcol</t>
    </r>
  </si>
  <si>
    <t>15.54*</t>
  </si>
  <si>
    <t>14.68*</t>
  </si>
  <si>
    <t>Hex1HexNAc2deHex1Sul1</t>
  </si>
  <si>
    <t>Fucα1-2Galβ1-4(6S)GlcNAcβ1-6GalNAcol</t>
  </si>
  <si>
    <t>895-5</t>
  </si>
  <si>
    <t>Fucα1-2Galβ1-3GlcNAcβ1-6Galβ1-3GalNAcol</t>
  </si>
  <si>
    <t>Hex2HexNAc2</t>
  </si>
  <si>
    <t>Galβ1-3GlcNAcβ1-6Galβ1-3GalNAcol</t>
  </si>
  <si>
    <t>GlcNAcβ1-3(Fucα1-2Galβ1-3GlcNAcβ1-3Galβ1-4GlcNAcβ1-6)Galβ1-3GalNAcol</t>
  </si>
  <si>
    <t>18.84*</t>
  </si>
  <si>
    <t>Gal(Fuc)GlcNAcβ1-3[Fuc(Gal)GlcNAcβ1-6]Galβ1-3GalNAcol</t>
  </si>
  <si>
    <t>Hex1HexNAc1</t>
  </si>
  <si>
    <t>GlcNAcβ1-3Galol</t>
  </si>
  <si>
    <t>546-2</t>
  </si>
  <si>
    <t>Hex2HexNAc1</t>
  </si>
  <si>
    <r>
      <t>Gal</t>
    </r>
    <r>
      <rPr>
        <sz val="11"/>
        <color theme="1"/>
        <rFont val="Calibri"/>
        <family val="2"/>
      </rPr>
      <t>β1-4GlcNAcβ1-3Galol</t>
    </r>
  </si>
  <si>
    <t>530-1</t>
  </si>
  <si>
    <t>530-2</t>
  </si>
  <si>
    <r>
      <t>Fuc</t>
    </r>
    <r>
      <rPr>
        <sz val="11"/>
        <color theme="1"/>
        <rFont val="Calibri"/>
        <family val="2"/>
      </rPr>
      <t>α1-2(GalNAcα1-3)Galol</t>
    </r>
  </si>
  <si>
    <t>A</t>
  </si>
  <si>
    <t>Galβ1-3[Fucα1-2(GalNAcα1-3)Galβ1-4GlcNAcβ1-6]GalNAcol</t>
  </si>
  <si>
    <t>1098-4</t>
  </si>
  <si>
    <t>1098-5</t>
  </si>
  <si>
    <r>
      <t>Fucα1-2Galβ1-3(GlcNAc</t>
    </r>
    <r>
      <rPr>
        <sz val="11"/>
        <color theme="1"/>
        <rFont val="Calibri"/>
        <family val="2"/>
      </rPr>
      <t>α</t>
    </r>
    <r>
      <rPr>
        <sz val="8.8000000000000007"/>
        <color theme="1"/>
        <rFont val="Calibri"/>
        <family val="2"/>
      </rPr>
      <t>1</t>
    </r>
    <r>
      <rPr>
        <sz val="11"/>
        <color theme="1"/>
        <rFont val="Calibri"/>
        <family val="2"/>
        <scheme val="minor"/>
      </rPr>
      <t>-4Galβ1-4GlcNAcβ1-6)GalNAcol</t>
    </r>
  </si>
  <si>
    <t>1301-1</t>
  </si>
  <si>
    <t>1301-2</t>
  </si>
  <si>
    <t>1301-3</t>
  </si>
  <si>
    <t>Hex2HexNAc4deHex1</t>
  </si>
  <si>
    <t>GlcNAcα1-4Galβ1-3[GalNAcα1-3(Fucα1-2)Galβ1-4GlcNAcβ1-6]GalNAcol</t>
  </si>
  <si>
    <t>GalNAcα1-3(Fucα1-2)Galβ1-3(GlcNAcα1-4Galβ1-4GlcNAcβ1-6)GalNAcol</t>
  </si>
  <si>
    <t>Fucα1-2Galβ1-4GlcNAcβ1-3(GlcNAcα1-4Galβ1-4GlcNAcβ1-6)GalNAcol</t>
  </si>
  <si>
    <t>675-1</t>
  </si>
  <si>
    <t>675-2</t>
  </si>
  <si>
    <t>NeuAc1Hex1HexNAc1</t>
  </si>
  <si>
    <t>Galβ1-3(NeuAcα2-6)GalNAcol</t>
  </si>
  <si>
    <t>NeuAcα2-3Galβ1-3GalNAcol</t>
  </si>
  <si>
    <t>Hex2HexNAc5</t>
  </si>
  <si>
    <t>GlcNAcα1-4Galβ1-4GlcNAcβ1-3(GlcNAcβ1-6)Galβ1-3(GlcNAcβ1-6)GalNAcol</t>
  </si>
  <si>
    <t>691-1</t>
  </si>
  <si>
    <t>691-2</t>
  </si>
  <si>
    <t>NeuGc1Hex1HexNAc1</t>
  </si>
  <si>
    <t>Galβ1-3(NeuGcα2-6)GalNAcol</t>
  </si>
  <si>
    <t>NeuGcα2-3Galβ1-3GalNAcol</t>
  </si>
  <si>
    <r>
      <t>Fucα1-2Galβ1-4GlcNAcβ1-3Galβ1-3[Gal</t>
    </r>
    <r>
      <rPr>
        <sz val="11"/>
        <color theme="1"/>
        <rFont val="Calibri"/>
        <family val="2"/>
      </rPr>
      <t>β1-4</t>
    </r>
    <r>
      <rPr>
        <sz val="11"/>
        <color theme="1"/>
        <rFont val="Calibri"/>
        <family val="2"/>
        <scheme val="minor"/>
      </rPr>
      <t>(Fuc</t>
    </r>
    <r>
      <rPr>
        <sz val="11"/>
        <color theme="1"/>
        <rFont val="Calibri"/>
        <family val="2"/>
      </rPr>
      <t>α1-3</t>
    </r>
    <r>
      <rPr>
        <sz val="11"/>
        <color theme="1"/>
        <rFont val="Calibri"/>
        <family val="2"/>
        <scheme val="minor"/>
      </rPr>
      <t>)GlcNAcβ1-6]GalNAcol</t>
    </r>
  </si>
  <si>
    <r>
      <t>Fuc</t>
    </r>
    <r>
      <rPr>
        <sz val="11"/>
        <color theme="1"/>
        <rFont val="Calibri"/>
        <family val="2"/>
      </rPr>
      <t>α1-2Galβ1-4GlcNAcβ1-3Galβ1-3(Fucα1-2Galβ1-4GlcNAcβ1-6)GalNAcol</t>
    </r>
  </si>
  <si>
    <t>Fucα1-2Galβ1-4GlcNAcβ1-3(Fucα1-2Galβ1-4GlcNAcβ1-6)Galβ1-3GalNAcol</t>
  </si>
  <si>
    <t>Galβ1-3[Fucα1-2Galβ1-4(GlcNAcβ1-3(Fucα1-2)Galβ1-4GlcNAcβ1-6]GalNAcol</t>
  </si>
  <si>
    <t>Fucα1-2Galβ1-4GlcNAcβ1-3[Fuc(Gal)GlcNAcβ1-6]Galβ1-3GalNAcol</t>
  </si>
  <si>
    <t>Hex2HexNAc4deHex2</t>
  </si>
  <si>
    <t>GalNAcα1-3(Fucα1-2)Galβ1-3[GalNAcα1-3(Fucα1-2)Galβ1-4GlcNAcβ1-6]GalNAcol</t>
  </si>
  <si>
    <t>1463-1</t>
  </si>
  <si>
    <t>1463-2</t>
  </si>
  <si>
    <t>1463-3</t>
  </si>
  <si>
    <t>Galβ1-3[GalNAcα1-3(Fucα1-2)Galβ1-4GlcNAcβ1-3Galβ1-4GlcNAcβ1-6]GalNAcol</t>
  </si>
  <si>
    <t>Fucα1-2Galβ1-4GlcNAcβ1-3(Galβ1-3GlcNAcβ1-6)Galβ1-3(GlcNAcβ1-6)GalNAcol</t>
  </si>
  <si>
    <t>Fucα1-2(GalNAcα1-3)Galβ1-3GalNAcol</t>
  </si>
  <si>
    <t>733-3</t>
  </si>
  <si>
    <r>
      <t>Fuc</t>
    </r>
    <r>
      <rPr>
        <sz val="11"/>
        <color theme="1"/>
        <rFont val="Calibri"/>
        <family val="2"/>
      </rPr>
      <t>α1-2Galβ1-4GlcNAcβ1-3GalNAcol</t>
    </r>
  </si>
  <si>
    <t>733-5</t>
  </si>
  <si>
    <t>Fucα1-2Galβ1-3(GlcNAcβ1-6)GalNAcol</t>
  </si>
  <si>
    <t>Hex4HexNAc4</t>
  </si>
  <si>
    <t>Galβ1-4GlcNAcβ1-3(Galβ1-4GlcNAcβ1-6)Galβ1-3(Galβ1-4GlcNAcβ1-6)GalNAcol</t>
  </si>
  <si>
    <t>749-1</t>
  </si>
  <si>
    <t>749-2</t>
  </si>
  <si>
    <t>749-3</t>
  </si>
  <si>
    <t>749-4</t>
  </si>
  <si>
    <t>GlcNAcα1-4Galβ1-4GlcNAcβ1-3Galol</t>
  </si>
  <si>
    <t>Galβ1-3(Galβ1-4GlcNAcβ1-6)GalNAcol</t>
  </si>
  <si>
    <t>Galβ1-4GlcNAcβ1-3Galβ1-3GalNAcol</t>
  </si>
  <si>
    <t>1504-1</t>
  </si>
  <si>
    <t>1504-2</t>
  </si>
  <si>
    <t>Hex2HexNAc5deHex1</t>
  </si>
  <si>
    <r>
      <t>GalNAcα1-3(Fucα1-2)Gal</t>
    </r>
    <r>
      <rPr>
        <sz val="11"/>
        <color theme="1"/>
        <rFont val="Calibri"/>
        <family val="2"/>
      </rPr>
      <t>β1-4GlcNAcβ1-3(GlcNAcβ1-6)Galβ1-3(GlcNAcβ1-6)GalNAcol</t>
    </r>
  </si>
  <si>
    <t>GlcNAcβ1-3[Fucα1-2(GalNAcα1-3)Galβ1-4GlcNAcβ1-6]Galβ1-3(GlcNAcβ1-6)GalNAcol</t>
  </si>
  <si>
    <t>16.93*</t>
  </si>
  <si>
    <t>17.36*</t>
  </si>
  <si>
    <t>Hex3HexNAc5</t>
  </si>
  <si>
    <t>GlcNAcα1-4Galβ1-4GlcNAcβ1-3(GlcNAcα1-4Galβ1-4GlcNAcβ1-6)Galβ1-3GalNAcol</t>
  </si>
  <si>
    <t>GalNAcα1-3(Fucα1-2)Galβ1-4(6S)GlcNAcβ1-3(Galβ1-4GlcNAcβ1-6)Galβ1-3GalNAcol</t>
  </si>
  <si>
    <t>Hex1HexNAc3</t>
  </si>
  <si>
    <t>GlcNAcα1-4Galβ1-3(GlcNAcβ1-6)GalNAcol</t>
  </si>
  <si>
    <t>NueAc1Hex1HexNAc1deHex1</t>
  </si>
  <si>
    <t>Fucα1-2Galβ1-3(NeuAcα2-6)GalNAcol</t>
  </si>
  <si>
    <t>Hex4HexNAc5</t>
  </si>
  <si>
    <t>GlcNAcα1-4Galβ1-4GlcNAcβ1-3(Galβ1-4GlcNAcβ1-6)Galβ1-3(Galβ1-4GlcNAcβ1-6)GalNAcol</t>
  </si>
  <si>
    <r>
      <t>Fucα1-2Gal</t>
    </r>
    <r>
      <rPr>
        <sz val="11"/>
        <color theme="1"/>
        <rFont val="Calibri"/>
        <family val="2"/>
      </rPr>
      <t>β1</t>
    </r>
    <r>
      <rPr>
        <sz val="11"/>
        <color theme="1"/>
        <rFont val="Calibri"/>
        <family val="2"/>
        <scheme val="minor"/>
      </rPr>
      <t>-4GlcNAcβ1-3(Fucα1-2Gal</t>
    </r>
    <r>
      <rPr>
        <sz val="11"/>
        <color theme="1"/>
        <rFont val="Calibri"/>
        <family val="2"/>
      </rPr>
      <t>β1</t>
    </r>
    <r>
      <rPr>
        <sz val="11"/>
        <color theme="1"/>
        <rFont val="Calibri"/>
        <family val="2"/>
        <scheme val="minor"/>
      </rPr>
      <t>-4GlcNAcβ1-6)Galβ1-3(6S-GlcNAcβ1-6)GalNAcol</t>
    </r>
  </si>
  <si>
    <t>Hex4HexNAc4deHex1Sul1</t>
  </si>
  <si>
    <t>1723-1</t>
  </si>
  <si>
    <t>1723-2</t>
  </si>
  <si>
    <t>Hex3HexNAc6</t>
  </si>
  <si>
    <t>20.79*</t>
  </si>
  <si>
    <t>878-1</t>
  </si>
  <si>
    <t>878-2</t>
  </si>
  <si>
    <t>NeuAc1Hex1HexNAc2</t>
  </si>
  <si>
    <r>
      <t>GlcNAc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</rPr>
      <t>1-4Galβ1-3(NeuAcα2-6)GalNAcol</t>
    </r>
  </si>
  <si>
    <t>NeuAcα2-3Galβ1-3(GlcNAcβ1-6)GalNAcol</t>
  </si>
  <si>
    <t>Hex1HexNAc2deHex2</t>
  </si>
  <si>
    <t>Fucα1-2(GalNAcα1-3)Gal-(Fuc)GlcNAcol</t>
  </si>
  <si>
    <t>1771-1</t>
  </si>
  <si>
    <t>1771-2</t>
  </si>
  <si>
    <t>1771-3</t>
  </si>
  <si>
    <t>1771-4</t>
  </si>
  <si>
    <t>1771-5</t>
  </si>
  <si>
    <r>
      <t>Gal</t>
    </r>
    <r>
      <rPr>
        <sz val="11"/>
        <color rgb="FF000000"/>
        <rFont val="Times New Roman"/>
        <family val="1"/>
      </rPr>
      <t>β</t>
    </r>
    <r>
      <rPr>
        <sz val="11"/>
        <color rgb="FF000000"/>
        <rFont val="Calibri"/>
        <family val="2"/>
        <scheme val="minor"/>
      </rPr>
      <t>1-4(Fucα1-3)GlcNAc</t>
    </r>
    <r>
      <rPr>
        <sz val="11"/>
        <color rgb="FF000000"/>
        <rFont val="Times New Roman"/>
        <family val="1"/>
      </rPr>
      <t>β</t>
    </r>
    <r>
      <rPr>
        <sz val="11"/>
        <color rgb="FF000000"/>
        <rFont val="Calibri"/>
        <family val="2"/>
        <scheme val="minor"/>
      </rPr>
      <t>1-3(Gal</t>
    </r>
    <r>
      <rPr>
        <sz val="11"/>
        <color rgb="FF000000"/>
        <rFont val="Times New Roman"/>
        <family val="1"/>
      </rPr>
      <t>β</t>
    </r>
    <r>
      <rPr>
        <sz val="11"/>
        <color rgb="FF000000"/>
        <rFont val="Calibri"/>
        <family val="2"/>
        <scheme val="minor"/>
      </rPr>
      <t>1-4GlcNAc</t>
    </r>
    <r>
      <rPr>
        <sz val="11"/>
        <color rgb="FF000000"/>
        <rFont val="Times New Roman"/>
        <family val="1"/>
      </rPr>
      <t>β</t>
    </r>
    <r>
      <rPr>
        <sz val="11"/>
        <color rgb="FF000000"/>
        <rFont val="Calibri"/>
        <family val="2"/>
        <scheme val="minor"/>
      </rPr>
      <t>1-6)Gal</t>
    </r>
    <r>
      <rPr>
        <sz val="11"/>
        <color rgb="FF000000"/>
        <rFont val="Times New Roman"/>
        <family val="1"/>
      </rPr>
      <t>β</t>
    </r>
    <r>
      <rPr>
        <sz val="11"/>
        <color rgb="FF000000"/>
        <rFont val="Calibri"/>
        <family val="2"/>
        <scheme val="minor"/>
      </rPr>
      <t>1-3(Fucα1-2Galβ1-4GlcNAcβ1-6)GalNAcol</t>
    </r>
  </si>
  <si>
    <r>
      <t>Fucα1-2Gal</t>
    </r>
    <r>
      <rPr>
        <sz val="11"/>
        <color rgb="FF000000"/>
        <rFont val="Times New Roman"/>
        <family val="1"/>
      </rPr>
      <t>β</t>
    </r>
    <r>
      <rPr>
        <sz val="11"/>
        <color rgb="FF000000"/>
        <rFont val="Calibri"/>
        <family val="2"/>
        <scheme val="minor"/>
      </rPr>
      <t>1-4GlcNAc</t>
    </r>
    <r>
      <rPr>
        <sz val="11"/>
        <color rgb="FF000000"/>
        <rFont val="Times New Roman"/>
        <family val="1"/>
      </rPr>
      <t>β</t>
    </r>
    <r>
      <rPr>
        <sz val="11"/>
        <color rgb="FF000000"/>
        <rFont val="Calibri"/>
        <family val="2"/>
        <scheme val="minor"/>
      </rPr>
      <t>1-3[Gal</t>
    </r>
    <r>
      <rPr>
        <sz val="11"/>
        <color rgb="FF000000"/>
        <rFont val="Times New Roman"/>
        <family val="1"/>
      </rPr>
      <t>β</t>
    </r>
    <r>
      <rPr>
        <sz val="11"/>
        <color rgb="FF000000"/>
        <rFont val="Calibri"/>
        <family val="2"/>
        <scheme val="minor"/>
      </rPr>
      <t>1-4(Fucα1-3)GlcNAc</t>
    </r>
    <r>
      <rPr>
        <sz val="11"/>
        <color rgb="FF000000"/>
        <rFont val="Times New Roman"/>
        <family val="1"/>
      </rPr>
      <t>β</t>
    </r>
    <r>
      <rPr>
        <sz val="11"/>
        <color rgb="FF000000"/>
        <rFont val="Calibri"/>
        <family val="2"/>
        <scheme val="minor"/>
      </rPr>
      <t>1-6]Gal</t>
    </r>
    <r>
      <rPr>
        <sz val="11"/>
        <color rgb="FF000000"/>
        <rFont val="Times New Roman"/>
        <family val="1"/>
      </rPr>
      <t>β</t>
    </r>
    <r>
      <rPr>
        <sz val="11"/>
        <color rgb="FF000000"/>
        <rFont val="Calibri"/>
        <family val="2"/>
        <scheme val="minor"/>
      </rPr>
      <t>1-3(Galβ1-4GlcNAcβ1-6)GalNAcol</t>
    </r>
  </si>
  <si>
    <r>
      <t>Gal</t>
    </r>
    <r>
      <rPr>
        <sz val="11"/>
        <color rgb="FF000000"/>
        <rFont val="Times New Roman"/>
        <family val="1"/>
      </rPr>
      <t>β</t>
    </r>
    <r>
      <rPr>
        <sz val="11"/>
        <color rgb="FF000000"/>
        <rFont val="Calibri"/>
        <family val="2"/>
        <scheme val="minor"/>
      </rPr>
      <t>1-4GlcNAc</t>
    </r>
    <r>
      <rPr>
        <sz val="11"/>
        <color rgb="FF000000"/>
        <rFont val="Times New Roman"/>
        <family val="1"/>
      </rPr>
      <t>β</t>
    </r>
    <r>
      <rPr>
        <sz val="11"/>
        <color rgb="FF000000"/>
        <rFont val="Calibri"/>
        <family val="2"/>
        <scheme val="minor"/>
      </rPr>
      <t>1-3(Fucα1-2Gal</t>
    </r>
    <r>
      <rPr>
        <sz val="11"/>
        <color rgb="FF000000"/>
        <rFont val="Times New Roman"/>
        <family val="1"/>
      </rPr>
      <t>β</t>
    </r>
    <r>
      <rPr>
        <sz val="11"/>
        <color rgb="FF000000"/>
        <rFont val="Calibri"/>
        <family val="2"/>
        <scheme val="minor"/>
      </rPr>
      <t>1-4GlcNAc</t>
    </r>
    <r>
      <rPr>
        <sz val="11"/>
        <color rgb="FF000000"/>
        <rFont val="Times New Roman"/>
        <family val="1"/>
      </rPr>
      <t>β</t>
    </r>
    <r>
      <rPr>
        <sz val="11"/>
        <color rgb="FF000000"/>
        <rFont val="Calibri"/>
        <family val="2"/>
        <scheme val="minor"/>
      </rPr>
      <t>1-6)Gal</t>
    </r>
    <r>
      <rPr>
        <sz val="11"/>
        <color rgb="FF000000"/>
        <rFont val="Times New Roman"/>
        <family val="1"/>
      </rPr>
      <t>β</t>
    </r>
    <r>
      <rPr>
        <sz val="11"/>
        <color rgb="FF000000"/>
        <rFont val="Calibri"/>
        <family val="2"/>
        <scheme val="minor"/>
      </rPr>
      <t>1-3(Fucα1-2Galβ1-4GlcNAcβ1-6)GalNAcol</t>
    </r>
  </si>
  <si>
    <r>
      <t>Fucα1-2Gal</t>
    </r>
    <r>
      <rPr>
        <sz val="11"/>
        <color rgb="FF000000"/>
        <rFont val="Times New Roman"/>
        <family val="1"/>
      </rPr>
      <t>β</t>
    </r>
    <r>
      <rPr>
        <sz val="11"/>
        <color rgb="FF000000"/>
        <rFont val="Calibri"/>
        <family val="2"/>
        <scheme val="minor"/>
      </rPr>
      <t>1-4GlcNAc</t>
    </r>
    <r>
      <rPr>
        <sz val="11"/>
        <color rgb="FF000000"/>
        <rFont val="Times New Roman"/>
        <family val="1"/>
      </rPr>
      <t>β</t>
    </r>
    <r>
      <rPr>
        <sz val="11"/>
        <color rgb="FF000000"/>
        <rFont val="Calibri"/>
        <family val="2"/>
        <scheme val="minor"/>
      </rPr>
      <t>1-3(Fucα1-2Gal</t>
    </r>
    <r>
      <rPr>
        <sz val="11"/>
        <color rgb="FF000000"/>
        <rFont val="Times New Roman"/>
        <family val="1"/>
      </rPr>
      <t>β</t>
    </r>
    <r>
      <rPr>
        <sz val="11"/>
        <color rgb="FF000000"/>
        <rFont val="Calibri"/>
        <family val="2"/>
        <scheme val="minor"/>
      </rPr>
      <t>1-4GlcNAc</t>
    </r>
    <r>
      <rPr>
        <sz val="11"/>
        <color rgb="FF000000"/>
        <rFont val="Times New Roman"/>
        <family val="1"/>
      </rPr>
      <t>β</t>
    </r>
    <r>
      <rPr>
        <sz val="11"/>
        <color rgb="FF000000"/>
        <rFont val="Calibri"/>
        <family val="2"/>
        <scheme val="minor"/>
      </rPr>
      <t>1-6)Gal</t>
    </r>
    <r>
      <rPr>
        <sz val="11"/>
        <color rgb="FF000000"/>
        <rFont val="Times New Roman"/>
        <family val="1"/>
      </rPr>
      <t>β</t>
    </r>
    <r>
      <rPr>
        <sz val="11"/>
        <color rgb="FF000000"/>
        <rFont val="Calibri"/>
        <family val="2"/>
        <scheme val="minor"/>
      </rPr>
      <t>1-3(Galβ1-4GlcNAcβ1-6)GalNAcol</t>
    </r>
  </si>
  <si>
    <r>
      <t>GalNAc</t>
    </r>
    <r>
      <rPr>
        <sz val="11"/>
        <color theme="1"/>
        <rFont val="Calibri"/>
        <family val="2"/>
      </rPr>
      <t>α1-3(Fucα1-2)Galβ1-4GlcNAcβ1-3Galol</t>
    </r>
  </si>
  <si>
    <t>Fucα1-2Galβ1-3(Galβ1-4GlcNAcβ1-6)GalNAcol</t>
  </si>
  <si>
    <t>895-6</t>
  </si>
  <si>
    <t>895-7</t>
  </si>
  <si>
    <t>1812-1</t>
  </si>
  <si>
    <t>1812-2</t>
  </si>
  <si>
    <t>1812-3</t>
  </si>
  <si>
    <t>1812-4</t>
  </si>
  <si>
    <t>Hex3HexNAc5deHex2</t>
  </si>
  <si>
    <t>1828-1</t>
  </si>
  <si>
    <t>1828-2</t>
  </si>
  <si>
    <t>Hex4HexNAc5deHex1</t>
  </si>
  <si>
    <t>GalNAcα1-3(Fucα1-2)Galβ1-4GlcNAcβ1-3(Galβ1-4GlcNAcβ1-6)Galβ1-3(Galβ1-4GlcNAcβ1-6)GalNAcol</t>
  </si>
  <si>
    <t>NeuAc1Hex2HexNAc3deHex1</t>
  </si>
  <si>
    <t>GalNAcα1-3(Fucα1-2)Galβ1-4GlcNAcβ1-3Galβ1-3(NeuAcα2-6)GalNAcol</t>
  </si>
  <si>
    <t>Hex3HexNAc4</t>
  </si>
  <si>
    <t>GlcNAcα1-4Galβ1-4GlcNAcβ1-3(GlcNAcα1-4Galβ1-4GlcNAcβ1-6)Galol</t>
  </si>
  <si>
    <t>1260-1</t>
  </si>
  <si>
    <t>1260-2</t>
  </si>
  <si>
    <t>Fucα1-2Galβ1-4GlcNAcβ1-3Galβ1-4GlcNAcβ1-3Galβ1-3GalNAcol</t>
  </si>
  <si>
    <t>NeuAc1Hex2HexNAc3</t>
  </si>
  <si>
    <t>GlcNAcα1-4Galβ1-4GlcNAcβ1-3Galβ1-3(NeuAcα2-6)GalNAcol</t>
  </si>
  <si>
    <t>Hex2HexNAc3deHex2</t>
  </si>
  <si>
    <t>Fucα1-2Galβ1-3[GalNAcα1-3(Fucα1-2)Galβ1-4GlcNAcβ1-6]GalNAcol</t>
  </si>
  <si>
    <t>1178-1</t>
  </si>
  <si>
    <t>1178-2</t>
  </si>
  <si>
    <t>GalNAcα1-3(Fucα1-2)Galβ1-4(6S)GlcNAcβ1-3Galβ1-3GalNAcol</t>
  </si>
  <si>
    <t>Hex4HexNAc7deHex2</t>
  </si>
  <si>
    <t>GlcNAcα1-4Galβ1-4GlcNAcβ1-3[Fucα1-2(GalNAcα1-3)Galβ1-4GlcNAcβ1-6]Galβ1-3[Fucα1-2(GalNAcα1-3)Galβ1-4GlcNAcβ1-6]GalNAcol</t>
  </si>
  <si>
    <t>Hex2HexNAc4</t>
  </si>
  <si>
    <t>GlcNAcα1-4Galβ1-3(GlcNAcα1-4Galβ1-4GlcNAcβ1-6)GalNAcol</t>
  </si>
  <si>
    <t>Hex4HexNAc7deHex1</t>
  </si>
  <si>
    <t>GlcNAcα1-4Galβ1-4GlcNAcβ1-3(GlcNAcα1-4Galβ1-4GlcNAcβ1-6)Galβ1-3[Fucα1-2(GalNAcα1-3)Galβ1-4GlcNAcβ1-6]GalNAcol</t>
  </si>
  <si>
    <t>Hex4HexNAc6deHex2</t>
  </si>
  <si>
    <t>Fucα1-2(GalNAcα1-3)Galβ1-4GlcNAcβ1-3(Galβ1-4GlcNAcβ1-6)Galβ1-3[GalNAcα1-3(Fucα1-2)Galβ1-4GlcNAcβ1-6]GalNAcol</t>
  </si>
  <si>
    <t>Hex5HexNAc6deHex1</t>
  </si>
  <si>
    <t>Hex4HexNAc7</t>
  </si>
  <si>
    <t>GlcNAcα1-4Galβ1-4GlcNAcβ1-3(GlcNAcα1-4Galβ1-4GlcNAcβ1-6)Galβ1-3(GlcNAcα1-4Galβ1-4GlcNAcβ1-6)GalNAcol</t>
  </si>
  <si>
    <r>
      <t>GlcNAc</t>
    </r>
    <r>
      <rPr>
        <sz val="11"/>
        <color theme="1"/>
        <rFont val="Calibri"/>
        <family val="2"/>
      </rPr>
      <t>α1-4Galβ1-3(GalNAcβ1-4GlcNAcβ1-6)GalNAcol</t>
    </r>
  </si>
  <si>
    <t>Hex5HexNAc5deHex1</t>
  </si>
  <si>
    <t>Fucα1-2Galβ1-4GlcNAcβ1-3Galβ1-4GlcNAcβ1-3Galβ1-4GlcNAcβ1-3Galβ1-4GlcNAcβ1-3Galβ1-3GalNAcol</t>
  </si>
  <si>
    <t>Hex3HexNAc6deHex2</t>
  </si>
  <si>
    <t>GalNAcα1-3(Fucα1-2)Galβ1-4GlcNAcβ1-3[GalNAcα1-3(Fucα1-2)Galβ1-4GlcNAcβ1-6]Galβ1-3(GlcNAcβ1-6)GalNAcol</t>
  </si>
  <si>
    <t>Hex4HexNAc6deHex1</t>
  </si>
  <si>
    <t>GlcNAcα1-4Galβ1-4GlcNAcβ1-3(GlcNAcα1-4Galβ1-4GlcNAcβ1-6)Galβ1-3(Fucα1-2Galβ1-4GlcNAcβ1-6)GalNAcol</t>
  </si>
  <si>
    <t>NeuAc1Hex2HexNAc2</t>
  </si>
  <si>
    <r>
      <t>Gal</t>
    </r>
    <r>
      <rPr>
        <sz val="11"/>
        <color theme="1"/>
        <rFont val="Calibri"/>
        <family val="2"/>
      </rPr>
      <t>β1-4GlcNAcβ1-3Galβ1-3(NeuAcα2-6)GalNAcol</t>
    </r>
  </si>
  <si>
    <t>952-1</t>
  </si>
  <si>
    <t>952-2</t>
  </si>
  <si>
    <t>Hex2HexNAc3</t>
  </si>
  <si>
    <t>GlcNAcα1-4Galβ1-3(Galβ1-4GlcNAcβ1-6)GalNAcol</t>
  </si>
  <si>
    <t>17.06*</t>
  </si>
  <si>
    <r>
      <t>Gal</t>
    </r>
    <r>
      <rPr>
        <sz val="11"/>
        <color theme="1"/>
        <rFont val="Calibri"/>
        <family val="2"/>
      </rPr>
      <t>β1-4GlcNAcβ1-3(GlcNAcβ1-6)Galβ1-3GalNAcol</t>
    </r>
  </si>
  <si>
    <t>16.68*</t>
  </si>
  <si>
    <t>Hex4HexNAc5deHex1Sul1</t>
  </si>
  <si>
    <t>1974-1</t>
  </si>
  <si>
    <t>1974-2</t>
  </si>
  <si>
    <t>Hex4HexNAc5deHex2</t>
  </si>
  <si>
    <r>
      <t>GlcNAc</t>
    </r>
    <r>
      <rPr>
        <sz val="11"/>
        <color theme="1"/>
        <rFont val="Calibri"/>
        <family val="2"/>
      </rPr>
      <t>α1-4Galβ1-4GlcNAcβ1-3(Fucα1-2Galβ1-4GlcNAcβ1-6)Galβ1-3(Fucα1-2Galβ1-4GlcNAcβ1-6)GalNAcol</t>
    </r>
  </si>
  <si>
    <t>Fucα1-2Galβ1-4GlcNAcβ1-3(Fucα1-2Galβ1-4GlcNAcβ1-6)Galβ1-3(GlcNAcα1-4Galβ1-4GlcNAcβ1-6)GalNAcol</t>
  </si>
  <si>
    <t>1869-1</t>
  </si>
  <si>
    <t>1869-2</t>
  </si>
  <si>
    <t>1869-3</t>
  </si>
  <si>
    <t>Hex3HexNAc6deHex1</t>
  </si>
  <si>
    <t>936-1</t>
  </si>
  <si>
    <t>936-2</t>
  </si>
  <si>
    <t>Hex1HexNAc3deHex1</t>
  </si>
  <si>
    <t>Fucα1-2(GalNAcα1-3)Galβ1-4GlcNAcβ1-6GalNAcol</t>
  </si>
  <si>
    <t>Fucα1-2Galβ1-3(GalNAcβ1-4GlcNAcβ1-6)GalNAcol</t>
  </si>
  <si>
    <t>Hex4HexNAc6</t>
  </si>
  <si>
    <t>1666-1</t>
  </si>
  <si>
    <t>1666-2</t>
  </si>
  <si>
    <t>1666-3</t>
  </si>
  <si>
    <t>1666-4</t>
  </si>
  <si>
    <t>1666-5</t>
  </si>
  <si>
    <t>Hex3HexNAc5deHex1</t>
  </si>
  <si>
    <t>18.50*</t>
  </si>
  <si>
    <t>19.01*</t>
  </si>
  <si>
    <t>22.83*</t>
  </si>
  <si>
    <t>1625-1</t>
  </si>
  <si>
    <t>1625-2</t>
  </si>
  <si>
    <t>1625-3</t>
  </si>
  <si>
    <t>1625-4</t>
  </si>
  <si>
    <t>1609-4</t>
  </si>
  <si>
    <t>1609-5</t>
  </si>
  <si>
    <t xml:space="preserve"> </t>
  </si>
  <si>
    <t>H3/H2</t>
  </si>
  <si>
    <t>H2/Lewis</t>
  </si>
  <si>
    <t>Control (gMO)</t>
  </si>
  <si>
    <r>
      <rPr>
        <sz val="16"/>
        <rFont val="Calibri"/>
        <family val="2"/>
      </rPr>
      <t>Δ</t>
    </r>
    <r>
      <rPr>
        <i/>
        <sz val="12.8"/>
        <rFont val="Calibri"/>
        <family val="2"/>
      </rPr>
      <t xml:space="preserve">2x </t>
    </r>
    <r>
      <rPr>
        <sz val="12.8"/>
        <rFont val="Calibri"/>
        <family val="2"/>
      </rPr>
      <t>α</t>
    </r>
    <r>
      <rPr>
        <i/>
        <sz val="10.25"/>
        <rFont val="Calibri"/>
        <family val="2"/>
      </rPr>
      <t>-</t>
    </r>
    <r>
      <rPr>
        <i/>
        <sz val="12.8"/>
        <rFont val="Calibri"/>
        <family val="2"/>
      </rPr>
      <t>1,2Fuc</t>
    </r>
  </si>
  <si>
    <r>
      <t>Δ</t>
    </r>
    <r>
      <rPr>
        <i/>
        <sz val="12.8"/>
        <rFont val="Calibri"/>
        <family val="2"/>
      </rPr>
      <t xml:space="preserve">2x </t>
    </r>
    <r>
      <rPr>
        <sz val="12.8"/>
        <rFont val="Calibri"/>
        <family val="2"/>
      </rPr>
      <t>α</t>
    </r>
    <r>
      <rPr>
        <i/>
        <sz val="10.25"/>
        <rFont val="Calibri"/>
        <family val="2"/>
      </rPr>
      <t>-</t>
    </r>
    <r>
      <rPr>
        <i/>
        <sz val="12.8"/>
        <rFont val="Calibri"/>
        <family val="2"/>
      </rPr>
      <t>1,2Fuc</t>
    </r>
    <r>
      <rPr>
        <sz val="16"/>
        <rFont val="Calibri"/>
        <family val="2"/>
      </rPr>
      <t xml:space="preserve"> + Δ</t>
    </r>
    <r>
      <rPr>
        <i/>
        <sz val="16"/>
        <rFont val="Calibri"/>
        <family val="2"/>
      </rPr>
      <t>bt1842</t>
    </r>
  </si>
  <si>
    <r>
      <rPr>
        <i/>
        <sz val="16"/>
        <rFont val="Calibri"/>
        <family val="2"/>
        <scheme val="minor"/>
      </rPr>
      <t>Bt</t>
    </r>
    <r>
      <rPr>
        <sz val="16"/>
        <rFont val="Calibri"/>
        <family val="2"/>
        <scheme val="minor"/>
      </rPr>
      <t xml:space="preserve"> WT</t>
    </r>
  </si>
  <si>
    <t>H3/H1</t>
  </si>
  <si>
    <t xml:space="preserve">H3/H2 </t>
  </si>
  <si>
    <t>H3/A</t>
  </si>
  <si>
    <t xml:space="preserve">RT*=manual calculation of intensity for glycan with MS2; </t>
  </si>
  <si>
    <t>Footnote:</t>
  </si>
  <si>
    <t>[1]</t>
  </si>
  <si>
    <t>mass of strucutre in negative ion mode; mass with hyphens indicates the isomeric structures;</t>
  </si>
  <si>
    <t>[2]</t>
  </si>
  <si>
    <t>(Hex) hexose; (HexNAc) N-acetylhexosamine; (deHex) fucose; (NeuAc) N-acetylneuraminic acid; (NeuGc) N-acetyl glycolylneuraminic acid; (S) sulfate</t>
  </si>
  <si>
    <t>[3]</t>
  </si>
  <si>
    <t>structures are given in the text according following rules: the structure is described clockwise and left-to-right where reducing end locates rightmost side (as shown in cartoon figure); "-" is used for uncertain location</t>
  </si>
  <si>
    <t>The cartoon figure is described as "NeuAcα2-6Galβ1-4GlcNAcβ1-2(Galβ1-4GlcNAcβ1-4)Manα1-3(GlcNAcβ1-4)(Galβ1-4GlcNAcβ1-2Manα1-6)Manβ1-4GlcNAcβ1-4(Fucα1-6)GlcNAcol"</t>
  </si>
  <si>
    <t>[4]</t>
  </si>
  <si>
    <t>Types of fucose modifications</t>
  </si>
  <si>
    <t>Retention time (RT) of selected structure on LC</t>
  </si>
  <si>
    <t>The intensity is area-under-the-curves (AUCs) of each glycan. For comparsion of glycan abundances between samples, the intensity is normalised to total AUC (summed AUCs of all glycans in a sample) and expressed as a percentage</t>
  </si>
  <si>
    <t>[RT]</t>
  </si>
  <si>
    <t>[Intensity]</t>
  </si>
  <si>
    <r>
      <t xml:space="preserve">(Gal) </t>
    </r>
    <r>
      <rPr>
        <sz val="9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-Galactose; (Fuc)</t>
    </r>
    <r>
      <rPr>
        <sz val="9"/>
        <color theme="1"/>
        <rFont val="Calibri"/>
        <family val="2"/>
        <scheme val="minor"/>
      </rPr>
      <t xml:space="preserve"> L</t>
    </r>
    <r>
      <rPr>
        <sz val="11"/>
        <color theme="1"/>
        <rFont val="Calibri"/>
        <family val="2"/>
        <scheme val="minor"/>
      </rPr>
      <t xml:space="preserve">-Fucose; (GlcNAc)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-acetyl-</t>
    </r>
    <r>
      <rPr>
        <sz val="9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-glucosamine; (GalNAc)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-acetyl-</t>
    </r>
    <r>
      <rPr>
        <sz val="9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-galactosamine; (NA) not assigned; (nd) not detected; (Fucosylation: Lewis) Lewis antigen a/x/b/y; (Fucosylation: A) Blood goup A; (Fucosylation: H) H type epitope; (Fucosylation: H1/2/3) H type 1, type 2 or type 3</t>
    </r>
  </si>
  <si>
    <r>
      <t xml:space="preserve">Not detected after </t>
    </r>
    <r>
      <rPr>
        <i/>
        <sz val="11"/>
        <color theme="1"/>
        <rFont val="Calibri"/>
        <family val="2"/>
        <scheme val="minor"/>
      </rPr>
      <t xml:space="preserve">B. theta </t>
    </r>
    <r>
      <rPr>
        <sz val="11"/>
        <color theme="1"/>
        <rFont val="Calibri"/>
        <family val="2"/>
        <scheme val="minor"/>
      </rPr>
      <t>mutant or WT growth</t>
    </r>
  </si>
  <si>
    <r>
      <t>Only detected after</t>
    </r>
    <r>
      <rPr>
        <i/>
        <sz val="11"/>
        <color theme="1"/>
        <rFont val="Calibri"/>
        <family val="2"/>
        <scheme val="minor"/>
      </rPr>
      <t xml:space="preserve"> B. theta</t>
    </r>
    <r>
      <rPr>
        <sz val="11"/>
        <color theme="1"/>
        <rFont val="Calibri"/>
        <family val="2"/>
        <scheme val="minor"/>
      </rPr>
      <t xml:space="preserve"> mutant or WT growth</t>
    </r>
  </si>
  <si>
    <t xml:space="preserve">Relative abundance of the oligosaccharide  &gt;10% </t>
  </si>
  <si>
    <t>Control (gMO): substrate control without no bacteria</t>
  </si>
  <si>
    <r>
      <t>Supplementary Table 12. LC-MS analysis of oligosaccharides deteted on culture supernatant after growth on gMO of</t>
    </r>
    <r>
      <rPr>
        <b/>
        <i/>
        <sz val="16"/>
        <color theme="1"/>
        <rFont val="Arial Bold"/>
      </rPr>
      <t xml:space="preserve"> B. theta</t>
    </r>
    <r>
      <rPr>
        <b/>
        <sz val="16"/>
        <color theme="1"/>
        <rFont val="Arial Bold"/>
      </rPr>
      <t xml:space="preserve"> WT  or mutants lacking fucosidases enzymes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</si>
</sst>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* #,##0.00\ &quot;kr&quot;_-;\-* #,##0.00\ &quot;kr&quot;_-;_-* &quot;-&quot;??\ &quot;kr&quot;_-;_-@_-"/>
    <numFmt numFmtId="164" formatCode="0.0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Arial"/>
      <family val="2"/>
    </font>
    <font>
      <sz val="11"/>
      <color theme="1"/>
      <name val="Times New Roman"/>
      <family val="1"/>
    </font>
    <font>
      <sz val="8.8000000000000007"/>
      <color theme="1"/>
      <name val="Calibri"/>
      <family val="2"/>
    </font>
    <font>
      <sz val="11"/>
      <color theme="1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</font>
    <font>
      <sz val="18"/>
      <color theme="3"/>
      <name val="Cambria"/>
      <family val="2"/>
      <scheme val="major"/>
    </font>
    <font>
      <sz val="11"/>
      <color theme="1"/>
      <name val="Symbol"/>
      <family val="1"/>
      <charset val="2"/>
    </font>
    <font>
      <sz val="11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Arial Bold"/>
    </font>
    <font>
      <sz val="16"/>
      <name val="Calibri"/>
      <family val="2"/>
      <scheme val="minor"/>
    </font>
    <font>
      <sz val="16"/>
      <name val="Calibri"/>
      <family val="2"/>
    </font>
    <font>
      <sz val="12.8"/>
      <name val="Calibri"/>
      <family val="2"/>
    </font>
    <font>
      <i/>
      <sz val="12.8"/>
      <name val="Calibri"/>
      <family val="2"/>
    </font>
    <font>
      <i/>
      <sz val="10.25"/>
      <name val="Calibri"/>
      <family val="2"/>
    </font>
    <font>
      <i/>
      <sz val="16"/>
      <name val="Calibri"/>
      <family val="2"/>
    </font>
    <font>
      <i/>
      <sz val="16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6"/>
      <color theme="1"/>
      <name val="Arial Bold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DD4F"/>
        <bgColor indexed="64"/>
      </patternFill>
    </fill>
    <fill>
      <patternFill patternType="solid">
        <fgColor rgb="FFB1ED7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4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8" applyNumberFormat="0" applyAlignment="0" applyProtection="0"/>
    <xf numFmtId="0" fontId="17" fillId="6" borderId="9" applyNumberFormat="0" applyAlignment="0" applyProtection="0"/>
    <xf numFmtId="0" fontId="18" fillId="6" borderId="8" applyNumberFormat="0" applyAlignment="0" applyProtection="0"/>
    <xf numFmtId="0" fontId="19" fillId="0" borderId="10" applyNumberFormat="0" applyFill="0" applyAlignment="0" applyProtection="0"/>
    <xf numFmtId="0" fontId="20" fillId="7" borderId="11" applyNumberFormat="0" applyAlignment="0" applyProtection="0"/>
    <xf numFmtId="0" fontId="21" fillId="0" borderId="0" applyNumberFormat="0" applyFill="0" applyBorder="0" applyAlignment="0" applyProtection="0"/>
    <xf numFmtId="0" fontId="1" fillId="8" borderId="12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24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4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4" fillId="3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6" fillId="0" borderId="0"/>
    <xf numFmtId="0" fontId="27" fillId="17" borderId="0" applyNumberFormat="0" applyBorder="0" applyAlignment="0" applyProtection="0"/>
    <xf numFmtId="0" fontId="28" fillId="0" borderId="0" applyNumberFormat="0" applyFill="0" applyBorder="0" applyAlignment="0" applyProtection="0"/>
    <xf numFmtId="0" fontId="24" fillId="1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03">
    <xf numFmtId="0" fontId="0" fillId="0" borderId="0" xfId="0"/>
    <xf numFmtId="0" fontId="2" fillId="0" borderId="2" xfId="1" applyBorder="1" applyAlignment="1">
      <alignment horizontal="center" vertical="center"/>
    </xf>
    <xf numFmtId="0" fontId="2" fillId="0" borderId="2" xfId="1" applyBorder="1" applyAlignment="1">
      <alignment horizontal="left" vertical="center"/>
    </xf>
    <xf numFmtId="0" fontId="2" fillId="0" borderId="0" xfId="1" applyAlignment="1">
      <alignment horizontal="right"/>
    </xf>
    <xf numFmtId="0" fontId="0" fillId="0" borderId="0" xfId="0" applyAlignment="1">
      <alignment horizontal="right"/>
    </xf>
    <xf numFmtId="164" fontId="2" fillId="0" borderId="0" xfId="1" applyNumberFormat="1" applyAlignment="1">
      <alignment horizontal="right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2" fillId="0" borderId="15" xfId="1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1" xfId="1" applyBorder="1" applyAlignment="1">
      <alignment horizontal="right"/>
    </xf>
    <xf numFmtId="0" fontId="0" fillId="0" borderId="1" xfId="3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0" xfId="3" applyFont="1" applyAlignment="1">
      <alignment horizontal="center"/>
    </xf>
    <xf numFmtId="0" fontId="2" fillId="0" borderId="0" xfId="0" applyFont="1" applyAlignment="1">
      <alignment horizontal="center"/>
    </xf>
    <xf numFmtId="164" fontId="9" fillId="0" borderId="0" xfId="1" applyNumberFormat="1" applyFont="1" applyAlignment="1">
      <alignment horizontal="right"/>
    </xf>
    <xf numFmtId="0" fontId="0" fillId="0" borderId="1" xfId="4" applyFont="1" applyBorder="1" applyAlignment="1">
      <alignment horizontal="right"/>
    </xf>
    <xf numFmtId="0" fontId="0" fillId="0" borderId="0" xfId="4" applyFont="1" applyAlignment="1">
      <alignment horizontal="center"/>
    </xf>
    <xf numFmtId="0" fontId="2" fillId="0" borderId="0" xfId="5" applyAlignment="1">
      <alignment horizontal="center"/>
    </xf>
    <xf numFmtId="0" fontId="1" fillId="0" borderId="0" xfId="3" applyAlignment="1">
      <alignment horizontal="center"/>
    </xf>
    <xf numFmtId="0" fontId="0" fillId="0" borderId="1" xfId="5" applyFon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2" fillId="0" borderId="1" xfId="5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0" xfId="3" applyFont="1" applyAlignment="1">
      <alignment horizontal="center"/>
    </xf>
    <xf numFmtId="0" fontId="4" fillId="0" borderId="0" xfId="1" applyFont="1" applyAlignment="1">
      <alignment horizontal="center"/>
    </xf>
    <xf numFmtId="2" fontId="1" fillId="0" borderId="1" xfId="0" applyNumberFormat="1" applyFont="1" applyBorder="1" applyAlignment="1" applyProtection="1">
      <alignment horizontal="right"/>
      <protection locked="0"/>
    </xf>
    <xf numFmtId="0" fontId="5" fillId="0" borderId="0" xfId="1" applyFont="1" applyAlignment="1">
      <alignment horizontal="center"/>
    </xf>
    <xf numFmtId="0" fontId="1" fillId="0" borderId="1" xfId="5" applyFont="1" applyBorder="1" applyAlignment="1">
      <alignment horizontal="right"/>
    </xf>
    <xf numFmtId="0" fontId="1" fillId="0" borderId="0" xfId="5" applyFont="1" applyAlignment="1">
      <alignment horizontal="center"/>
    </xf>
    <xf numFmtId="0" fontId="1" fillId="0" borderId="1" xfId="3" applyBorder="1" applyAlignment="1">
      <alignment horizontal="right"/>
    </xf>
    <xf numFmtId="0" fontId="4" fillId="0" borderId="1" xfId="3" applyFont="1" applyBorder="1" applyAlignment="1">
      <alignment horizontal="right"/>
    </xf>
    <xf numFmtId="0" fontId="4" fillId="0" borderId="1" xfId="1" applyFont="1" applyBorder="1" applyAlignment="1">
      <alignment horizontal="right"/>
    </xf>
    <xf numFmtId="0" fontId="2" fillId="0" borderId="1" xfId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31" fillId="0" borderId="0" xfId="0" applyFont="1"/>
    <xf numFmtId="0" fontId="2" fillId="0" borderId="19" xfId="1" applyBorder="1" applyAlignment="1">
      <alignment horizontal="center" vertical="center"/>
    </xf>
    <xf numFmtId="0" fontId="2" fillId="0" borderId="20" xfId="1" applyBorder="1" applyAlignment="1">
      <alignment horizontal="left" vertical="center"/>
    </xf>
    <xf numFmtId="0" fontId="2" fillId="0" borderId="21" xfId="1" applyBorder="1" applyAlignment="1">
      <alignment horizontal="left" vertical="center"/>
    </xf>
    <xf numFmtId="0" fontId="2" fillId="0" borderId="22" xfId="1" applyBorder="1" applyAlignment="1">
      <alignment horizontal="right"/>
    </xf>
    <xf numFmtId="164" fontId="2" fillId="0" borderId="23" xfId="1" applyNumberFormat="1" applyBorder="1" applyAlignment="1">
      <alignment horizontal="right"/>
    </xf>
    <xf numFmtId="0" fontId="9" fillId="0" borderId="22" xfId="1" applyFont="1" applyBorder="1" applyAlignment="1">
      <alignment horizontal="right"/>
    </xf>
    <xf numFmtId="0" fontId="2" fillId="0" borderId="19" xfId="1" applyBorder="1" applyAlignment="1">
      <alignment horizontal="left" vertical="center"/>
    </xf>
    <xf numFmtId="0" fontId="2" fillId="0" borderId="24" xfId="1" applyBorder="1" applyAlignment="1">
      <alignment horizontal="left" vertical="center"/>
    </xf>
    <xf numFmtId="0" fontId="2" fillId="0" borderId="25" xfId="1" applyBorder="1" applyAlignment="1">
      <alignment horizontal="left" vertical="center"/>
    </xf>
    <xf numFmtId="164" fontId="9" fillId="0" borderId="23" xfId="1" applyNumberFormat="1" applyFont="1" applyBorder="1" applyAlignment="1">
      <alignment horizontal="right"/>
    </xf>
    <xf numFmtId="0" fontId="2" fillId="0" borderId="3" xfId="1" applyBorder="1" applyAlignment="1">
      <alignment horizontal="left" vertical="center"/>
    </xf>
    <xf numFmtId="0" fontId="2" fillId="0" borderId="4" xfId="1" applyBorder="1" applyAlignment="1">
      <alignment horizontal="left" vertical="center"/>
    </xf>
    <xf numFmtId="0" fontId="2" fillId="0" borderId="28" xfId="1" applyBorder="1" applyAlignment="1">
      <alignment horizontal="left"/>
    </xf>
    <xf numFmtId="0" fontId="2" fillId="0" borderId="3" xfId="1" applyBorder="1" applyAlignment="1">
      <alignment horizontal="left"/>
    </xf>
    <xf numFmtId="0" fontId="9" fillId="0" borderId="3" xfId="1" applyFont="1" applyBorder="1" applyAlignment="1">
      <alignment horizontal="left"/>
    </xf>
    <xf numFmtId="1" fontId="2" fillId="0" borderId="3" xfId="1" applyNumberFormat="1" applyBorder="1" applyAlignment="1">
      <alignment horizontal="left"/>
    </xf>
    <xf numFmtId="1" fontId="2" fillId="0" borderId="3" xfId="1" quotePrefix="1" applyNumberFormat="1" applyBorder="1" applyAlignment="1">
      <alignment horizontal="left"/>
    </xf>
    <xf numFmtId="0" fontId="9" fillId="0" borderId="3" xfId="1" quotePrefix="1" applyFont="1" applyBorder="1" applyAlignment="1">
      <alignment horizontal="left"/>
    </xf>
    <xf numFmtId="0" fontId="2" fillId="0" borderId="3" xfId="1" quotePrefix="1" applyBorder="1" applyAlignment="1">
      <alignment horizontal="left"/>
    </xf>
    <xf numFmtId="17" fontId="2" fillId="0" borderId="3" xfId="1" quotePrefix="1" applyNumberForma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2" xfId="0" applyFont="1" applyBorder="1" applyAlignment="1">
      <alignment horizontal="right"/>
    </xf>
    <xf numFmtId="164" fontId="2" fillId="0" borderId="23" xfId="0" applyNumberFormat="1" applyFont="1" applyBorder="1" applyAlignment="1">
      <alignment horizontal="right"/>
    </xf>
    <xf numFmtId="0" fontId="9" fillId="0" borderId="1" xfId="1" applyFont="1" applyBorder="1" applyAlignment="1">
      <alignment horizontal="right"/>
    </xf>
    <xf numFmtId="0" fontId="2" fillId="37" borderId="0" xfId="1" applyFill="1" applyAlignment="1">
      <alignment horizontal="right"/>
    </xf>
    <xf numFmtId="164" fontId="2" fillId="37" borderId="0" xfId="1" applyNumberFormat="1" applyFill="1" applyAlignment="1">
      <alignment horizontal="right"/>
    </xf>
    <xf numFmtId="0" fontId="2" fillId="37" borderId="22" xfId="1" applyFill="1" applyBorder="1" applyAlignment="1">
      <alignment horizontal="right"/>
    </xf>
    <xf numFmtId="164" fontId="2" fillId="37" borderId="23" xfId="1" applyNumberFormat="1" applyFill="1" applyBorder="1" applyAlignment="1">
      <alignment horizontal="right"/>
    </xf>
    <xf numFmtId="0" fontId="2" fillId="38" borderId="0" xfId="1" applyFill="1" applyAlignment="1">
      <alignment horizontal="right"/>
    </xf>
    <xf numFmtId="164" fontId="2" fillId="38" borderId="0" xfId="1" applyNumberFormat="1" applyFill="1" applyAlignment="1">
      <alignment horizontal="right"/>
    </xf>
    <xf numFmtId="0" fontId="2" fillId="38" borderId="26" xfId="1" applyFill="1" applyBorder="1" applyAlignment="1">
      <alignment horizontal="right"/>
    </xf>
    <xf numFmtId="164" fontId="2" fillId="38" borderId="14" xfId="1" applyNumberFormat="1" applyFill="1" applyBorder="1" applyAlignment="1">
      <alignment horizontal="right"/>
    </xf>
    <xf numFmtId="164" fontId="2" fillId="38" borderId="27" xfId="1" applyNumberFormat="1" applyFill="1" applyBorder="1" applyAlignment="1">
      <alignment horizontal="right"/>
    </xf>
    <xf numFmtId="0" fontId="2" fillId="38" borderId="22" xfId="1" applyFill="1" applyBorder="1" applyAlignment="1">
      <alignment horizontal="right"/>
    </xf>
    <xf numFmtId="164" fontId="2" fillId="38" borderId="23" xfId="1" applyNumberFormat="1" applyFill="1" applyBorder="1" applyAlignment="1">
      <alignment horizontal="right"/>
    </xf>
    <xf numFmtId="164" fontId="9" fillId="38" borderId="0" xfId="1" applyNumberFormat="1" applyFont="1" applyFill="1" applyAlignment="1">
      <alignment horizontal="right"/>
    </xf>
    <xf numFmtId="164" fontId="9" fillId="38" borderId="23" xfId="1" applyNumberFormat="1" applyFont="1" applyFill="1" applyBorder="1" applyAlignment="1">
      <alignment horizontal="right"/>
    </xf>
    <xf numFmtId="0" fontId="0" fillId="37" borderId="22" xfId="0" applyFill="1" applyBorder="1" applyAlignment="1">
      <alignment horizontal="right"/>
    </xf>
    <xf numFmtId="0" fontId="2" fillId="39" borderId="0" xfId="1" applyFill="1" applyAlignment="1">
      <alignment horizontal="right"/>
    </xf>
    <xf numFmtId="164" fontId="2" fillId="39" borderId="0" xfId="1" applyNumberFormat="1" applyFill="1" applyAlignment="1">
      <alignment horizontal="right"/>
    </xf>
    <xf numFmtId="0" fontId="2" fillId="39" borderId="22" xfId="1" applyFill="1" applyBorder="1" applyAlignment="1">
      <alignment horizontal="right"/>
    </xf>
    <xf numFmtId="164" fontId="2" fillId="39" borderId="23" xfId="1" applyNumberFormat="1" applyFill="1" applyBorder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/>
    <xf numFmtId="0" fontId="43" fillId="0" borderId="0" xfId="0" applyFont="1"/>
    <xf numFmtId="0" fontId="0" fillId="0" borderId="0" xfId="0" applyAlignment="1">
      <alignment horizontal="left"/>
    </xf>
    <xf numFmtId="0" fontId="44" fillId="0" borderId="0" xfId="0" applyFont="1" applyAlignment="1">
      <alignment horizontal="right"/>
    </xf>
    <xf numFmtId="0" fontId="44" fillId="0" borderId="0" xfId="0" applyFont="1"/>
    <xf numFmtId="0" fontId="0" fillId="38" borderId="29" xfId="0" applyFill="1" applyBorder="1"/>
    <xf numFmtId="0" fontId="0" fillId="37" borderId="29" xfId="0" applyFill="1" applyBorder="1"/>
    <xf numFmtId="0" fontId="0" fillId="39" borderId="29" xfId="0" applyFill="1" applyBorder="1"/>
    <xf numFmtId="0" fontId="0" fillId="0" borderId="0" xfId="0" applyAlignment="1">
      <alignment horizontal="left"/>
    </xf>
    <xf numFmtId="0" fontId="34" fillId="33" borderId="16" xfId="5" applyFont="1" applyFill="1" applyBorder="1" applyAlignment="1">
      <alignment horizontal="center" vertical="top"/>
    </xf>
    <xf numFmtId="0" fontId="34" fillId="33" borderId="17" xfId="5" applyFont="1" applyFill="1" applyBorder="1" applyAlignment="1">
      <alignment horizontal="center" vertical="top"/>
    </xf>
    <xf numFmtId="0" fontId="34" fillId="33" borderId="18" xfId="5" applyFont="1" applyFill="1" applyBorder="1" applyAlignment="1">
      <alignment horizontal="center" vertical="top"/>
    </xf>
    <xf numFmtId="0" fontId="35" fillId="34" borderId="17" xfId="5" applyFont="1" applyFill="1" applyBorder="1" applyAlignment="1">
      <alignment horizontal="center" vertical="top"/>
    </xf>
    <xf numFmtId="0" fontId="34" fillId="34" borderId="17" xfId="5" applyFont="1" applyFill="1" applyBorder="1" applyAlignment="1">
      <alignment horizontal="center" vertical="top"/>
    </xf>
    <xf numFmtId="0" fontId="35" fillId="35" borderId="16" xfId="5" applyFont="1" applyFill="1" applyBorder="1" applyAlignment="1">
      <alignment horizontal="center" vertical="top"/>
    </xf>
    <xf numFmtId="0" fontId="34" fillId="35" borderId="17" xfId="5" applyFont="1" applyFill="1" applyBorder="1" applyAlignment="1">
      <alignment horizontal="center" vertical="top"/>
    </xf>
    <xf numFmtId="0" fontId="34" fillId="35" borderId="18" xfId="5" applyFont="1" applyFill="1" applyBorder="1" applyAlignment="1">
      <alignment horizontal="center" vertical="top"/>
    </xf>
    <xf numFmtId="0" fontId="34" fillId="36" borderId="17" xfId="5" applyFont="1" applyFill="1" applyBorder="1" applyAlignment="1">
      <alignment horizontal="center" vertical="top"/>
    </xf>
    <xf numFmtId="0" fontId="34" fillId="36" borderId="18" xfId="5" applyFont="1" applyFill="1" applyBorder="1" applyAlignment="1">
      <alignment horizontal="center" vertical="top"/>
    </xf>
    <xf numFmtId="0" fontId="0" fillId="0" borderId="4" xfId="0" applyBorder="1" applyAlignment="1">
      <alignment horizontal="left"/>
    </xf>
    <xf numFmtId="0" fontId="33" fillId="40" borderId="0" xfId="0" applyFont="1" applyFill="1" applyAlignment="1">
      <alignment horizontal="left"/>
    </xf>
  </cellXfs>
  <cellStyles count="134">
    <cellStyle name="20% - Accent1" xfId="55" builtinId="30" customBuiltin="1"/>
    <cellStyle name="20% - Accent2" xfId="59" builtinId="34" customBuiltin="1"/>
    <cellStyle name="20% - Accent3" xfId="62" builtinId="38" customBuiltin="1"/>
    <cellStyle name="20% - Accent4" xfId="66" builtinId="42" customBuiltin="1"/>
    <cellStyle name="20% - Accent5" xfId="70" builtinId="46" customBuiltin="1"/>
    <cellStyle name="20% - Accent6" xfId="74" builtinId="50" customBuiltin="1"/>
    <cellStyle name="40% - Accent1" xfId="56" builtinId="31" customBuiltin="1"/>
    <cellStyle name="40% - Accent2" xfId="60" builtinId="35" customBuiltin="1"/>
    <cellStyle name="40% - Accent3" xfId="63" builtinId="39" customBuiltin="1"/>
    <cellStyle name="40% - Accent4" xfId="67" builtinId="43" customBuiltin="1"/>
    <cellStyle name="40% - Accent5" xfId="71" builtinId="47" customBuiltin="1"/>
    <cellStyle name="40% - Accent6" xfId="75" builtinId="51" customBuiltin="1"/>
    <cellStyle name="60% - Accent1" xfId="57" builtinId="32" customBuiltin="1"/>
    <cellStyle name="60% - Accent2" xfId="61" builtinId="36" customBuiltin="1"/>
    <cellStyle name="60% - Accent3" xfId="64" builtinId="40" customBuiltin="1"/>
    <cellStyle name="60% - Accent4" xfId="68" builtinId="44" customBuiltin="1"/>
    <cellStyle name="60% - Accent5" xfId="72" builtinId="48" customBuiltin="1"/>
    <cellStyle name="60% - Accent6" xfId="76" builtinId="52" customBuiltin="1"/>
    <cellStyle name="Accent1" xfId="54" builtinId="29" customBuiltin="1"/>
    <cellStyle name="Accent2" xfId="58" builtinId="33" customBuiltin="1"/>
    <cellStyle name="Accent3 2" xfId="128" xr:uid="{00000000-0005-0000-0000-000014000000}"/>
    <cellStyle name="Accent3 3" xfId="126" xr:uid="{00000000-0005-0000-0000-000015000000}"/>
    <cellStyle name="Accent4" xfId="65" builtinId="41" customBuiltin="1"/>
    <cellStyle name="Accent5" xfId="69" builtinId="45" customBuiltin="1"/>
    <cellStyle name="Accent6" xfId="73" builtinId="49" customBuiltin="1"/>
    <cellStyle name="Bad" xfId="43" builtinId="27" customBuiltin="1"/>
    <cellStyle name="Calculation" xfId="47" builtinId="22" customBuiltin="1"/>
    <cellStyle name="Check Cell" xfId="49" builtinId="23" customBuiltin="1"/>
    <cellStyle name="Currency 2" xfId="6" xr:uid="{00000000-0005-0000-0000-00001C000000}"/>
    <cellStyle name="Explanatory Text" xfId="52" builtinId="53" customBuiltin="1"/>
    <cellStyle name="Good" xfId="42" builtinId="26" customBuiltin="1"/>
    <cellStyle name="Heading 1" xfId="38" builtinId="16" customBuiltin="1"/>
    <cellStyle name="Heading 2" xfId="39" builtinId="17" customBuiltin="1"/>
    <cellStyle name="Heading 3" xfId="40" builtinId="18" customBuiltin="1"/>
    <cellStyle name="Heading 4" xfId="41" builtinId="19" customBuiltin="1"/>
    <cellStyle name="Hyperlink 2" xfId="82" xr:uid="{00000000-0005-0000-0000-000023000000}"/>
    <cellStyle name="Hyperlink 2 2" xfId="83" xr:uid="{00000000-0005-0000-0000-000024000000}"/>
    <cellStyle name="Hyperlink 3" xfId="84" xr:uid="{00000000-0005-0000-0000-000025000000}"/>
    <cellStyle name="Input" xfId="45" builtinId="20" customBuiltin="1"/>
    <cellStyle name="Linked Cell" xfId="48" builtinId="24" customBuiltin="1"/>
    <cellStyle name="Neutral" xfId="44" builtinId="28" customBuiltin="1"/>
    <cellStyle name="Normal" xfId="0" builtinId="0"/>
    <cellStyle name="Normal 10" xfId="7" xr:uid="{00000000-0005-0000-0000-00002A000000}"/>
    <cellStyle name="Normal 10 2" xfId="8" xr:uid="{00000000-0005-0000-0000-00002B000000}"/>
    <cellStyle name="Normal 10 2 2" xfId="85" xr:uid="{00000000-0005-0000-0000-00002C000000}"/>
    <cellStyle name="Normal 10 3" xfId="86" xr:uid="{00000000-0005-0000-0000-00002D000000}"/>
    <cellStyle name="Normal 10 4" xfId="87" xr:uid="{00000000-0005-0000-0000-00002E000000}"/>
    <cellStyle name="Normal 11" xfId="9" xr:uid="{00000000-0005-0000-0000-00002F000000}"/>
    <cellStyle name="Normal 11 2" xfId="10" xr:uid="{00000000-0005-0000-0000-000030000000}"/>
    <cellStyle name="Normal 11 2 2" xfId="88" xr:uid="{00000000-0005-0000-0000-000031000000}"/>
    <cellStyle name="Normal 11 2 3" xfId="89" xr:uid="{00000000-0005-0000-0000-000032000000}"/>
    <cellStyle name="Normal 11 3" xfId="90" xr:uid="{00000000-0005-0000-0000-000033000000}"/>
    <cellStyle name="Normal 11 4" xfId="91" xr:uid="{00000000-0005-0000-0000-000034000000}"/>
    <cellStyle name="Normal 12" xfId="11" xr:uid="{00000000-0005-0000-0000-000035000000}"/>
    <cellStyle name="Normal 12 2" xfId="92" xr:uid="{00000000-0005-0000-0000-000036000000}"/>
    <cellStyle name="Normal 13" xfId="4" xr:uid="{00000000-0005-0000-0000-000037000000}"/>
    <cellStyle name="Normal 13 2" xfId="30" xr:uid="{00000000-0005-0000-0000-000038000000}"/>
    <cellStyle name="Normal 14" xfId="1" xr:uid="{00000000-0005-0000-0000-000039000000}"/>
    <cellStyle name="Normal 15" xfId="31" xr:uid="{00000000-0005-0000-0000-00003A000000}"/>
    <cellStyle name="Normal 16" xfId="32" xr:uid="{00000000-0005-0000-0000-00003B000000}"/>
    <cellStyle name="Normal 17" xfId="33" xr:uid="{00000000-0005-0000-0000-00003C000000}"/>
    <cellStyle name="Normal 18" xfId="34" xr:uid="{00000000-0005-0000-0000-00003D000000}"/>
    <cellStyle name="Normal 19" xfId="35" xr:uid="{00000000-0005-0000-0000-00003E000000}"/>
    <cellStyle name="Normal 2" xfId="5" xr:uid="{00000000-0005-0000-0000-00003F000000}"/>
    <cellStyle name="Normal 2 2" xfId="12" xr:uid="{00000000-0005-0000-0000-000040000000}"/>
    <cellStyle name="Normal 2 2 2" xfId="125" xr:uid="{00000000-0005-0000-0000-000041000000}"/>
    <cellStyle name="Normal 2 2 3" xfId="124" xr:uid="{00000000-0005-0000-0000-000042000000}"/>
    <cellStyle name="Normal 2 3" xfId="13" xr:uid="{00000000-0005-0000-0000-000043000000}"/>
    <cellStyle name="Normal 2 3 2" xfId="93" xr:uid="{00000000-0005-0000-0000-000044000000}"/>
    <cellStyle name="Normal 2 4" xfId="14" xr:uid="{00000000-0005-0000-0000-000045000000}"/>
    <cellStyle name="Normal 2 4 2" xfId="94" xr:uid="{00000000-0005-0000-0000-000046000000}"/>
    <cellStyle name="Normal 2 4 3" xfId="95" xr:uid="{00000000-0005-0000-0000-000047000000}"/>
    <cellStyle name="Normal 2 5" xfId="96" xr:uid="{00000000-0005-0000-0000-000048000000}"/>
    <cellStyle name="Normal 2 6" xfId="97" xr:uid="{00000000-0005-0000-0000-000049000000}"/>
    <cellStyle name="Normal 2 7" xfId="129" xr:uid="{00000000-0005-0000-0000-00004A000000}"/>
    <cellStyle name="Normal 2 8" xfId="77" xr:uid="{00000000-0005-0000-0000-00004B000000}"/>
    <cellStyle name="Normal 20" xfId="36" xr:uid="{00000000-0005-0000-0000-00004C000000}"/>
    <cellStyle name="Normal 21" xfId="37" xr:uid="{00000000-0005-0000-0000-00004D000000}"/>
    <cellStyle name="Normal 22" xfId="98" xr:uid="{00000000-0005-0000-0000-00004E000000}"/>
    <cellStyle name="Normal 23" xfId="81" xr:uid="{00000000-0005-0000-0000-00004F000000}"/>
    <cellStyle name="Normal 24" xfId="99" xr:uid="{00000000-0005-0000-0000-000050000000}"/>
    <cellStyle name="Normal 25" xfId="100" xr:uid="{00000000-0005-0000-0000-000051000000}"/>
    <cellStyle name="Normal 3" xfId="15" xr:uid="{00000000-0005-0000-0000-000052000000}"/>
    <cellStyle name="Normal 3 2" xfId="16" xr:uid="{00000000-0005-0000-0000-000053000000}"/>
    <cellStyle name="Normal 3 2 2" xfId="101" xr:uid="{00000000-0005-0000-0000-000054000000}"/>
    <cellStyle name="Normal 3 3" xfId="17" xr:uid="{00000000-0005-0000-0000-000055000000}"/>
    <cellStyle name="Normal 3 4" xfId="102" xr:uid="{00000000-0005-0000-0000-000056000000}"/>
    <cellStyle name="Normal 3 5" xfId="103" xr:uid="{00000000-0005-0000-0000-000057000000}"/>
    <cellStyle name="Normal 3 6" xfId="130" xr:uid="{00000000-0005-0000-0000-000058000000}"/>
    <cellStyle name="Normal 3 7" xfId="78" xr:uid="{00000000-0005-0000-0000-000059000000}"/>
    <cellStyle name="Normal 32" xfId="18" xr:uid="{00000000-0005-0000-0000-00005A000000}"/>
    <cellStyle name="Normal 36" xfId="104" xr:uid="{00000000-0005-0000-0000-00005B000000}"/>
    <cellStyle name="Normal 4" xfId="19" xr:uid="{00000000-0005-0000-0000-00005C000000}"/>
    <cellStyle name="Normal 4 2" xfId="20" xr:uid="{00000000-0005-0000-0000-00005D000000}"/>
    <cellStyle name="Normal 4 2 2" xfId="105" xr:uid="{00000000-0005-0000-0000-00005E000000}"/>
    <cellStyle name="Normal 4 3" xfId="106" xr:uid="{00000000-0005-0000-0000-00005F000000}"/>
    <cellStyle name="Normal 4 3 2" xfId="107" xr:uid="{00000000-0005-0000-0000-000060000000}"/>
    <cellStyle name="Normal 4 4" xfId="108" xr:uid="{00000000-0005-0000-0000-000061000000}"/>
    <cellStyle name="Normal 4 5" xfId="131" xr:uid="{00000000-0005-0000-0000-000062000000}"/>
    <cellStyle name="Normal 4 6" xfId="79" xr:uid="{00000000-0005-0000-0000-000063000000}"/>
    <cellStyle name="Normal 5" xfId="21" xr:uid="{00000000-0005-0000-0000-000064000000}"/>
    <cellStyle name="Normal 5 2" xfId="3" xr:uid="{00000000-0005-0000-0000-000065000000}"/>
    <cellStyle name="Normal 5 2 2" xfId="109" xr:uid="{00000000-0005-0000-0000-000066000000}"/>
    <cellStyle name="Normal 5 3" xfId="110" xr:uid="{00000000-0005-0000-0000-000067000000}"/>
    <cellStyle name="Normal 5 3 2" xfId="111" xr:uid="{00000000-0005-0000-0000-000068000000}"/>
    <cellStyle name="Normal 5 4" xfId="132" xr:uid="{00000000-0005-0000-0000-000069000000}"/>
    <cellStyle name="Normal 5 5" xfId="80" xr:uid="{00000000-0005-0000-0000-00006A000000}"/>
    <cellStyle name="Normal 6" xfId="22" xr:uid="{00000000-0005-0000-0000-00006B000000}"/>
    <cellStyle name="Normal 6 2" xfId="23" xr:uid="{00000000-0005-0000-0000-00006C000000}"/>
    <cellStyle name="Normal 6 2 2" xfId="112" xr:uid="{00000000-0005-0000-0000-00006D000000}"/>
    <cellStyle name="Normal 6 3" xfId="113" xr:uid="{00000000-0005-0000-0000-00006E000000}"/>
    <cellStyle name="Normal 6 4" xfId="114" xr:uid="{00000000-0005-0000-0000-00006F000000}"/>
    <cellStyle name="Normal 6 5" xfId="133" xr:uid="{00000000-0005-0000-0000-000070000000}"/>
    <cellStyle name="Normal 7" xfId="24" xr:uid="{00000000-0005-0000-0000-000071000000}"/>
    <cellStyle name="Normal 7 2" xfId="25" xr:uid="{00000000-0005-0000-0000-000072000000}"/>
    <cellStyle name="Normal 7 2 2" xfId="115" xr:uid="{00000000-0005-0000-0000-000073000000}"/>
    <cellStyle name="Normal 7 3" xfId="116" xr:uid="{00000000-0005-0000-0000-000074000000}"/>
    <cellStyle name="Normal 7 4" xfId="117" xr:uid="{00000000-0005-0000-0000-000075000000}"/>
    <cellStyle name="Normal 8" xfId="26" xr:uid="{00000000-0005-0000-0000-000076000000}"/>
    <cellStyle name="Normal 8 2" xfId="27" xr:uid="{00000000-0005-0000-0000-000077000000}"/>
    <cellStyle name="Normal 8 2 2" xfId="118" xr:uid="{00000000-0005-0000-0000-000078000000}"/>
    <cellStyle name="Normal 8 3" xfId="119" xr:uid="{00000000-0005-0000-0000-000079000000}"/>
    <cellStyle name="Normal 8 4" xfId="120" xr:uid="{00000000-0005-0000-0000-00007A000000}"/>
    <cellStyle name="Normal 9" xfId="2" xr:uid="{00000000-0005-0000-0000-00007B000000}"/>
    <cellStyle name="Normal 9 2" xfId="28" xr:uid="{00000000-0005-0000-0000-00007C000000}"/>
    <cellStyle name="Normal 9 2 2" xfId="121" xr:uid="{00000000-0005-0000-0000-00007D000000}"/>
    <cellStyle name="Normal 9 3" xfId="29" xr:uid="{00000000-0005-0000-0000-00007E000000}"/>
    <cellStyle name="Normal 9 4" xfId="122" xr:uid="{00000000-0005-0000-0000-00007F000000}"/>
    <cellStyle name="Normal 9 4 2" xfId="123" xr:uid="{00000000-0005-0000-0000-000080000000}"/>
    <cellStyle name="Note" xfId="51" builtinId="10" customBuiltin="1"/>
    <cellStyle name="Output" xfId="46" builtinId="21" customBuiltin="1"/>
    <cellStyle name="Title 2" xfId="127" xr:uid="{00000000-0005-0000-0000-000083000000}"/>
    <cellStyle name="Total" xfId="53" builtinId="25" customBuiltin="1"/>
    <cellStyle name="Warning Text" xfId="50" builtinId="11" customBuiltin="1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alignment horizontal="righ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Table Style 1" pivot="0" count="0" xr9:uid="{00000000-0011-0000-FFFF-FFFF00000000}"/>
  </tableStyles>
  <colors>
    <mruColors>
      <color rgb="FFFFDD4F"/>
      <color rgb="FFB1ED7F"/>
      <color rgb="FFCCFF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580704</xdr:colOff>
      <xdr:row>150</xdr:row>
      <xdr:rowOff>81845</xdr:rowOff>
    </xdr:from>
    <xdr:to>
      <xdr:col>18</xdr:col>
      <xdr:colOff>581617</xdr:colOff>
      <xdr:row>160</xdr:row>
      <xdr:rowOff>21045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3E56BD-3461-4A18-A2AC-33D2C0537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4974038" y="27132845"/>
          <a:ext cx="3544215" cy="18188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E8D6CB-4D28-42F0-AE10-07D5EE2D4D24}" name="Table13" displayName="Table13" ref="B5:Q147" totalsRowCount="1" headerRowDxfId="35" dataDxfId="33" headerRowBorderDxfId="34" tableBorderDxfId="32" headerRowCellStyle="Normal 14" dataCellStyle="Normal 14">
  <autoFilter ref="B5:Q146" xr:uid="{00000000-0009-0000-0100-000001000000}"/>
  <tableColumns count="16">
    <tableColumn id="1" xr3:uid="{8112F5DE-C04E-4373-8796-75DE49F1CA5C}" name="Mass[1]" dataDxfId="31" totalsRowDxfId="30" dataCellStyle="Normal 14"/>
    <tableColumn id="2" xr3:uid="{4CDE2813-F58A-49A9-81B1-43F47B550461}" name="Composition[2]" dataDxfId="29" totalsRowDxfId="28" dataCellStyle="Normal 14"/>
    <tableColumn id="3" xr3:uid="{BAD89562-C62C-4024-9C9B-5D28F37D846B}" name="Putative structures [3]" dataDxfId="27" totalsRowDxfId="26"/>
    <tableColumn id="4" xr3:uid="{8B40F4AE-9BB5-4529-982C-A974AF8E61E7}" name="Fuc" dataDxfId="25" totalsRowDxfId="24"/>
    <tableColumn id="5" xr3:uid="{A1DE9391-FC06-4AC6-9150-70D58F402E95}" name="RT [10]" dataDxfId="23" totalsRowDxfId="22" dataCellStyle="Normal 14"/>
    <tableColumn id="6" xr3:uid="{AC83AB87-D5FC-4F0C-905E-0737C96A2E1F}" name="Intensity [11]" totalsRowFunction="custom" dataDxfId="21" totalsRowDxfId="20" dataCellStyle="Normal 14">
      <totalsRowFormula>SUM(G6:G146)</totalsRowFormula>
    </tableColumn>
    <tableColumn id="7" xr3:uid="{643EBD1A-CFEC-4E67-83C7-D08D168849AC}" name="Percentage" dataDxfId="19" totalsRowDxfId="18" dataCellStyle="Normal 14">
      <calculatedColumnFormula>G6/$G$147*100</calculatedColumnFormula>
    </tableColumn>
    <tableColumn id="14" xr3:uid="{FB5AEE7F-F832-4464-8E84-5D9F645611A4}" name="RT6" dataDxfId="17" totalsRowDxfId="16" dataCellStyle="Normal 14"/>
    <tableColumn id="15" xr3:uid="{20B0B1E0-DA3B-44BA-BDB2-51B1BD24047B}" name="Intensity6" totalsRowFunction="custom" dataDxfId="15" totalsRowDxfId="14" dataCellStyle="Normal 14">
      <totalsRowFormula>SUM(J6:J146)</totalsRowFormula>
    </tableColumn>
    <tableColumn id="16" xr3:uid="{2841B456-309A-47DA-A8BF-BCDAF6BAF744}" name="Percentage3" dataDxfId="13" totalsRowDxfId="12" dataCellStyle="Normal 14">
      <calculatedColumnFormula>J6/$J$147*100</calculatedColumnFormula>
    </tableColumn>
    <tableColumn id="17" xr3:uid="{59253343-209A-41E3-8117-E951BF6B032B}" name="RT7" dataDxfId="11" totalsRowDxfId="10" dataCellStyle="Normal 14"/>
    <tableColumn id="18" xr3:uid="{7907FEBB-9549-438B-A8A9-0CA8833DB204}" name="Intensity7" totalsRowFunction="custom" dataDxfId="9" totalsRowDxfId="8" dataCellStyle="Normal 14">
      <totalsRowFormula>SUM(M6:M146)</totalsRowFormula>
    </tableColumn>
    <tableColumn id="19" xr3:uid="{070DE4D4-7B9D-417D-8B37-214AADA5550C}" name="Percentage4" dataDxfId="7" totalsRowDxfId="6" dataCellStyle="Normal 14">
      <calculatedColumnFormula>M6/$M$147*100</calculatedColumnFormula>
    </tableColumn>
    <tableColumn id="8" xr3:uid="{C1C7E8D5-618D-4812-AA5A-875B65E9D21C}" name="RT4" dataDxfId="5" totalsRowDxfId="4" dataCellStyle="Normal 14"/>
    <tableColumn id="9" xr3:uid="{A1DD5699-6971-4447-B85D-A4D92E804449}" name="Intensity4" totalsRowFunction="custom" dataDxfId="3" totalsRowDxfId="2" dataCellStyle="Normal 14">
      <totalsRowFormula>SUM(P6:P146)</totalsRowFormula>
    </tableColumn>
    <tableColumn id="10" xr3:uid="{38828997-8DAB-4410-AF78-172E56FE3FE3}" name="Percentage2" dataDxfId="1" totalsRowDxfId="0" dataCellStyle="Normal 14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9EF84-0409-4F06-B53F-808A947F9CAD}">
  <dimension ref="A1:BY163"/>
  <sheetViews>
    <sheetView tabSelected="1" zoomScale="80" zoomScaleNormal="80" workbookViewId="0">
      <pane ySplit="5" topLeftCell="A96" activePane="bottomLeft" state="frozen"/>
      <selection pane="bottomLeft" sqref="A1:N1"/>
    </sheetView>
  </sheetViews>
  <sheetFormatPr defaultRowHeight="14.35"/>
  <cols>
    <col min="2" max="2" width="8.1171875" customWidth="1"/>
    <col min="3" max="3" width="22.46875" customWidth="1"/>
    <col min="4" max="4" width="106.41015625" customWidth="1"/>
    <col min="5" max="5" width="7.52734375" style="9" customWidth="1"/>
    <col min="6" max="8" width="9.87890625" customWidth="1"/>
    <col min="10" max="10" width="9.234375" bestFit="1" customWidth="1"/>
    <col min="12" max="20" width="9.87890625" customWidth="1"/>
    <col min="21" max="21" width="13" customWidth="1"/>
  </cols>
  <sheetData>
    <row r="1" spans="1:17" ht="20">
      <c r="A1" s="102" t="s">
        <v>348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</row>
    <row r="3" spans="1:17" ht="18.350000000000001" thickBot="1">
      <c r="A3" s="38"/>
    </row>
    <row r="4" spans="1:17" ht="20.7">
      <c r="F4" s="91" t="s">
        <v>321</v>
      </c>
      <c r="G4" s="92"/>
      <c r="H4" s="93"/>
      <c r="I4" s="94" t="s">
        <v>322</v>
      </c>
      <c r="J4" s="95"/>
      <c r="K4" s="95"/>
      <c r="L4" s="96" t="s">
        <v>323</v>
      </c>
      <c r="M4" s="97"/>
      <c r="N4" s="98"/>
      <c r="O4" s="99" t="s">
        <v>324</v>
      </c>
      <c r="P4" s="99"/>
      <c r="Q4" s="100"/>
    </row>
    <row r="5" spans="1:17" ht="16.7" thickBot="1">
      <c r="B5" s="49" t="s">
        <v>0</v>
      </c>
      <c r="C5" s="1" t="s">
        <v>1</v>
      </c>
      <c r="D5" s="1" t="s">
        <v>2</v>
      </c>
      <c r="E5" s="39" t="s">
        <v>24</v>
      </c>
      <c r="F5" s="40" t="s">
        <v>3</v>
      </c>
      <c r="G5" s="2" t="s">
        <v>4</v>
      </c>
      <c r="H5" s="41" t="s">
        <v>5</v>
      </c>
      <c r="I5" s="46" t="s">
        <v>9</v>
      </c>
      <c r="J5" s="2" t="s">
        <v>10</v>
      </c>
      <c r="K5" s="45" t="s">
        <v>11</v>
      </c>
      <c r="L5" s="40" t="s">
        <v>12</v>
      </c>
      <c r="M5" s="2" t="s">
        <v>13</v>
      </c>
      <c r="N5" s="47" t="s">
        <v>14</v>
      </c>
      <c r="O5" s="46" t="s">
        <v>6</v>
      </c>
      <c r="P5" s="2" t="s">
        <v>7</v>
      </c>
      <c r="Q5" s="50" t="s">
        <v>8</v>
      </c>
    </row>
    <row r="6" spans="1:17">
      <c r="B6" s="51">
        <v>384</v>
      </c>
      <c r="C6" s="11" t="s">
        <v>137</v>
      </c>
      <c r="D6" s="11" t="s">
        <v>138</v>
      </c>
      <c r="E6" s="10">
        <v>0</v>
      </c>
      <c r="F6" s="42">
        <v>10.46</v>
      </c>
      <c r="G6" s="5">
        <v>2071.38</v>
      </c>
      <c r="H6" s="43">
        <f t="shared" ref="H6:H25" si="0">G6/$G$147*100</f>
        <v>2.0559699766407938E-2</v>
      </c>
      <c r="I6" s="67" t="s">
        <v>15</v>
      </c>
      <c r="J6" s="68">
        <v>0</v>
      </c>
      <c r="K6" s="68">
        <f t="shared" ref="K6:K25" si="1">J6/$J$147*100</f>
        <v>0</v>
      </c>
      <c r="L6" s="69" t="s">
        <v>15</v>
      </c>
      <c r="M6" s="70">
        <v>0</v>
      </c>
      <c r="N6" s="71">
        <f t="shared" ref="N6:N25" si="2">M6/$M$147*100</f>
        <v>0</v>
      </c>
      <c r="O6" s="67" t="s">
        <v>15</v>
      </c>
      <c r="P6" s="68">
        <v>0</v>
      </c>
      <c r="Q6" s="68">
        <v>0</v>
      </c>
    </row>
    <row r="7" spans="1:17">
      <c r="B7" s="52" t="s">
        <v>40</v>
      </c>
      <c r="C7" s="13" t="s">
        <v>18</v>
      </c>
      <c r="D7" s="19" t="s">
        <v>45</v>
      </c>
      <c r="E7" s="16" t="s">
        <v>39</v>
      </c>
      <c r="F7" s="42" t="s">
        <v>15</v>
      </c>
      <c r="G7" s="5">
        <v>0</v>
      </c>
      <c r="H7" s="43">
        <f t="shared" si="0"/>
        <v>0</v>
      </c>
      <c r="I7" s="3" t="s">
        <v>15</v>
      </c>
      <c r="J7" s="5">
        <v>0</v>
      </c>
      <c r="K7" s="5">
        <f t="shared" si="1"/>
        <v>0</v>
      </c>
      <c r="L7" s="65">
        <v>14.73</v>
      </c>
      <c r="M7" s="64">
        <v>4002.06</v>
      </c>
      <c r="N7" s="66">
        <f t="shared" si="2"/>
        <v>2.5280215778276584E-2</v>
      </c>
      <c r="O7" s="3" t="s">
        <v>15</v>
      </c>
      <c r="P7" s="5">
        <v>0</v>
      </c>
      <c r="Q7" s="5">
        <v>0</v>
      </c>
    </row>
    <row r="8" spans="1:17">
      <c r="B8" s="52" t="s">
        <v>41</v>
      </c>
      <c r="C8" s="13" t="s">
        <v>18</v>
      </c>
      <c r="D8" s="19" t="s">
        <v>42</v>
      </c>
      <c r="E8" s="16" t="s">
        <v>30</v>
      </c>
      <c r="F8" s="42" t="s">
        <v>15</v>
      </c>
      <c r="G8" s="5">
        <v>0</v>
      </c>
      <c r="H8" s="43">
        <f t="shared" si="0"/>
        <v>0</v>
      </c>
      <c r="I8" s="3" t="s">
        <v>15</v>
      </c>
      <c r="J8" s="5">
        <v>0</v>
      </c>
      <c r="K8" s="5">
        <f t="shared" si="1"/>
        <v>0</v>
      </c>
      <c r="L8" s="65">
        <v>20.420000000000002</v>
      </c>
      <c r="M8" s="64">
        <v>247296.86</v>
      </c>
      <c r="N8" s="66">
        <f t="shared" si="2"/>
        <v>1.5621250011469734</v>
      </c>
      <c r="O8" s="3" t="s">
        <v>15</v>
      </c>
      <c r="P8" s="5">
        <v>0</v>
      </c>
      <c r="Q8" s="5">
        <v>0</v>
      </c>
    </row>
    <row r="9" spans="1:17">
      <c r="B9" s="52" t="s">
        <v>142</v>
      </c>
      <c r="C9" s="13" t="s">
        <v>18</v>
      </c>
      <c r="D9" s="12" t="s">
        <v>144</v>
      </c>
      <c r="E9" s="16" t="s">
        <v>145</v>
      </c>
      <c r="F9" s="42">
        <v>13.53</v>
      </c>
      <c r="G9" s="5">
        <v>6381.94</v>
      </c>
      <c r="H9" s="43">
        <f t="shared" si="0"/>
        <v>6.3344615824826672E-2</v>
      </c>
      <c r="I9" s="67" t="s">
        <v>15</v>
      </c>
      <c r="J9" s="68">
        <v>0</v>
      </c>
      <c r="K9" s="68">
        <f t="shared" si="1"/>
        <v>0</v>
      </c>
      <c r="L9" s="72" t="s">
        <v>15</v>
      </c>
      <c r="M9" s="68">
        <v>0</v>
      </c>
      <c r="N9" s="73">
        <f t="shared" si="2"/>
        <v>0</v>
      </c>
      <c r="O9" s="67" t="s">
        <v>15</v>
      </c>
      <c r="P9" s="68">
        <v>0</v>
      </c>
      <c r="Q9" s="68">
        <v>0</v>
      </c>
    </row>
    <row r="10" spans="1:17">
      <c r="B10" s="52" t="s">
        <v>143</v>
      </c>
      <c r="C10" s="13" t="s">
        <v>18</v>
      </c>
      <c r="D10" s="12" t="s">
        <v>19</v>
      </c>
      <c r="E10" s="9" t="s">
        <v>25</v>
      </c>
      <c r="F10" s="42">
        <v>24.5</v>
      </c>
      <c r="G10" s="5">
        <v>220125.87</v>
      </c>
      <c r="H10" s="43">
        <f t="shared" si="0"/>
        <v>2.1848824445632107</v>
      </c>
      <c r="I10" s="3">
        <v>22.87</v>
      </c>
      <c r="J10" s="5">
        <v>42931.85</v>
      </c>
      <c r="K10" s="5">
        <f t="shared" si="1"/>
        <v>1.0887529213801344</v>
      </c>
      <c r="L10" s="79">
        <v>22.53</v>
      </c>
      <c r="M10" s="78">
        <v>3307314.71</v>
      </c>
      <c r="N10" s="80">
        <f t="shared" si="2"/>
        <v>20.891648180054332</v>
      </c>
      <c r="O10" s="67" t="s">
        <v>15</v>
      </c>
      <c r="P10" s="68">
        <v>0</v>
      </c>
      <c r="Q10" s="68">
        <v>0</v>
      </c>
    </row>
    <row r="11" spans="1:17">
      <c r="B11" s="52" t="s">
        <v>139</v>
      </c>
      <c r="C11" s="13" t="s">
        <v>140</v>
      </c>
      <c r="D11" s="12" t="s">
        <v>141</v>
      </c>
      <c r="E11" s="9">
        <v>0</v>
      </c>
      <c r="F11" s="42">
        <v>12.96</v>
      </c>
      <c r="G11" s="5">
        <v>2815.2</v>
      </c>
      <c r="H11" s="43">
        <f t="shared" si="0"/>
        <v>2.7942563306776941E-2</v>
      </c>
      <c r="I11" s="67" t="s">
        <v>15</v>
      </c>
      <c r="J11" s="68">
        <v>0</v>
      </c>
      <c r="K11" s="68">
        <f t="shared" si="1"/>
        <v>0</v>
      </c>
      <c r="L11" s="72" t="s">
        <v>15</v>
      </c>
      <c r="M11" s="68">
        <v>0</v>
      </c>
      <c r="N11" s="73">
        <f t="shared" si="2"/>
        <v>0</v>
      </c>
      <c r="O11" s="67" t="s">
        <v>15</v>
      </c>
      <c r="P11" s="68">
        <v>0</v>
      </c>
      <c r="Q11" s="68">
        <v>0</v>
      </c>
    </row>
    <row r="12" spans="1:17">
      <c r="B12" s="52" t="s">
        <v>157</v>
      </c>
      <c r="C12" s="13" t="s">
        <v>159</v>
      </c>
      <c r="D12" s="12" t="s">
        <v>160</v>
      </c>
      <c r="E12" s="22">
        <v>0</v>
      </c>
      <c r="F12" s="42">
        <v>10.16</v>
      </c>
      <c r="G12" s="5">
        <v>4110.7299999999996</v>
      </c>
      <c r="H12" s="43">
        <f t="shared" si="0"/>
        <v>4.0801482403405503E-2</v>
      </c>
      <c r="I12" s="67" t="s">
        <v>15</v>
      </c>
      <c r="J12" s="68">
        <v>0</v>
      </c>
      <c r="K12" s="68">
        <f t="shared" si="1"/>
        <v>0</v>
      </c>
      <c r="L12" s="72" t="s">
        <v>15</v>
      </c>
      <c r="M12" s="68">
        <v>0</v>
      </c>
      <c r="N12" s="73">
        <f t="shared" si="2"/>
        <v>0</v>
      </c>
      <c r="O12" s="67" t="s">
        <v>15</v>
      </c>
      <c r="P12" s="68">
        <v>0</v>
      </c>
      <c r="Q12" s="68">
        <v>0</v>
      </c>
    </row>
    <row r="13" spans="1:17">
      <c r="B13" s="52" t="s">
        <v>158</v>
      </c>
      <c r="C13" s="13" t="s">
        <v>159</v>
      </c>
      <c r="D13" s="12" t="s">
        <v>161</v>
      </c>
      <c r="E13" s="22">
        <v>0</v>
      </c>
      <c r="F13" s="42">
        <v>12.96</v>
      </c>
      <c r="G13" s="5">
        <v>11323.68</v>
      </c>
      <c r="H13" s="43">
        <f t="shared" si="0"/>
        <v>0.11239437527198208</v>
      </c>
      <c r="I13" s="67" t="s">
        <v>15</v>
      </c>
      <c r="J13" s="68">
        <v>0</v>
      </c>
      <c r="K13" s="68">
        <f t="shared" si="1"/>
        <v>0</v>
      </c>
      <c r="L13" s="72" t="s">
        <v>15</v>
      </c>
      <c r="M13" s="68">
        <v>0</v>
      </c>
      <c r="N13" s="73">
        <f t="shared" si="2"/>
        <v>0</v>
      </c>
      <c r="O13" s="67" t="s">
        <v>15</v>
      </c>
      <c r="P13" s="68">
        <v>0</v>
      </c>
      <c r="Q13" s="68">
        <v>0</v>
      </c>
    </row>
    <row r="14" spans="1:17">
      <c r="B14" s="52">
        <v>676</v>
      </c>
      <c r="C14" s="13" t="s">
        <v>34</v>
      </c>
      <c r="D14" s="23" t="s">
        <v>35</v>
      </c>
      <c r="E14" s="20" t="s">
        <v>26</v>
      </c>
      <c r="F14" s="42">
        <v>20.16</v>
      </c>
      <c r="G14" s="5">
        <v>16494.7</v>
      </c>
      <c r="H14" s="43">
        <f t="shared" si="0"/>
        <v>0.16371987744255956</v>
      </c>
      <c r="I14" s="3" t="s">
        <v>15</v>
      </c>
      <c r="J14" s="5">
        <v>0</v>
      </c>
      <c r="K14" s="5">
        <f t="shared" si="1"/>
        <v>0</v>
      </c>
      <c r="L14" s="65">
        <v>18.63</v>
      </c>
      <c r="M14" s="64">
        <v>14255.87</v>
      </c>
      <c r="N14" s="66">
        <f t="shared" si="2"/>
        <v>9.005149090894686E-2</v>
      </c>
      <c r="O14" s="3" t="s">
        <v>15</v>
      </c>
      <c r="P14" s="5">
        <v>0</v>
      </c>
      <c r="Q14" s="5">
        <v>0</v>
      </c>
    </row>
    <row r="15" spans="1:17">
      <c r="B15" s="52" t="s">
        <v>36</v>
      </c>
      <c r="C15" s="13" t="s">
        <v>37</v>
      </c>
      <c r="D15" s="19" t="s">
        <v>43</v>
      </c>
      <c r="E15" s="20" t="s">
        <v>30</v>
      </c>
      <c r="F15" s="42" t="s">
        <v>15</v>
      </c>
      <c r="G15" s="5">
        <v>0</v>
      </c>
      <c r="H15" s="43">
        <f t="shared" si="0"/>
        <v>0</v>
      </c>
      <c r="I15" s="77">
        <v>15.81</v>
      </c>
      <c r="J15" s="78">
        <v>409088.87</v>
      </c>
      <c r="K15" s="78">
        <f t="shared" si="1"/>
        <v>10.374505229022228</v>
      </c>
      <c r="L15" s="65">
        <v>15.6</v>
      </c>
      <c r="M15" s="64">
        <v>81046.13</v>
      </c>
      <c r="N15" s="66">
        <f t="shared" si="2"/>
        <v>0.51195225818559831</v>
      </c>
      <c r="O15" s="3" t="s">
        <v>15</v>
      </c>
      <c r="P15" s="5">
        <v>0</v>
      </c>
      <c r="Q15" s="5">
        <v>0</v>
      </c>
    </row>
    <row r="16" spans="1:17">
      <c r="B16" s="52" t="s">
        <v>38</v>
      </c>
      <c r="C16" s="13" t="s">
        <v>37</v>
      </c>
      <c r="D16" s="19" t="s">
        <v>44</v>
      </c>
      <c r="E16" s="10" t="s">
        <v>39</v>
      </c>
      <c r="F16" s="42" t="s">
        <v>15</v>
      </c>
      <c r="G16" s="5">
        <v>0</v>
      </c>
      <c r="H16" s="43">
        <f t="shared" si="0"/>
        <v>0</v>
      </c>
      <c r="I16" s="63">
        <v>20.76</v>
      </c>
      <c r="J16" s="64">
        <v>159618.66</v>
      </c>
      <c r="K16" s="64">
        <f t="shared" si="1"/>
        <v>4.0479336991483565</v>
      </c>
      <c r="L16" s="65">
        <v>20.420000000000002</v>
      </c>
      <c r="M16" s="64">
        <v>82133.899999999994</v>
      </c>
      <c r="N16" s="66">
        <f t="shared" si="2"/>
        <v>0.51882348458328742</v>
      </c>
      <c r="O16" s="3" t="s">
        <v>15</v>
      </c>
      <c r="P16" s="5">
        <v>0</v>
      </c>
      <c r="Q16" s="5">
        <v>0</v>
      </c>
    </row>
    <row r="17" spans="2:17">
      <c r="B17" s="52" t="s">
        <v>164</v>
      </c>
      <c r="C17" s="13" t="s">
        <v>166</v>
      </c>
      <c r="D17" s="12" t="s">
        <v>167</v>
      </c>
      <c r="E17" s="10">
        <v>0</v>
      </c>
      <c r="F17" s="42">
        <v>10.11</v>
      </c>
      <c r="G17" s="5">
        <v>434.66</v>
      </c>
      <c r="H17" s="43">
        <f t="shared" si="0"/>
        <v>4.3142634864036895E-3</v>
      </c>
      <c r="I17" s="67" t="s">
        <v>15</v>
      </c>
      <c r="J17" s="68">
        <v>0</v>
      </c>
      <c r="K17" s="68">
        <f t="shared" si="1"/>
        <v>0</v>
      </c>
      <c r="L17" s="72" t="s">
        <v>15</v>
      </c>
      <c r="M17" s="68">
        <v>0</v>
      </c>
      <c r="N17" s="73">
        <f t="shared" si="2"/>
        <v>0</v>
      </c>
      <c r="O17" s="67" t="s">
        <v>15</v>
      </c>
      <c r="P17" s="68">
        <v>0</v>
      </c>
      <c r="Q17" s="68">
        <v>0</v>
      </c>
    </row>
    <row r="18" spans="2:17">
      <c r="B18" s="52" t="s">
        <v>165</v>
      </c>
      <c r="C18" s="13" t="s">
        <v>166</v>
      </c>
      <c r="D18" s="12" t="s">
        <v>168</v>
      </c>
      <c r="E18" s="10">
        <v>0</v>
      </c>
      <c r="F18" s="42">
        <v>12.71</v>
      </c>
      <c r="G18" s="5">
        <v>1059.01</v>
      </c>
      <c r="H18" s="43">
        <f t="shared" si="0"/>
        <v>1.05113149927216E-2</v>
      </c>
      <c r="I18" s="67" t="s">
        <v>15</v>
      </c>
      <c r="J18" s="68">
        <v>0</v>
      </c>
      <c r="K18" s="68">
        <f t="shared" si="1"/>
        <v>0</v>
      </c>
      <c r="L18" s="72" t="s">
        <v>15</v>
      </c>
      <c r="M18" s="68">
        <v>0</v>
      </c>
      <c r="N18" s="73">
        <f t="shared" si="2"/>
        <v>0</v>
      </c>
      <c r="O18" s="67" t="s">
        <v>15</v>
      </c>
      <c r="P18" s="68">
        <v>0</v>
      </c>
      <c r="Q18" s="68">
        <v>0</v>
      </c>
    </row>
    <row r="19" spans="2:17">
      <c r="B19" s="52" t="s">
        <v>119</v>
      </c>
      <c r="C19" s="13" t="s">
        <v>37</v>
      </c>
      <c r="D19" s="12" t="s">
        <v>121</v>
      </c>
      <c r="E19" s="10" t="s">
        <v>39</v>
      </c>
      <c r="F19" s="42">
        <v>16.100000000000001</v>
      </c>
      <c r="G19" s="5">
        <v>2203.9299999999998</v>
      </c>
      <c r="H19" s="43">
        <f t="shared" si="0"/>
        <v>2.1875338714373721E-2</v>
      </c>
      <c r="I19" s="3">
        <v>15.12</v>
      </c>
      <c r="J19" s="5">
        <v>27154.65</v>
      </c>
      <c r="K19" s="5">
        <f t="shared" si="1"/>
        <v>0.68864268641009097</v>
      </c>
      <c r="L19" s="72" t="s">
        <v>15</v>
      </c>
      <c r="M19" s="68">
        <v>0</v>
      </c>
      <c r="N19" s="73">
        <f t="shared" si="2"/>
        <v>0</v>
      </c>
      <c r="O19" s="67" t="s">
        <v>15</v>
      </c>
      <c r="P19" s="68">
        <v>0</v>
      </c>
      <c r="Q19" s="68">
        <v>0</v>
      </c>
    </row>
    <row r="20" spans="2:17">
      <c r="B20" s="52" t="s">
        <v>120</v>
      </c>
      <c r="C20" s="13" t="s">
        <v>37</v>
      </c>
      <c r="D20" s="12" t="s">
        <v>46</v>
      </c>
      <c r="E20" s="21" t="s">
        <v>30</v>
      </c>
      <c r="F20" s="42" t="s">
        <v>15</v>
      </c>
      <c r="G20" s="5">
        <v>0</v>
      </c>
      <c r="H20" s="43">
        <f t="shared" si="0"/>
        <v>0</v>
      </c>
      <c r="I20" s="3" t="s">
        <v>15</v>
      </c>
      <c r="J20" s="5">
        <v>0</v>
      </c>
      <c r="K20" s="5">
        <f t="shared" si="1"/>
        <v>0</v>
      </c>
      <c r="L20" s="65">
        <v>17.329999999999998</v>
      </c>
      <c r="M20" s="64">
        <v>60140.14</v>
      </c>
      <c r="N20" s="66">
        <f t="shared" si="2"/>
        <v>0.37989328399268446</v>
      </c>
      <c r="O20" s="3" t="s">
        <v>15</v>
      </c>
      <c r="P20" s="5">
        <v>0</v>
      </c>
      <c r="Q20" s="5">
        <v>0</v>
      </c>
    </row>
    <row r="21" spans="2:17">
      <c r="B21" s="52" t="s">
        <v>47</v>
      </c>
      <c r="C21" s="13" t="s">
        <v>49</v>
      </c>
      <c r="D21" s="24" t="s">
        <v>181</v>
      </c>
      <c r="E21" s="21" t="s">
        <v>145</v>
      </c>
      <c r="F21" s="42">
        <v>17.059999999999999</v>
      </c>
      <c r="G21" s="5">
        <v>140729.66</v>
      </c>
      <c r="H21" s="43">
        <f t="shared" si="0"/>
        <v>1.3968270224819532</v>
      </c>
      <c r="I21" s="67" t="s">
        <v>15</v>
      </c>
      <c r="J21" s="68">
        <v>0</v>
      </c>
      <c r="K21" s="68">
        <f t="shared" si="1"/>
        <v>0</v>
      </c>
      <c r="L21" s="72" t="s">
        <v>15</v>
      </c>
      <c r="M21" s="68">
        <v>0</v>
      </c>
      <c r="N21" s="73">
        <f t="shared" si="2"/>
        <v>0</v>
      </c>
      <c r="O21" s="67" t="s">
        <v>15</v>
      </c>
      <c r="P21" s="68">
        <v>0</v>
      </c>
      <c r="Q21" s="68">
        <v>0</v>
      </c>
    </row>
    <row r="22" spans="2:17">
      <c r="B22" s="52" t="s">
        <v>48</v>
      </c>
      <c r="C22" s="13" t="s">
        <v>49</v>
      </c>
      <c r="D22" s="12" t="s">
        <v>51</v>
      </c>
      <c r="E22" s="21" t="s">
        <v>39</v>
      </c>
      <c r="F22" s="42" t="s">
        <v>15</v>
      </c>
      <c r="G22" s="5">
        <v>0</v>
      </c>
      <c r="H22" s="43">
        <f t="shared" si="0"/>
        <v>0</v>
      </c>
      <c r="I22" s="63" t="s">
        <v>135</v>
      </c>
      <c r="J22" s="64">
        <v>34162.199999999997</v>
      </c>
      <c r="K22" s="64">
        <f t="shared" si="1"/>
        <v>0.86635435115822912</v>
      </c>
      <c r="L22" s="65" t="s">
        <v>50</v>
      </c>
      <c r="M22" s="64">
        <v>22091</v>
      </c>
      <c r="N22" s="66">
        <f t="shared" si="2"/>
        <v>0.1395444462996327</v>
      </c>
      <c r="O22" s="3" t="s">
        <v>15</v>
      </c>
      <c r="P22" s="5">
        <v>0</v>
      </c>
      <c r="Q22" s="5">
        <v>0</v>
      </c>
    </row>
    <row r="23" spans="2:17">
      <c r="B23" s="52" t="s">
        <v>182</v>
      </c>
      <c r="C23" s="13" t="s">
        <v>49</v>
      </c>
      <c r="D23" s="24" t="s">
        <v>183</v>
      </c>
      <c r="E23" s="21" t="s">
        <v>30</v>
      </c>
      <c r="F23" s="42">
        <v>20.16</v>
      </c>
      <c r="G23" s="5">
        <v>18855.38</v>
      </c>
      <c r="H23" s="43">
        <f t="shared" si="0"/>
        <v>0.18715105474685134</v>
      </c>
      <c r="I23" s="67" t="s">
        <v>15</v>
      </c>
      <c r="J23" s="68">
        <v>0</v>
      </c>
      <c r="K23" s="68">
        <f t="shared" si="1"/>
        <v>0</v>
      </c>
      <c r="L23" s="72" t="s">
        <v>15</v>
      </c>
      <c r="M23" s="68">
        <v>0</v>
      </c>
      <c r="N23" s="73">
        <f t="shared" si="2"/>
        <v>0</v>
      </c>
      <c r="O23" s="67" t="s">
        <v>15</v>
      </c>
      <c r="P23" s="68">
        <v>0</v>
      </c>
      <c r="Q23" s="68">
        <v>0</v>
      </c>
    </row>
    <row r="24" spans="2:17">
      <c r="B24" s="52" t="s">
        <v>184</v>
      </c>
      <c r="C24" s="13" t="s">
        <v>49</v>
      </c>
      <c r="D24" s="24" t="s">
        <v>185</v>
      </c>
      <c r="E24" s="21" t="s">
        <v>25</v>
      </c>
      <c r="F24" s="42">
        <v>25.08</v>
      </c>
      <c r="G24" s="5">
        <v>104015.52</v>
      </c>
      <c r="H24" s="43">
        <f t="shared" si="0"/>
        <v>1.0324169694825671</v>
      </c>
      <c r="I24" s="67" t="s">
        <v>15</v>
      </c>
      <c r="J24" s="68">
        <v>0</v>
      </c>
      <c r="K24" s="68">
        <f t="shared" si="1"/>
        <v>0</v>
      </c>
      <c r="L24" s="72" t="s">
        <v>15</v>
      </c>
      <c r="M24" s="68">
        <v>0</v>
      </c>
      <c r="N24" s="73">
        <f t="shared" si="2"/>
        <v>0</v>
      </c>
      <c r="O24" s="67" t="s">
        <v>15</v>
      </c>
      <c r="P24" s="68">
        <v>0</v>
      </c>
      <c r="Q24" s="68">
        <v>0</v>
      </c>
    </row>
    <row r="25" spans="2:17">
      <c r="B25" s="52" t="s">
        <v>188</v>
      </c>
      <c r="C25" s="13" t="s">
        <v>132</v>
      </c>
      <c r="D25" s="12" t="s">
        <v>133</v>
      </c>
      <c r="E25" s="21">
        <v>0</v>
      </c>
      <c r="F25" s="42" t="s">
        <v>15</v>
      </c>
      <c r="G25" s="5">
        <v>0</v>
      </c>
      <c r="H25" s="43">
        <f t="shared" si="0"/>
        <v>0</v>
      </c>
      <c r="I25" s="63">
        <v>12.69</v>
      </c>
      <c r="J25" s="64">
        <v>2130.46</v>
      </c>
      <c r="K25" s="64">
        <f t="shared" si="1"/>
        <v>5.4028525416061055E-2</v>
      </c>
      <c r="L25" s="42" t="s">
        <v>15</v>
      </c>
      <c r="M25" s="5">
        <v>0</v>
      </c>
      <c r="N25" s="43">
        <f t="shared" si="2"/>
        <v>0</v>
      </c>
      <c r="O25" s="3" t="s">
        <v>15</v>
      </c>
      <c r="P25" s="5">
        <v>0</v>
      </c>
      <c r="Q25" s="5">
        <v>0</v>
      </c>
    </row>
    <row r="26" spans="2:17">
      <c r="B26" s="52" t="s">
        <v>189</v>
      </c>
      <c r="C26" s="13" t="s">
        <v>132</v>
      </c>
      <c r="D26" s="12" t="s">
        <v>192</v>
      </c>
      <c r="E26" s="21">
        <v>0</v>
      </c>
      <c r="F26" s="42">
        <v>14.24</v>
      </c>
      <c r="G26" s="5">
        <v>10621.11</v>
      </c>
      <c r="H26" s="43">
        <f t="shared" ref="H26:H28" si="3">G26/$G$147*100</f>
        <v>0.10542094293948623</v>
      </c>
      <c r="I26" s="67" t="s">
        <v>15</v>
      </c>
      <c r="J26" s="68">
        <v>0</v>
      </c>
      <c r="K26" s="68">
        <f t="shared" ref="K26:K28" si="4">J26/$J$147*100</f>
        <v>0</v>
      </c>
      <c r="L26" s="72" t="s">
        <v>15</v>
      </c>
      <c r="M26" s="68">
        <v>0</v>
      </c>
      <c r="N26" s="73">
        <f t="shared" ref="N26:N28" si="5">M26/$M$147*100</f>
        <v>0</v>
      </c>
      <c r="O26" s="67" t="s">
        <v>15</v>
      </c>
      <c r="P26" s="68">
        <v>0</v>
      </c>
      <c r="Q26" s="68">
        <v>0</v>
      </c>
    </row>
    <row r="27" spans="2:17">
      <c r="B27" s="52" t="s">
        <v>190</v>
      </c>
      <c r="C27" s="13" t="s">
        <v>132</v>
      </c>
      <c r="D27" s="12" t="s">
        <v>193</v>
      </c>
      <c r="E27" s="21">
        <v>0</v>
      </c>
      <c r="F27" s="42">
        <v>15.46</v>
      </c>
      <c r="G27" s="5">
        <v>29541.1</v>
      </c>
      <c r="H27" s="43">
        <f t="shared" si="3"/>
        <v>0.29321329102792992</v>
      </c>
      <c r="I27" s="67" t="s">
        <v>15</v>
      </c>
      <c r="J27" s="68">
        <v>0</v>
      </c>
      <c r="K27" s="68">
        <f t="shared" si="4"/>
        <v>0</v>
      </c>
      <c r="L27" s="72" t="s">
        <v>15</v>
      </c>
      <c r="M27" s="68">
        <v>0</v>
      </c>
      <c r="N27" s="73">
        <f t="shared" si="5"/>
        <v>0</v>
      </c>
      <c r="O27" s="67" t="s">
        <v>15</v>
      </c>
      <c r="P27" s="68">
        <v>0</v>
      </c>
      <c r="Q27" s="68">
        <v>0</v>
      </c>
    </row>
    <row r="28" spans="2:17">
      <c r="B28" s="52" t="s">
        <v>191</v>
      </c>
      <c r="C28" s="13" t="s">
        <v>132</v>
      </c>
      <c r="D28" s="12" t="s">
        <v>194</v>
      </c>
      <c r="E28" s="21">
        <v>0</v>
      </c>
      <c r="F28" s="42">
        <v>16.489999999999998</v>
      </c>
      <c r="G28" s="5">
        <v>44524.88</v>
      </c>
      <c r="H28" s="43">
        <f t="shared" si="3"/>
        <v>0.44193637330443536</v>
      </c>
      <c r="I28" s="67" t="s">
        <v>15</v>
      </c>
      <c r="J28" s="68">
        <v>0</v>
      </c>
      <c r="K28" s="68">
        <f t="shared" si="4"/>
        <v>0</v>
      </c>
      <c r="L28" s="72" t="s">
        <v>15</v>
      </c>
      <c r="M28" s="68">
        <v>0</v>
      </c>
      <c r="N28" s="73">
        <f t="shared" si="5"/>
        <v>0</v>
      </c>
      <c r="O28" s="67" t="s">
        <v>15</v>
      </c>
      <c r="P28" s="68">
        <v>0</v>
      </c>
      <c r="Q28" s="68">
        <v>0</v>
      </c>
    </row>
    <row r="29" spans="2:17">
      <c r="B29" s="53">
        <v>790</v>
      </c>
      <c r="C29" s="62" t="s">
        <v>205</v>
      </c>
      <c r="D29" s="12" t="s">
        <v>206</v>
      </c>
      <c r="E29" s="21">
        <v>0</v>
      </c>
      <c r="F29" s="44">
        <v>14.49</v>
      </c>
      <c r="G29" s="18">
        <v>101566.65</v>
      </c>
      <c r="H29" s="48">
        <f>G29/$G$147*100</f>
        <v>1.0081104530698553</v>
      </c>
      <c r="I29" s="67" t="s">
        <v>15</v>
      </c>
      <c r="J29" s="68">
        <v>0</v>
      </c>
      <c r="K29" s="74">
        <f>J29/$J$147*100</f>
        <v>0</v>
      </c>
      <c r="L29" s="72" t="s">
        <v>15</v>
      </c>
      <c r="M29" s="68">
        <v>0</v>
      </c>
      <c r="N29" s="75">
        <f>M29/$M$147*100</f>
        <v>0</v>
      </c>
      <c r="O29" s="67" t="s">
        <v>15</v>
      </c>
      <c r="P29" s="68">
        <v>0</v>
      </c>
      <c r="Q29" s="68">
        <v>0</v>
      </c>
    </row>
    <row r="30" spans="2:17">
      <c r="B30" s="52">
        <v>813</v>
      </c>
      <c r="C30" s="13" t="s">
        <v>128</v>
      </c>
      <c r="D30" s="12" t="s">
        <v>129</v>
      </c>
      <c r="E30" s="21" t="s">
        <v>30</v>
      </c>
      <c r="F30" s="42" t="s">
        <v>15</v>
      </c>
      <c r="G30" s="5">
        <v>0</v>
      </c>
      <c r="H30" s="43">
        <f>G30/$G$147*100</f>
        <v>0</v>
      </c>
      <c r="I30" s="63">
        <v>14.44</v>
      </c>
      <c r="J30" s="64">
        <v>9755.8799999999992</v>
      </c>
      <c r="K30" s="64">
        <f>J30/$J$147*100</f>
        <v>0.24740939071188459</v>
      </c>
      <c r="L30" s="42" t="s">
        <v>15</v>
      </c>
      <c r="M30" s="5">
        <v>0</v>
      </c>
      <c r="N30" s="43">
        <f>M30/$M$147*100</f>
        <v>0</v>
      </c>
      <c r="O30" s="3" t="s">
        <v>15</v>
      </c>
      <c r="P30" s="5">
        <v>0</v>
      </c>
      <c r="Q30" s="5">
        <v>0</v>
      </c>
    </row>
    <row r="31" spans="2:17">
      <c r="B31" s="53">
        <v>821</v>
      </c>
      <c r="C31" s="62" t="s">
        <v>207</v>
      </c>
      <c r="D31" s="12" t="s">
        <v>208</v>
      </c>
      <c r="E31" s="21" t="s">
        <v>25</v>
      </c>
      <c r="F31" s="44">
        <v>24.5</v>
      </c>
      <c r="G31" s="18">
        <v>26075.8</v>
      </c>
      <c r="H31" s="48">
        <f>G31/$G$147*100</f>
        <v>0.25881809188507182</v>
      </c>
      <c r="I31" s="67" t="s">
        <v>15</v>
      </c>
      <c r="J31" s="68">
        <v>0</v>
      </c>
      <c r="K31" s="74">
        <f>J31/$J$147*100</f>
        <v>0</v>
      </c>
      <c r="L31" s="72" t="s">
        <v>15</v>
      </c>
      <c r="M31" s="68">
        <v>0</v>
      </c>
      <c r="N31" s="75">
        <f>M31/$M$147*100</f>
        <v>0</v>
      </c>
      <c r="O31" s="67" t="s">
        <v>15</v>
      </c>
      <c r="P31" s="68">
        <v>0</v>
      </c>
      <c r="Q31" s="68">
        <v>0</v>
      </c>
    </row>
    <row r="32" spans="2:17">
      <c r="B32" s="52" t="s">
        <v>217</v>
      </c>
      <c r="C32" s="13" t="s">
        <v>219</v>
      </c>
      <c r="D32" s="12" t="s">
        <v>220</v>
      </c>
      <c r="E32" s="21">
        <v>0</v>
      </c>
      <c r="F32" s="42">
        <v>13.4</v>
      </c>
      <c r="G32" s="5">
        <v>24444.31</v>
      </c>
      <c r="H32" s="43">
        <f t="shared" ref="H32:H33" si="6">G32/$G$147*100</f>
        <v>0.24262456651942341</v>
      </c>
      <c r="I32" s="67" t="s">
        <v>15</v>
      </c>
      <c r="J32" s="68">
        <v>0</v>
      </c>
      <c r="K32" s="68">
        <f t="shared" ref="K32:K33" si="7">J32/$J$147*100</f>
        <v>0</v>
      </c>
      <c r="L32" s="72" t="s">
        <v>15</v>
      </c>
      <c r="M32" s="68">
        <v>0</v>
      </c>
      <c r="N32" s="73">
        <f t="shared" ref="N32:N33" si="8">M32/$M$147*100</f>
        <v>0</v>
      </c>
      <c r="O32" s="67" t="s">
        <v>15</v>
      </c>
      <c r="P32" s="68">
        <v>0</v>
      </c>
      <c r="Q32" s="68">
        <v>0</v>
      </c>
    </row>
    <row r="33" spans="1:17">
      <c r="B33" s="52" t="s">
        <v>218</v>
      </c>
      <c r="C33" s="13" t="s">
        <v>219</v>
      </c>
      <c r="D33" s="12" t="s">
        <v>221</v>
      </c>
      <c r="E33" s="21">
        <v>0</v>
      </c>
      <c r="F33" s="42">
        <v>16.23</v>
      </c>
      <c r="G33" s="5">
        <v>5133.13</v>
      </c>
      <c r="H33" s="43">
        <f t="shared" si="6"/>
        <v>5.094942099563652E-2</v>
      </c>
      <c r="I33" s="67" t="s">
        <v>15</v>
      </c>
      <c r="J33" s="68">
        <v>0</v>
      </c>
      <c r="K33" s="68">
        <f t="shared" si="7"/>
        <v>0</v>
      </c>
      <c r="L33" s="72" t="s">
        <v>15</v>
      </c>
      <c r="M33" s="68">
        <v>0</v>
      </c>
      <c r="N33" s="73">
        <f t="shared" si="8"/>
        <v>0</v>
      </c>
      <c r="O33" s="67" t="s">
        <v>15</v>
      </c>
      <c r="P33" s="68">
        <v>0</v>
      </c>
      <c r="Q33" s="68">
        <v>0</v>
      </c>
    </row>
    <row r="34" spans="1:17">
      <c r="B34" s="52">
        <v>879</v>
      </c>
      <c r="C34" s="13" t="s">
        <v>222</v>
      </c>
      <c r="D34" s="25" t="s">
        <v>223</v>
      </c>
      <c r="E34" s="21" t="s">
        <v>145</v>
      </c>
      <c r="F34" s="42">
        <v>14.81</v>
      </c>
      <c r="G34" s="5">
        <v>12074.74</v>
      </c>
      <c r="H34" s="43">
        <f t="shared" ref="H34:H41" si="9">G34/$G$147*100</f>
        <v>0.11984910019283597</v>
      </c>
      <c r="I34" s="67" t="s">
        <v>15</v>
      </c>
      <c r="J34" s="68">
        <v>0</v>
      </c>
      <c r="K34" s="68">
        <f t="shared" ref="K34:K41" si="10">J34/$J$147*100</f>
        <v>0</v>
      </c>
      <c r="L34" s="72" t="s">
        <v>15</v>
      </c>
      <c r="M34" s="68">
        <v>0</v>
      </c>
      <c r="N34" s="73">
        <f t="shared" ref="N34:N41" si="11">M34/$M$147*100</f>
        <v>0</v>
      </c>
      <c r="O34" s="67" t="s">
        <v>15</v>
      </c>
      <c r="P34" s="68">
        <v>0</v>
      </c>
      <c r="Q34" s="68">
        <v>0</v>
      </c>
    </row>
    <row r="35" spans="1:17">
      <c r="B35" s="52" t="s">
        <v>108</v>
      </c>
      <c r="C35" s="13" t="s">
        <v>111</v>
      </c>
      <c r="D35" s="12" t="s">
        <v>233</v>
      </c>
      <c r="E35" s="21" t="s">
        <v>145</v>
      </c>
      <c r="F35" s="42">
        <v>13.59</v>
      </c>
      <c r="G35" s="5">
        <v>11430.07</v>
      </c>
      <c r="H35" s="43">
        <f t="shared" si="9"/>
        <v>0.11345036039211846</v>
      </c>
      <c r="I35" s="67" t="s">
        <v>15</v>
      </c>
      <c r="J35" s="68">
        <v>0</v>
      </c>
      <c r="K35" s="68">
        <f t="shared" si="10"/>
        <v>0</v>
      </c>
      <c r="L35" s="72" t="s">
        <v>15</v>
      </c>
      <c r="M35" s="68">
        <v>0</v>
      </c>
      <c r="N35" s="73">
        <f t="shared" si="11"/>
        <v>0</v>
      </c>
      <c r="O35" s="67" t="s">
        <v>15</v>
      </c>
      <c r="P35" s="68">
        <v>0</v>
      </c>
      <c r="Q35" s="68">
        <v>0</v>
      </c>
    </row>
    <row r="36" spans="1:17">
      <c r="B36" s="52" t="s">
        <v>109</v>
      </c>
      <c r="C36" s="13" t="s">
        <v>111</v>
      </c>
      <c r="D36" s="12" t="s">
        <v>131</v>
      </c>
      <c r="E36" s="21" t="s">
        <v>39</v>
      </c>
      <c r="F36" s="42" t="s">
        <v>15</v>
      </c>
      <c r="G36" s="5">
        <v>0</v>
      </c>
      <c r="H36" s="43">
        <f t="shared" si="9"/>
        <v>0</v>
      </c>
      <c r="I36" s="63">
        <v>14.81</v>
      </c>
      <c r="J36" s="64">
        <v>15092.14</v>
      </c>
      <c r="K36" s="64">
        <f t="shared" si="10"/>
        <v>0.38273709413589163</v>
      </c>
      <c r="L36" s="42" t="s">
        <v>15</v>
      </c>
      <c r="M36" s="5">
        <v>0</v>
      </c>
      <c r="N36" s="43">
        <f t="shared" si="11"/>
        <v>0</v>
      </c>
      <c r="O36" s="3" t="s">
        <v>15</v>
      </c>
      <c r="P36" s="5">
        <v>0</v>
      </c>
      <c r="Q36" s="5">
        <v>0</v>
      </c>
    </row>
    <row r="37" spans="1:17">
      <c r="A37" t="s">
        <v>318</v>
      </c>
      <c r="B37" s="52" t="s">
        <v>110</v>
      </c>
      <c r="C37" s="13" t="s">
        <v>111</v>
      </c>
      <c r="D37" s="12" t="s">
        <v>118</v>
      </c>
      <c r="E37" s="21" t="s">
        <v>26</v>
      </c>
      <c r="F37" s="42">
        <v>17.62</v>
      </c>
      <c r="G37" s="5">
        <v>24418.58</v>
      </c>
      <c r="H37" s="43">
        <f t="shared" si="9"/>
        <v>0.24236918070176094</v>
      </c>
      <c r="I37" s="77">
        <v>16.62</v>
      </c>
      <c r="J37" s="78">
        <v>663920.56000000006</v>
      </c>
      <c r="K37" s="78">
        <f t="shared" si="10"/>
        <v>16.8370440422282</v>
      </c>
      <c r="L37" s="42">
        <v>16.47</v>
      </c>
      <c r="M37" s="5">
        <v>94236.9</v>
      </c>
      <c r="N37" s="43">
        <f t="shared" si="11"/>
        <v>0.59527572457081412</v>
      </c>
      <c r="O37" s="67" t="s">
        <v>15</v>
      </c>
      <c r="P37" s="68">
        <v>0</v>
      </c>
      <c r="Q37" s="68">
        <v>0</v>
      </c>
    </row>
    <row r="38" spans="1:17">
      <c r="B38" s="52" t="s">
        <v>117</v>
      </c>
      <c r="C38" s="13" t="s">
        <v>111</v>
      </c>
      <c r="D38" s="12" t="s">
        <v>115</v>
      </c>
      <c r="E38" s="21" t="s">
        <v>30</v>
      </c>
      <c r="F38" s="42">
        <v>19.329999999999998</v>
      </c>
      <c r="G38" s="5">
        <v>82649.570000000007</v>
      </c>
      <c r="H38" s="43">
        <f t="shared" si="9"/>
        <v>0.82034698849207599</v>
      </c>
      <c r="I38" s="67" t="s">
        <v>15</v>
      </c>
      <c r="J38" s="68">
        <v>0</v>
      </c>
      <c r="K38" s="68">
        <f t="shared" si="10"/>
        <v>0</v>
      </c>
      <c r="L38" s="42">
        <v>18.010000000000002</v>
      </c>
      <c r="M38" s="5">
        <v>115654.78</v>
      </c>
      <c r="N38" s="43">
        <f t="shared" si="11"/>
        <v>0.7305682059212274</v>
      </c>
      <c r="O38" s="67" t="s">
        <v>15</v>
      </c>
      <c r="P38" s="68">
        <v>0</v>
      </c>
      <c r="Q38" s="68">
        <v>0</v>
      </c>
    </row>
    <row r="39" spans="1:17">
      <c r="B39" s="52" t="s">
        <v>130</v>
      </c>
      <c r="C39" s="13" t="s">
        <v>111</v>
      </c>
      <c r="D39" s="12" t="s">
        <v>114</v>
      </c>
      <c r="E39" s="21" t="s">
        <v>30</v>
      </c>
      <c r="F39" s="42">
        <v>20.41</v>
      </c>
      <c r="G39" s="5">
        <v>56562.16</v>
      </c>
      <c r="H39" s="43">
        <f t="shared" si="9"/>
        <v>0.5614136603324974</v>
      </c>
      <c r="I39" s="3" t="s">
        <v>116</v>
      </c>
      <c r="J39" s="5">
        <v>84352.2</v>
      </c>
      <c r="K39" s="5">
        <f t="shared" si="10"/>
        <v>2.1391741603224963</v>
      </c>
      <c r="L39" s="42">
        <v>18.809999999999999</v>
      </c>
      <c r="M39" s="5">
        <v>1335310.56</v>
      </c>
      <c r="N39" s="43">
        <f t="shared" si="11"/>
        <v>8.4348908031891927</v>
      </c>
      <c r="O39" s="67" t="s">
        <v>15</v>
      </c>
      <c r="P39" s="68">
        <v>0</v>
      </c>
      <c r="Q39" s="68">
        <v>0</v>
      </c>
    </row>
    <row r="40" spans="1:17">
      <c r="B40" s="52" t="s">
        <v>235</v>
      </c>
      <c r="C40" s="13" t="s">
        <v>111</v>
      </c>
      <c r="D40" s="12" t="s">
        <v>112</v>
      </c>
      <c r="E40" s="21" t="s">
        <v>30</v>
      </c>
      <c r="F40" s="42" t="s">
        <v>15</v>
      </c>
      <c r="G40" s="5">
        <v>0</v>
      </c>
      <c r="H40" s="43">
        <f t="shared" si="9"/>
        <v>0</v>
      </c>
      <c r="I40" s="3" t="s">
        <v>15</v>
      </c>
      <c r="J40" s="5">
        <v>0</v>
      </c>
      <c r="K40" s="5">
        <f t="shared" si="10"/>
        <v>0</v>
      </c>
      <c r="L40" s="65" t="s">
        <v>113</v>
      </c>
      <c r="M40" s="64">
        <v>419472.9</v>
      </c>
      <c r="N40" s="66">
        <f t="shared" si="11"/>
        <v>2.6497267470101491</v>
      </c>
      <c r="O40" s="3" t="s">
        <v>15</v>
      </c>
      <c r="P40" s="5">
        <v>0</v>
      </c>
      <c r="Q40" s="5">
        <v>0</v>
      </c>
    </row>
    <row r="41" spans="1:17">
      <c r="B41" s="52" t="s">
        <v>236</v>
      </c>
      <c r="C41" s="13" t="s">
        <v>111</v>
      </c>
      <c r="D41" s="12" t="s">
        <v>234</v>
      </c>
      <c r="E41" s="21" t="s">
        <v>25</v>
      </c>
      <c r="F41" s="42">
        <v>25.32</v>
      </c>
      <c r="G41" s="5">
        <v>88510.05</v>
      </c>
      <c r="H41" s="43">
        <f t="shared" si="9"/>
        <v>0.87851579831308335</v>
      </c>
      <c r="I41" s="67" t="s">
        <v>15</v>
      </c>
      <c r="J41" s="68">
        <v>0</v>
      </c>
      <c r="K41" s="68">
        <f t="shared" si="10"/>
        <v>0</v>
      </c>
      <c r="L41" s="72" t="s">
        <v>15</v>
      </c>
      <c r="M41" s="68">
        <v>0</v>
      </c>
      <c r="N41" s="73">
        <f t="shared" si="11"/>
        <v>0</v>
      </c>
      <c r="O41" s="67" t="s">
        <v>15</v>
      </c>
      <c r="P41" s="68">
        <v>0</v>
      </c>
      <c r="Q41" s="68">
        <v>0</v>
      </c>
    </row>
    <row r="42" spans="1:17">
      <c r="B42" s="52" t="s">
        <v>297</v>
      </c>
      <c r="C42" s="13" t="s">
        <v>299</v>
      </c>
      <c r="D42" s="23" t="s">
        <v>300</v>
      </c>
      <c r="E42" s="21" t="s">
        <v>145</v>
      </c>
      <c r="F42" s="42">
        <v>14.75</v>
      </c>
      <c r="G42" s="5">
        <v>11698.96</v>
      </c>
      <c r="H42" s="43">
        <f t="shared" ref="H42:H45" si="12">G42/$G$147*100</f>
        <v>0.11611925633114918</v>
      </c>
      <c r="I42" s="67" t="s">
        <v>15</v>
      </c>
      <c r="J42" s="68">
        <v>0</v>
      </c>
      <c r="K42" s="68">
        <f t="shared" ref="K42:K45" si="13">J42/$J$147*100</f>
        <v>0</v>
      </c>
      <c r="L42" s="72" t="s">
        <v>15</v>
      </c>
      <c r="M42" s="68">
        <v>0</v>
      </c>
      <c r="N42" s="73">
        <f t="shared" ref="N42:N45" si="14">M42/$M$147*100</f>
        <v>0</v>
      </c>
      <c r="O42" s="67" t="s">
        <v>15</v>
      </c>
      <c r="P42" s="68">
        <v>0</v>
      </c>
      <c r="Q42" s="68">
        <v>0</v>
      </c>
    </row>
    <row r="43" spans="1:17">
      <c r="B43" s="52" t="s">
        <v>298</v>
      </c>
      <c r="C43" s="13" t="s">
        <v>299</v>
      </c>
      <c r="D43" s="23" t="s">
        <v>301</v>
      </c>
      <c r="E43" s="21" t="s">
        <v>25</v>
      </c>
      <c r="F43" s="42">
        <v>25.2</v>
      </c>
      <c r="G43" s="5">
        <v>57752.35</v>
      </c>
      <c r="H43" s="43">
        <f t="shared" si="12"/>
        <v>0.57322701619428074</v>
      </c>
      <c r="I43" s="67" t="s">
        <v>15</v>
      </c>
      <c r="J43" s="68">
        <v>0</v>
      </c>
      <c r="K43" s="68">
        <f t="shared" si="13"/>
        <v>0</v>
      </c>
      <c r="L43" s="72" t="s">
        <v>15</v>
      </c>
      <c r="M43" s="68">
        <v>0</v>
      </c>
      <c r="N43" s="73">
        <f t="shared" si="14"/>
        <v>0</v>
      </c>
      <c r="O43" s="67" t="s">
        <v>15</v>
      </c>
      <c r="P43" s="68">
        <v>0</v>
      </c>
      <c r="Q43" s="68">
        <v>0</v>
      </c>
    </row>
    <row r="44" spans="1:17">
      <c r="B44" s="52" t="s">
        <v>280</v>
      </c>
      <c r="C44" s="13" t="s">
        <v>282</v>
      </c>
      <c r="D44" s="12" t="s">
        <v>285</v>
      </c>
      <c r="E44" s="21">
        <v>0</v>
      </c>
      <c r="F44" s="42" t="s">
        <v>286</v>
      </c>
      <c r="G44" s="5">
        <v>102097.4</v>
      </c>
      <c r="H44" s="43">
        <f t="shared" si="12"/>
        <v>1.0133784679444899</v>
      </c>
      <c r="I44" s="67" t="s">
        <v>15</v>
      </c>
      <c r="J44" s="68">
        <v>0</v>
      </c>
      <c r="K44" s="68">
        <f t="shared" si="13"/>
        <v>0</v>
      </c>
      <c r="L44" s="72" t="s">
        <v>15</v>
      </c>
      <c r="M44" s="68">
        <v>0</v>
      </c>
      <c r="N44" s="73">
        <f t="shared" si="14"/>
        <v>0</v>
      </c>
      <c r="O44" s="67" t="s">
        <v>15</v>
      </c>
      <c r="P44" s="68">
        <v>0</v>
      </c>
      <c r="Q44" s="68">
        <v>0</v>
      </c>
    </row>
    <row r="45" spans="1:17">
      <c r="B45" s="52" t="s">
        <v>281</v>
      </c>
      <c r="C45" s="13" t="s">
        <v>282</v>
      </c>
      <c r="D45" s="12" t="s">
        <v>283</v>
      </c>
      <c r="E45" s="21">
        <v>0</v>
      </c>
      <c r="F45" s="42" t="s">
        <v>284</v>
      </c>
      <c r="G45" s="5">
        <v>67338.600000000006</v>
      </c>
      <c r="H45" s="43">
        <f t="shared" si="12"/>
        <v>0.66837634750274577</v>
      </c>
      <c r="I45" s="67" t="s">
        <v>15</v>
      </c>
      <c r="J45" s="68">
        <v>0</v>
      </c>
      <c r="K45" s="68">
        <f t="shared" si="13"/>
        <v>0</v>
      </c>
      <c r="L45" s="72" t="s">
        <v>15</v>
      </c>
      <c r="M45" s="68">
        <v>0</v>
      </c>
      <c r="N45" s="73">
        <f t="shared" si="14"/>
        <v>0</v>
      </c>
      <c r="O45" s="67" t="s">
        <v>15</v>
      </c>
      <c r="P45" s="68">
        <v>0</v>
      </c>
      <c r="Q45" s="68">
        <v>0</v>
      </c>
    </row>
    <row r="46" spans="1:17">
      <c r="B46" s="54" t="s">
        <v>99</v>
      </c>
      <c r="C46" s="13" t="s">
        <v>101</v>
      </c>
      <c r="D46" s="12" t="s">
        <v>103</v>
      </c>
      <c r="E46" s="10" t="s">
        <v>30</v>
      </c>
      <c r="F46" s="42" t="s">
        <v>15</v>
      </c>
      <c r="G46" s="5">
        <v>0</v>
      </c>
      <c r="H46" s="43">
        <f t="shared" ref="H46:H66" si="15">G46/$G$147*100</f>
        <v>0</v>
      </c>
      <c r="I46" s="63" t="s">
        <v>127</v>
      </c>
      <c r="J46" s="64">
        <v>28752.2</v>
      </c>
      <c r="K46" s="64">
        <f t="shared" ref="K46:K66" si="16">J46/$J$147*100</f>
        <v>0.72915659926385412</v>
      </c>
      <c r="L46" s="65">
        <v>14.48</v>
      </c>
      <c r="M46" s="64">
        <v>2636.66</v>
      </c>
      <c r="N46" s="66">
        <f t="shared" ref="N46:N66" si="17">M46/$M$147*100</f>
        <v>1.6655255976659705E-2</v>
      </c>
      <c r="O46" s="3" t="s">
        <v>15</v>
      </c>
      <c r="P46" s="5">
        <v>0</v>
      </c>
      <c r="Q46" s="5">
        <v>0</v>
      </c>
    </row>
    <row r="47" spans="1:17">
      <c r="B47" s="54" t="s">
        <v>100</v>
      </c>
      <c r="C47" s="13" t="s">
        <v>101</v>
      </c>
      <c r="D47" s="12" t="s">
        <v>102</v>
      </c>
      <c r="E47" s="10" t="s">
        <v>30</v>
      </c>
      <c r="F47" s="42">
        <v>16.68</v>
      </c>
      <c r="G47" s="5">
        <v>28777.919999999998</v>
      </c>
      <c r="H47" s="43">
        <f t="shared" si="15"/>
        <v>0.28563826777399909</v>
      </c>
      <c r="I47" s="3" t="s">
        <v>126</v>
      </c>
      <c r="J47" s="5">
        <v>13433.8</v>
      </c>
      <c r="K47" s="5">
        <f t="shared" si="16"/>
        <v>0.34068154517535226</v>
      </c>
      <c r="L47" s="42">
        <v>15.28</v>
      </c>
      <c r="M47" s="5">
        <v>21750.09</v>
      </c>
      <c r="N47" s="43">
        <f t="shared" si="17"/>
        <v>0.13739098574157704</v>
      </c>
      <c r="O47" s="67" t="s">
        <v>15</v>
      </c>
      <c r="P47" s="68">
        <v>0</v>
      </c>
      <c r="Q47" s="68">
        <v>0</v>
      </c>
    </row>
    <row r="48" spans="1:17">
      <c r="B48" s="52">
        <v>993</v>
      </c>
      <c r="C48" s="13" t="s">
        <v>205</v>
      </c>
      <c r="D48" s="23" t="s">
        <v>271</v>
      </c>
      <c r="E48" s="10">
        <v>0</v>
      </c>
      <c r="F48" s="42">
        <v>16.36</v>
      </c>
      <c r="G48" s="5">
        <v>74518.52</v>
      </c>
      <c r="H48" s="43">
        <f t="shared" si="15"/>
        <v>0.73964139763687264</v>
      </c>
      <c r="I48" s="67" t="s">
        <v>15</v>
      </c>
      <c r="J48" s="68">
        <v>0</v>
      </c>
      <c r="K48" s="68">
        <f t="shared" si="16"/>
        <v>0</v>
      </c>
      <c r="L48" s="72" t="s">
        <v>15</v>
      </c>
      <c r="M48" s="68">
        <v>0</v>
      </c>
      <c r="N48" s="73">
        <f t="shared" si="17"/>
        <v>0</v>
      </c>
      <c r="O48" s="67" t="s">
        <v>15</v>
      </c>
      <c r="P48" s="68">
        <v>0</v>
      </c>
      <c r="Q48" s="68">
        <v>0</v>
      </c>
    </row>
    <row r="49" spans="2:17">
      <c r="B49" s="54">
        <v>1016</v>
      </c>
      <c r="C49" s="13" t="s">
        <v>91</v>
      </c>
      <c r="D49" s="12" t="s">
        <v>92</v>
      </c>
      <c r="E49" s="10" t="s">
        <v>30</v>
      </c>
      <c r="F49" s="42" t="s">
        <v>15</v>
      </c>
      <c r="G49" s="5">
        <v>0</v>
      </c>
      <c r="H49" s="43">
        <f t="shared" si="15"/>
        <v>0</v>
      </c>
      <c r="I49" s="63">
        <v>15.54</v>
      </c>
      <c r="J49" s="64">
        <v>20827.09</v>
      </c>
      <c r="K49" s="64">
        <f t="shared" si="16"/>
        <v>0.52817558715375601</v>
      </c>
      <c r="L49" s="65">
        <v>15.28</v>
      </c>
      <c r="M49" s="64">
        <v>4479.6400000000003</v>
      </c>
      <c r="N49" s="66">
        <f t="shared" si="17"/>
        <v>2.8296993500596924E-2</v>
      </c>
      <c r="O49" s="3" t="s">
        <v>15</v>
      </c>
      <c r="P49" s="5">
        <v>0</v>
      </c>
      <c r="Q49" s="5">
        <v>0</v>
      </c>
    </row>
    <row r="50" spans="2:17">
      <c r="B50" s="52">
        <v>1040</v>
      </c>
      <c r="C50" s="13" t="s">
        <v>278</v>
      </c>
      <c r="D50" s="12" t="s">
        <v>279</v>
      </c>
      <c r="E50" s="10">
        <v>0</v>
      </c>
      <c r="F50" s="42">
        <v>17.36</v>
      </c>
      <c r="G50" s="5">
        <v>39675.67</v>
      </c>
      <c r="H50" s="43">
        <f t="shared" si="15"/>
        <v>0.39380503009157103</v>
      </c>
      <c r="I50" s="67" t="s">
        <v>15</v>
      </c>
      <c r="J50" s="68">
        <v>0</v>
      </c>
      <c r="K50" s="68">
        <f t="shared" si="16"/>
        <v>0</v>
      </c>
      <c r="L50" s="72" t="s">
        <v>15</v>
      </c>
      <c r="M50" s="68">
        <v>0</v>
      </c>
      <c r="N50" s="73">
        <f t="shared" si="17"/>
        <v>0</v>
      </c>
      <c r="O50" s="67" t="s">
        <v>15</v>
      </c>
      <c r="P50" s="68">
        <v>0</v>
      </c>
      <c r="Q50" s="68">
        <v>0</v>
      </c>
    </row>
    <row r="51" spans="2:17">
      <c r="B51" s="52" t="s">
        <v>94</v>
      </c>
      <c r="C51" s="13" t="s">
        <v>16</v>
      </c>
      <c r="D51" s="12" t="s">
        <v>97</v>
      </c>
      <c r="E51" s="10" t="s">
        <v>30</v>
      </c>
      <c r="F51" s="42" t="s">
        <v>15</v>
      </c>
      <c r="G51" s="5">
        <v>0</v>
      </c>
      <c r="H51" s="43">
        <f t="shared" si="15"/>
        <v>0</v>
      </c>
      <c r="I51" s="3" t="s">
        <v>15</v>
      </c>
      <c r="J51" s="5">
        <v>0</v>
      </c>
      <c r="K51" s="5">
        <f t="shared" si="16"/>
        <v>0</v>
      </c>
      <c r="L51" s="65">
        <v>18.63</v>
      </c>
      <c r="M51" s="64">
        <v>18631.97</v>
      </c>
      <c r="N51" s="66">
        <f t="shared" si="17"/>
        <v>0.11769444285552341</v>
      </c>
      <c r="O51" s="3" t="s">
        <v>15</v>
      </c>
      <c r="P51" s="5">
        <v>0</v>
      </c>
      <c r="Q51" s="5">
        <v>0</v>
      </c>
    </row>
    <row r="52" spans="2:17">
      <c r="B52" s="52" t="s">
        <v>95</v>
      </c>
      <c r="C52" s="13" t="s">
        <v>16</v>
      </c>
      <c r="D52" s="12" t="s">
        <v>98</v>
      </c>
      <c r="E52" s="10" t="s">
        <v>325</v>
      </c>
      <c r="F52" s="42" t="s">
        <v>15</v>
      </c>
      <c r="G52" s="5">
        <v>0</v>
      </c>
      <c r="H52" s="43">
        <f t="shared" si="15"/>
        <v>0</v>
      </c>
      <c r="I52" s="3" t="s">
        <v>15</v>
      </c>
      <c r="J52" s="5">
        <v>0</v>
      </c>
      <c r="K52" s="5">
        <f t="shared" si="16"/>
        <v>0</v>
      </c>
      <c r="L52" s="76">
        <v>23.91</v>
      </c>
      <c r="M52" s="64">
        <v>53606.37</v>
      </c>
      <c r="N52" s="66">
        <f t="shared" si="17"/>
        <v>0.33862076048088552</v>
      </c>
      <c r="O52" s="3" t="s">
        <v>15</v>
      </c>
      <c r="P52" s="5">
        <v>0</v>
      </c>
      <c r="Q52" s="5">
        <v>0</v>
      </c>
    </row>
    <row r="53" spans="2:17">
      <c r="B53" s="52" t="s">
        <v>96</v>
      </c>
      <c r="C53" s="13" t="s">
        <v>16</v>
      </c>
      <c r="D53" s="12" t="s">
        <v>17</v>
      </c>
      <c r="E53" s="9" t="s">
        <v>326</v>
      </c>
      <c r="F53" s="42">
        <v>27.42</v>
      </c>
      <c r="G53" s="5">
        <v>631421.37</v>
      </c>
      <c r="H53" s="43">
        <f t="shared" si="15"/>
        <v>6.2672391320250167</v>
      </c>
      <c r="I53" s="67" t="s">
        <v>15</v>
      </c>
      <c r="J53" s="68">
        <v>0</v>
      </c>
      <c r="K53" s="68">
        <f t="shared" si="16"/>
        <v>0</v>
      </c>
      <c r="L53" s="79">
        <v>25.09</v>
      </c>
      <c r="M53" s="78">
        <v>2043645.59</v>
      </c>
      <c r="N53" s="80">
        <f t="shared" si="17"/>
        <v>12.909302081808709</v>
      </c>
      <c r="O53" s="67" t="s">
        <v>15</v>
      </c>
      <c r="P53" s="68">
        <v>0</v>
      </c>
      <c r="Q53" s="68">
        <v>0</v>
      </c>
    </row>
    <row r="54" spans="2:17">
      <c r="B54" s="54" t="s">
        <v>86</v>
      </c>
      <c r="C54" s="13" t="s">
        <v>88</v>
      </c>
      <c r="D54" s="12" t="s">
        <v>89</v>
      </c>
      <c r="E54" s="10" t="s">
        <v>26</v>
      </c>
      <c r="F54" s="42" t="s">
        <v>15</v>
      </c>
      <c r="G54" s="5">
        <v>0</v>
      </c>
      <c r="H54" s="43">
        <f t="shared" si="15"/>
        <v>0</v>
      </c>
      <c r="I54" s="63">
        <v>19.64</v>
      </c>
      <c r="J54" s="64">
        <v>84687.51</v>
      </c>
      <c r="K54" s="64">
        <f t="shared" si="16"/>
        <v>2.1476776313368586</v>
      </c>
      <c r="L54" s="65">
        <v>19.260000000000002</v>
      </c>
      <c r="M54" s="64">
        <v>29539.09</v>
      </c>
      <c r="N54" s="66">
        <f t="shared" si="17"/>
        <v>0.18659254711172049</v>
      </c>
      <c r="O54" s="3" t="s">
        <v>15</v>
      </c>
      <c r="P54" s="5">
        <v>0</v>
      </c>
      <c r="Q54" s="5">
        <v>0</v>
      </c>
    </row>
    <row r="55" spans="2:17">
      <c r="B55" s="54" t="s">
        <v>87</v>
      </c>
      <c r="C55" s="13" t="s">
        <v>88</v>
      </c>
      <c r="D55" s="12" t="s">
        <v>90</v>
      </c>
      <c r="E55" s="10" t="s">
        <v>30</v>
      </c>
      <c r="F55" s="42" t="s">
        <v>15</v>
      </c>
      <c r="G55" s="5">
        <v>0</v>
      </c>
      <c r="H55" s="43">
        <f t="shared" si="15"/>
        <v>0</v>
      </c>
      <c r="I55" s="63">
        <v>20.7</v>
      </c>
      <c r="J55" s="64">
        <v>134498.07</v>
      </c>
      <c r="K55" s="64">
        <f t="shared" si="16"/>
        <v>3.4108748314477433</v>
      </c>
      <c r="L55" s="65">
        <v>20.420000000000002</v>
      </c>
      <c r="M55" s="64">
        <v>247296.87</v>
      </c>
      <c r="N55" s="66">
        <f t="shared" si="17"/>
        <v>1.5621250643149813</v>
      </c>
      <c r="O55" s="3" t="s">
        <v>15</v>
      </c>
      <c r="P55" s="5">
        <v>0</v>
      </c>
      <c r="Q55" s="5">
        <v>0</v>
      </c>
    </row>
    <row r="56" spans="2:17">
      <c r="B56" s="52" t="s">
        <v>20</v>
      </c>
      <c r="C56" s="13" t="s">
        <v>23</v>
      </c>
      <c r="D56" s="12" t="s">
        <v>146</v>
      </c>
      <c r="E56" s="10" t="s">
        <v>145</v>
      </c>
      <c r="F56" s="42">
        <v>14.75</v>
      </c>
      <c r="G56" s="5">
        <v>76205.23</v>
      </c>
      <c r="H56" s="43">
        <f t="shared" si="15"/>
        <v>0.75638301491279392</v>
      </c>
      <c r="I56" s="67" t="s">
        <v>15</v>
      </c>
      <c r="J56" s="68">
        <v>0</v>
      </c>
      <c r="K56" s="68">
        <f t="shared" si="16"/>
        <v>0</v>
      </c>
      <c r="L56" s="72" t="s">
        <v>15</v>
      </c>
      <c r="M56" s="68">
        <v>0</v>
      </c>
      <c r="N56" s="73">
        <f t="shared" si="17"/>
        <v>0</v>
      </c>
      <c r="O56" s="67" t="s">
        <v>15</v>
      </c>
      <c r="P56" s="68">
        <v>0</v>
      </c>
      <c r="Q56" s="68">
        <v>0</v>
      </c>
    </row>
    <row r="57" spans="2:17">
      <c r="B57" s="52" t="s">
        <v>21</v>
      </c>
      <c r="C57" s="13" t="s">
        <v>23</v>
      </c>
      <c r="D57" s="12" t="s">
        <v>27</v>
      </c>
      <c r="E57" s="10" t="s">
        <v>26</v>
      </c>
      <c r="F57" s="42" t="s">
        <v>15</v>
      </c>
      <c r="G57" s="5">
        <v>0</v>
      </c>
      <c r="H57" s="43">
        <f t="shared" si="15"/>
        <v>0</v>
      </c>
      <c r="I57" s="63">
        <v>17.57</v>
      </c>
      <c r="J57" s="64">
        <v>22912.639999999999</v>
      </c>
      <c r="K57" s="64">
        <f t="shared" si="16"/>
        <v>0.5810651937088972</v>
      </c>
      <c r="L57" s="65">
        <v>17.329999999999998</v>
      </c>
      <c r="M57" s="64">
        <v>8391.9599999999991</v>
      </c>
      <c r="N57" s="66">
        <f t="shared" si="17"/>
        <v>5.3010339575784965E-2</v>
      </c>
      <c r="O57" s="3" t="s">
        <v>15</v>
      </c>
      <c r="P57" s="5">
        <v>0</v>
      </c>
      <c r="Q57" s="5">
        <v>0</v>
      </c>
    </row>
    <row r="58" spans="2:17">
      <c r="B58" s="52" t="s">
        <v>22</v>
      </c>
      <c r="C58" s="13" t="s">
        <v>23</v>
      </c>
      <c r="D58" s="12" t="s">
        <v>28</v>
      </c>
      <c r="E58" s="10" t="s">
        <v>30</v>
      </c>
      <c r="F58" s="42">
        <v>22.18</v>
      </c>
      <c r="G58" s="5">
        <v>516907.3</v>
      </c>
      <c r="H58" s="43">
        <f t="shared" si="15"/>
        <v>5.1306177017565862</v>
      </c>
      <c r="I58" s="67" t="s">
        <v>15</v>
      </c>
      <c r="J58" s="68">
        <v>0</v>
      </c>
      <c r="K58" s="68">
        <f t="shared" si="16"/>
        <v>0</v>
      </c>
      <c r="L58" s="42">
        <v>20.420000000000002</v>
      </c>
      <c r="M58" s="5">
        <v>319104.06</v>
      </c>
      <c r="N58" s="43">
        <f t="shared" si="17"/>
        <v>2.0157167789898498</v>
      </c>
      <c r="O58" s="67" t="s">
        <v>15</v>
      </c>
      <c r="P58" s="68">
        <v>0</v>
      </c>
      <c r="Q58" s="68">
        <v>0</v>
      </c>
    </row>
    <row r="59" spans="2:17">
      <c r="B59" s="52" t="s">
        <v>147</v>
      </c>
      <c r="C59" s="13" t="s">
        <v>23</v>
      </c>
      <c r="D59" s="12" t="s">
        <v>29</v>
      </c>
      <c r="E59" s="16" t="s">
        <v>30</v>
      </c>
      <c r="F59" s="42" t="s">
        <v>15</v>
      </c>
      <c r="G59" s="5">
        <v>0</v>
      </c>
      <c r="H59" s="43">
        <f t="shared" si="15"/>
        <v>0</v>
      </c>
      <c r="I59" s="3" t="s">
        <v>15</v>
      </c>
      <c r="J59" s="5">
        <v>0</v>
      </c>
      <c r="K59" s="5">
        <f t="shared" si="16"/>
        <v>0</v>
      </c>
      <c r="L59" s="65" t="s">
        <v>31</v>
      </c>
      <c r="M59" s="64">
        <v>50703.1</v>
      </c>
      <c r="N59" s="66">
        <f t="shared" si="17"/>
        <v>0.32028138224502767</v>
      </c>
      <c r="O59" s="3" t="s">
        <v>15</v>
      </c>
      <c r="P59" s="5">
        <v>0</v>
      </c>
      <c r="Q59" s="5">
        <v>0</v>
      </c>
    </row>
    <row r="60" spans="2:17">
      <c r="B60" s="52" t="s">
        <v>148</v>
      </c>
      <c r="C60" s="13" t="s">
        <v>23</v>
      </c>
      <c r="D60" s="12" t="s">
        <v>149</v>
      </c>
      <c r="E60" s="16" t="s">
        <v>25</v>
      </c>
      <c r="F60" s="42">
        <v>25.63</v>
      </c>
      <c r="G60" s="5">
        <v>261967.12</v>
      </c>
      <c r="H60" s="43">
        <f t="shared" si="15"/>
        <v>2.6001821664158964</v>
      </c>
      <c r="I60" s="67" t="s">
        <v>15</v>
      </c>
      <c r="J60" s="68">
        <v>0</v>
      </c>
      <c r="K60" s="68">
        <f t="shared" si="16"/>
        <v>0</v>
      </c>
      <c r="L60" s="72" t="s">
        <v>15</v>
      </c>
      <c r="M60" s="68">
        <v>0</v>
      </c>
      <c r="N60" s="73">
        <f t="shared" si="17"/>
        <v>0</v>
      </c>
      <c r="O60" s="67" t="s">
        <v>15</v>
      </c>
      <c r="P60" s="68">
        <v>0</v>
      </c>
      <c r="Q60" s="68">
        <v>0</v>
      </c>
    </row>
    <row r="61" spans="2:17">
      <c r="B61" s="54">
        <v>1121</v>
      </c>
      <c r="C61" s="13" t="s">
        <v>83</v>
      </c>
      <c r="D61" s="13"/>
      <c r="E61" s="10">
        <v>1</v>
      </c>
      <c r="F61" s="42" t="s">
        <v>15</v>
      </c>
      <c r="G61" s="5">
        <v>0</v>
      </c>
      <c r="H61" s="43">
        <f t="shared" si="15"/>
        <v>0</v>
      </c>
      <c r="I61" s="63">
        <v>23.23</v>
      </c>
      <c r="J61" s="64">
        <v>20475.099999999999</v>
      </c>
      <c r="K61" s="64">
        <f t="shared" si="16"/>
        <v>0.5192491108710755</v>
      </c>
      <c r="L61" s="65">
        <v>22.94</v>
      </c>
      <c r="M61" s="64">
        <v>217043.78</v>
      </c>
      <c r="N61" s="66">
        <f t="shared" si="17"/>
        <v>1.3710223214376576</v>
      </c>
      <c r="O61" s="3" t="s">
        <v>15</v>
      </c>
      <c r="P61" s="5">
        <v>0</v>
      </c>
      <c r="Q61" s="5">
        <v>0</v>
      </c>
    </row>
    <row r="62" spans="2:17">
      <c r="B62" s="52">
        <v>1155</v>
      </c>
      <c r="C62" s="13" t="s">
        <v>262</v>
      </c>
      <c r="D62" s="12" t="s">
        <v>263</v>
      </c>
      <c r="E62" s="10">
        <v>0</v>
      </c>
      <c r="F62" s="42">
        <v>17.91</v>
      </c>
      <c r="G62" s="5">
        <v>595661.41</v>
      </c>
      <c r="H62" s="43">
        <f t="shared" si="15"/>
        <v>5.9122998928420776</v>
      </c>
      <c r="I62" s="67" t="s">
        <v>15</v>
      </c>
      <c r="J62" s="68">
        <v>0</v>
      </c>
      <c r="K62" s="68">
        <f t="shared" si="16"/>
        <v>0</v>
      </c>
      <c r="L62" s="72" t="s">
        <v>15</v>
      </c>
      <c r="M62" s="68">
        <v>0</v>
      </c>
      <c r="N62" s="73">
        <f t="shared" si="17"/>
        <v>0</v>
      </c>
      <c r="O62" s="67" t="s">
        <v>15</v>
      </c>
      <c r="P62" s="68">
        <v>0</v>
      </c>
      <c r="Q62" s="68">
        <v>0</v>
      </c>
    </row>
    <row r="63" spans="2:17">
      <c r="B63" s="52" t="s">
        <v>257</v>
      </c>
      <c r="C63" s="13" t="s">
        <v>124</v>
      </c>
      <c r="D63" s="12" t="s">
        <v>259</v>
      </c>
      <c r="E63" s="10" t="s">
        <v>145</v>
      </c>
      <c r="F63" s="42">
        <v>14.36</v>
      </c>
      <c r="G63" s="5">
        <v>14606.56</v>
      </c>
      <c r="H63" s="43">
        <f t="shared" si="15"/>
        <v>0.14497894554356203</v>
      </c>
      <c r="I63" s="67" t="s">
        <v>15</v>
      </c>
      <c r="J63" s="68">
        <v>0</v>
      </c>
      <c r="K63" s="68">
        <f t="shared" si="16"/>
        <v>0</v>
      </c>
      <c r="L63" s="72" t="s">
        <v>15</v>
      </c>
      <c r="M63" s="68">
        <v>0</v>
      </c>
      <c r="N63" s="73">
        <f t="shared" si="17"/>
        <v>0</v>
      </c>
      <c r="O63" s="67" t="s">
        <v>15</v>
      </c>
      <c r="P63" s="68">
        <v>0</v>
      </c>
      <c r="Q63" s="68">
        <v>0</v>
      </c>
    </row>
    <row r="64" spans="2:17">
      <c r="B64" s="52" t="s">
        <v>258</v>
      </c>
      <c r="C64" s="13" t="s">
        <v>124</v>
      </c>
      <c r="D64" s="12" t="s">
        <v>125</v>
      </c>
      <c r="E64" s="10" t="s">
        <v>30</v>
      </c>
      <c r="F64" s="42" t="s">
        <v>15</v>
      </c>
      <c r="G64" s="5">
        <v>0</v>
      </c>
      <c r="H64" s="43">
        <f t="shared" si="15"/>
        <v>0</v>
      </c>
      <c r="I64" s="63">
        <v>17.09</v>
      </c>
      <c r="J64" s="64">
        <v>14593.75</v>
      </c>
      <c r="K64" s="64">
        <f t="shared" si="16"/>
        <v>0.37009790974279783</v>
      </c>
      <c r="L64" s="42" t="s">
        <v>15</v>
      </c>
      <c r="M64" s="5">
        <v>0</v>
      </c>
      <c r="N64" s="43">
        <f t="shared" si="17"/>
        <v>0</v>
      </c>
      <c r="O64" s="3" t="s">
        <v>15</v>
      </c>
      <c r="P64" s="5">
        <v>0</v>
      </c>
      <c r="Q64" s="5">
        <v>0</v>
      </c>
    </row>
    <row r="65" spans="2:17">
      <c r="B65" s="54" t="s">
        <v>76</v>
      </c>
      <c r="C65" s="13" t="s">
        <v>79</v>
      </c>
      <c r="D65" s="12" t="s">
        <v>80</v>
      </c>
      <c r="E65" s="10" t="s">
        <v>320</v>
      </c>
      <c r="F65" s="42">
        <v>23.26</v>
      </c>
      <c r="G65" s="5">
        <v>33109.07</v>
      </c>
      <c r="H65" s="43">
        <f t="shared" si="15"/>
        <v>0.32862755204017802</v>
      </c>
      <c r="I65" s="67" t="s">
        <v>15</v>
      </c>
      <c r="J65" s="68">
        <v>0</v>
      </c>
      <c r="K65" s="68">
        <f t="shared" si="16"/>
        <v>0</v>
      </c>
      <c r="L65" s="42">
        <v>21.34</v>
      </c>
      <c r="M65" s="5">
        <v>93097.83</v>
      </c>
      <c r="N65" s="43">
        <f t="shared" si="17"/>
        <v>0.58808044629248724</v>
      </c>
      <c r="O65" s="67" t="s">
        <v>15</v>
      </c>
      <c r="P65" s="68">
        <v>0</v>
      </c>
      <c r="Q65" s="68">
        <v>0</v>
      </c>
    </row>
    <row r="66" spans="2:17">
      <c r="B66" s="54" t="s">
        <v>78</v>
      </c>
      <c r="C66" s="13" t="s">
        <v>79</v>
      </c>
      <c r="D66" s="12" t="s">
        <v>81</v>
      </c>
      <c r="E66" s="21" t="s">
        <v>30</v>
      </c>
      <c r="F66" s="42">
        <v>25.63</v>
      </c>
      <c r="G66" s="5">
        <v>114118.71</v>
      </c>
      <c r="H66" s="43">
        <f t="shared" si="15"/>
        <v>1.1326972430600735</v>
      </c>
      <c r="I66" s="67" t="s">
        <v>15</v>
      </c>
      <c r="J66" s="68">
        <v>0</v>
      </c>
      <c r="K66" s="68">
        <f t="shared" si="16"/>
        <v>0</v>
      </c>
      <c r="L66" s="42">
        <v>23.45</v>
      </c>
      <c r="M66" s="5">
        <v>163181.06</v>
      </c>
      <c r="N66" s="43">
        <f t="shared" si="17"/>
        <v>1.0307822490737018</v>
      </c>
      <c r="O66" s="67" t="s">
        <v>15</v>
      </c>
      <c r="P66" s="68">
        <v>0</v>
      </c>
      <c r="Q66" s="68">
        <v>0</v>
      </c>
    </row>
    <row r="67" spans="2:17">
      <c r="B67" s="54" t="s">
        <v>77</v>
      </c>
      <c r="C67" s="13" t="s">
        <v>79</v>
      </c>
      <c r="D67" s="12" t="s">
        <v>82</v>
      </c>
      <c r="E67" s="10" t="s">
        <v>39</v>
      </c>
      <c r="F67" s="42" t="s">
        <v>15</v>
      </c>
      <c r="G67" s="5">
        <v>0</v>
      </c>
      <c r="H67" s="43">
        <f t="shared" ref="H67:H146" si="18">G67/$G$147*100</f>
        <v>0</v>
      </c>
      <c r="I67" s="3" t="s">
        <v>15</v>
      </c>
      <c r="J67" s="5">
        <v>0</v>
      </c>
      <c r="K67" s="5">
        <f t="shared" ref="K67:K146" si="19">J67/$J$147*100</f>
        <v>0</v>
      </c>
      <c r="L67" s="65">
        <v>27.64</v>
      </c>
      <c r="M67" s="64">
        <v>34868.089999999997</v>
      </c>
      <c r="N67" s="66">
        <f t="shared" ref="N67:N146" si="20">M67/$M$147*100</f>
        <v>0.22025477853314743</v>
      </c>
      <c r="O67" s="3" t="s">
        <v>15</v>
      </c>
      <c r="P67" s="5">
        <v>0</v>
      </c>
      <c r="Q67" s="5">
        <v>0</v>
      </c>
    </row>
    <row r="68" spans="2:17">
      <c r="B68" s="52">
        <v>1243</v>
      </c>
      <c r="C68" s="13" t="s">
        <v>253</v>
      </c>
      <c r="D68" s="12" t="s">
        <v>254</v>
      </c>
      <c r="E68" s="10">
        <v>0</v>
      </c>
      <c r="F68" s="42">
        <v>17.239999999999998</v>
      </c>
      <c r="G68" s="5">
        <v>25307.119999999999</v>
      </c>
      <c r="H68" s="43">
        <f>G68/$G$147*100</f>
        <v>0.25118847780342457</v>
      </c>
      <c r="I68" s="67" t="s">
        <v>15</v>
      </c>
      <c r="J68" s="68">
        <v>0</v>
      </c>
      <c r="K68" s="68">
        <f>J68/$J$147*100</f>
        <v>0</v>
      </c>
      <c r="L68" s="72" t="s">
        <v>15</v>
      </c>
      <c r="M68" s="68">
        <v>0</v>
      </c>
      <c r="N68" s="73">
        <f>M68/$M$147*100</f>
        <v>0</v>
      </c>
      <c r="O68" s="67" t="s">
        <v>15</v>
      </c>
      <c r="P68" s="68">
        <v>0</v>
      </c>
      <c r="Q68" s="68">
        <v>0</v>
      </c>
    </row>
    <row r="69" spans="2:17">
      <c r="B69" s="52">
        <v>1244</v>
      </c>
      <c r="C69" s="13" t="s">
        <v>255</v>
      </c>
      <c r="D69" s="12" t="s">
        <v>256</v>
      </c>
      <c r="E69" s="10" t="s">
        <v>327</v>
      </c>
      <c r="F69" s="42">
        <v>25.57</v>
      </c>
      <c r="G69" s="5">
        <v>132935.82</v>
      </c>
      <c r="H69" s="43">
        <f>G69/$G$147*100</f>
        <v>1.3194684449020688</v>
      </c>
      <c r="I69" s="67" t="s">
        <v>15</v>
      </c>
      <c r="J69" s="68">
        <v>0</v>
      </c>
      <c r="K69" s="68">
        <f>J69/$J$147*100</f>
        <v>0</v>
      </c>
      <c r="L69" s="72" t="s">
        <v>15</v>
      </c>
      <c r="M69" s="68">
        <v>0</v>
      </c>
      <c r="N69" s="73">
        <f>M69/$M$147*100</f>
        <v>0</v>
      </c>
      <c r="O69" s="67" t="s">
        <v>15</v>
      </c>
      <c r="P69" s="68">
        <v>0</v>
      </c>
      <c r="Q69" s="68">
        <v>0</v>
      </c>
    </row>
    <row r="70" spans="2:17">
      <c r="B70" s="52" t="s">
        <v>250</v>
      </c>
      <c r="C70" s="13" t="s">
        <v>32</v>
      </c>
      <c r="D70" s="12" t="s">
        <v>252</v>
      </c>
      <c r="E70" s="10" t="s">
        <v>30</v>
      </c>
      <c r="F70" s="42">
        <v>22.6</v>
      </c>
      <c r="G70" s="5">
        <v>163947.35999999999</v>
      </c>
      <c r="H70" s="43">
        <f>G70/$G$147*100</f>
        <v>1.62727674260406</v>
      </c>
      <c r="I70" s="67" t="s">
        <v>15</v>
      </c>
      <c r="J70" s="68">
        <v>0</v>
      </c>
      <c r="K70" s="68">
        <f>J70/$J$147*100</f>
        <v>0</v>
      </c>
      <c r="L70" s="72" t="s">
        <v>15</v>
      </c>
      <c r="M70" s="68">
        <v>0</v>
      </c>
      <c r="N70" s="73">
        <f>M70/$M$147*100</f>
        <v>0</v>
      </c>
      <c r="O70" s="67" t="s">
        <v>15</v>
      </c>
      <c r="P70" s="68">
        <v>0</v>
      </c>
      <c r="Q70" s="68">
        <v>0</v>
      </c>
    </row>
    <row r="71" spans="2:17">
      <c r="B71" s="52" t="s">
        <v>251</v>
      </c>
      <c r="C71" s="13" t="s">
        <v>32</v>
      </c>
      <c r="D71" s="12" t="s">
        <v>33</v>
      </c>
      <c r="E71" s="10" t="s">
        <v>30</v>
      </c>
      <c r="F71" s="42" t="s">
        <v>15</v>
      </c>
      <c r="G71" s="5">
        <v>0</v>
      </c>
      <c r="H71" s="43">
        <f t="shared" si="18"/>
        <v>0</v>
      </c>
      <c r="I71" s="77">
        <v>21.3</v>
      </c>
      <c r="J71" s="78">
        <v>1364598.84</v>
      </c>
      <c r="K71" s="78">
        <f t="shared" si="19"/>
        <v>34.606264895687993</v>
      </c>
      <c r="L71" s="65">
        <v>20.94</v>
      </c>
      <c r="M71" s="64">
        <v>460445.7</v>
      </c>
      <c r="N71" s="66">
        <f t="shared" si="20"/>
        <v>2.9085437625072106</v>
      </c>
      <c r="O71" s="3" t="s">
        <v>15</v>
      </c>
      <c r="P71" s="5">
        <v>0</v>
      </c>
      <c r="Q71" s="5">
        <v>0</v>
      </c>
    </row>
    <row r="72" spans="2:17">
      <c r="B72" s="52" t="s">
        <v>150</v>
      </c>
      <c r="C72" s="13" t="s">
        <v>153</v>
      </c>
      <c r="D72" s="12" t="s">
        <v>154</v>
      </c>
      <c r="E72" s="10" t="s">
        <v>145</v>
      </c>
      <c r="F72" s="42">
        <v>17.8</v>
      </c>
      <c r="G72" s="5">
        <v>243790.97</v>
      </c>
      <c r="H72" s="43">
        <f t="shared" si="18"/>
        <v>2.4197728803799228</v>
      </c>
      <c r="I72" s="67" t="s">
        <v>15</v>
      </c>
      <c r="J72" s="68">
        <v>0</v>
      </c>
      <c r="K72" s="68">
        <f t="shared" si="19"/>
        <v>0</v>
      </c>
      <c r="L72" s="72" t="s">
        <v>15</v>
      </c>
      <c r="M72" s="68">
        <v>0</v>
      </c>
      <c r="N72" s="73">
        <f t="shared" si="20"/>
        <v>0</v>
      </c>
      <c r="O72" s="67" t="s">
        <v>15</v>
      </c>
      <c r="P72" s="68">
        <v>0</v>
      </c>
      <c r="Q72" s="68">
        <v>0</v>
      </c>
    </row>
    <row r="73" spans="2:17">
      <c r="B73" s="52" t="s">
        <v>151</v>
      </c>
      <c r="C73" s="13" t="s">
        <v>153</v>
      </c>
      <c r="D73" s="12" t="s">
        <v>155</v>
      </c>
      <c r="E73" s="10" t="s">
        <v>145</v>
      </c>
      <c r="F73" s="42">
        <v>19.649999999999999</v>
      </c>
      <c r="G73" s="5">
        <v>55213.13</v>
      </c>
      <c r="H73" s="43">
        <f t="shared" si="18"/>
        <v>0.54802372136626354</v>
      </c>
      <c r="I73" s="67" t="s">
        <v>15</v>
      </c>
      <c r="J73" s="68">
        <v>0</v>
      </c>
      <c r="K73" s="68">
        <f t="shared" si="19"/>
        <v>0</v>
      </c>
      <c r="L73" s="72" t="s">
        <v>15</v>
      </c>
      <c r="M73" s="68">
        <v>0</v>
      </c>
      <c r="N73" s="73">
        <f t="shared" si="20"/>
        <v>0</v>
      </c>
      <c r="O73" s="67" t="s">
        <v>15</v>
      </c>
      <c r="P73" s="68">
        <v>0</v>
      </c>
      <c r="Q73" s="68">
        <v>0</v>
      </c>
    </row>
    <row r="74" spans="2:17">
      <c r="B74" s="52" t="s">
        <v>152</v>
      </c>
      <c r="C74" s="13" t="s">
        <v>153</v>
      </c>
      <c r="D74" s="26" t="s">
        <v>156</v>
      </c>
      <c r="E74" s="10" t="s">
        <v>30</v>
      </c>
      <c r="F74" s="42">
        <v>21.41</v>
      </c>
      <c r="G74" s="5">
        <v>108157.75</v>
      </c>
      <c r="H74" s="43">
        <f t="shared" si="18"/>
        <v>1.0735311084447121</v>
      </c>
      <c r="I74" s="67" t="s">
        <v>15</v>
      </c>
      <c r="J74" s="68">
        <v>0</v>
      </c>
      <c r="K74" s="68">
        <f t="shared" si="19"/>
        <v>0</v>
      </c>
      <c r="L74" s="72" t="s">
        <v>15</v>
      </c>
      <c r="M74" s="68">
        <v>0</v>
      </c>
      <c r="N74" s="73">
        <f t="shared" si="20"/>
        <v>0</v>
      </c>
      <c r="O74" s="67" t="s">
        <v>15</v>
      </c>
      <c r="P74" s="68">
        <v>0</v>
      </c>
      <c r="Q74" s="68">
        <v>0</v>
      </c>
    </row>
    <row r="75" spans="2:17">
      <c r="B75" s="52">
        <v>1317</v>
      </c>
      <c r="C75" s="13" t="s">
        <v>248</v>
      </c>
      <c r="D75" s="12" t="s">
        <v>249</v>
      </c>
      <c r="E75" s="10">
        <v>0</v>
      </c>
      <c r="F75" s="42">
        <v>20.03</v>
      </c>
      <c r="G75" s="5">
        <v>41146.68</v>
      </c>
      <c r="H75" s="43">
        <f>G75/$G$147*100</f>
        <v>0.40840569436050467</v>
      </c>
      <c r="I75" s="67" t="s">
        <v>15</v>
      </c>
      <c r="J75" s="68">
        <v>0</v>
      </c>
      <c r="K75" s="68">
        <f>J75/$J$147*100</f>
        <v>0</v>
      </c>
      <c r="L75" s="72" t="s">
        <v>15</v>
      </c>
      <c r="M75" s="68">
        <v>0</v>
      </c>
      <c r="N75" s="73">
        <f>M75/$M$147*100</f>
        <v>0</v>
      </c>
      <c r="O75" s="67" t="s">
        <v>15</v>
      </c>
      <c r="P75" s="68">
        <v>0</v>
      </c>
      <c r="Q75" s="68">
        <v>0</v>
      </c>
    </row>
    <row r="76" spans="2:17">
      <c r="B76" s="54">
        <v>1324</v>
      </c>
      <c r="C76" s="13" t="s">
        <v>66</v>
      </c>
      <c r="D76" s="12" t="s">
        <v>67</v>
      </c>
      <c r="E76" s="27" t="s">
        <v>30</v>
      </c>
      <c r="F76" s="42">
        <v>19.649999999999999</v>
      </c>
      <c r="G76" s="5">
        <v>62183.81</v>
      </c>
      <c r="H76" s="43">
        <f t="shared" si="18"/>
        <v>0.61721193790195683</v>
      </c>
      <c r="I76" s="3">
        <v>18.91</v>
      </c>
      <c r="J76" s="5">
        <v>27293.16</v>
      </c>
      <c r="K76" s="5">
        <f t="shared" si="19"/>
        <v>0.69215530389897995</v>
      </c>
      <c r="L76" s="42">
        <v>18.57</v>
      </c>
      <c r="M76" s="5">
        <v>28486.59</v>
      </c>
      <c r="N76" s="43">
        <f t="shared" si="20"/>
        <v>0.17994411427797086</v>
      </c>
      <c r="O76" s="67" t="s">
        <v>15</v>
      </c>
      <c r="P76" s="68">
        <v>0</v>
      </c>
      <c r="Q76" s="68">
        <v>0</v>
      </c>
    </row>
    <row r="77" spans="2:17">
      <c r="B77" s="52">
        <v>1358</v>
      </c>
      <c r="C77" s="13" t="s">
        <v>162</v>
      </c>
      <c r="D77" s="15" t="s">
        <v>163</v>
      </c>
      <c r="E77" s="27">
        <v>0</v>
      </c>
      <c r="F77" s="42">
        <v>19.21</v>
      </c>
      <c r="G77" s="5">
        <v>55205.89</v>
      </c>
      <c r="H77" s="43">
        <f>G77/$G$147*100</f>
        <v>0.54795185998577867</v>
      </c>
      <c r="I77" s="67" t="s">
        <v>15</v>
      </c>
      <c r="J77" s="68">
        <v>0</v>
      </c>
      <c r="K77" s="68">
        <f>J77/$J$147*100</f>
        <v>0</v>
      </c>
      <c r="L77" s="72" t="s">
        <v>15</v>
      </c>
      <c r="M77" s="68">
        <v>0</v>
      </c>
      <c r="N77" s="73">
        <f>M77/$M$147*100</f>
        <v>0</v>
      </c>
      <c r="O77" s="67" t="s">
        <v>15</v>
      </c>
      <c r="P77" s="68">
        <v>0</v>
      </c>
      <c r="Q77" s="68">
        <v>0</v>
      </c>
    </row>
    <row r="78" spans="2:17">
      <c r="B78" s="52">
        <v>1389</v>
      </c>
      <c r="C78" s="13" t="s">
        <v>246</v>
      </c>
      <c r="D78" s="12" t="s">
        <v>247</v>
      </c>
      <c r="E78" s="27" t="s">
        <v>145</v>
      </c>
      <c r="F78" s="42">
        <v>15.27</v>
      </c>
      <c r="G78" s="5">
        <v>6636.53</v>
      </c>
      <c r="H78" s="43">
        <f>G78/$G$147*100</f>
        <v>6.5871575611794672E-2</v>
      </c>
      <c r="I78" s="67" t="s">
        <v>15</v>
      </c>
      <c r="J78" s="68">
        <v>0</v>
      </c>
      <c r="K78" s="68">
        <f>J78/$J$147*100</f>
        <v>0</v>
      </c>
      <c r="L78" s="72" t="s">
        <v>15</v>
      </c>
      <c r="M78" s="68">
        <v>0</v>
      </c>
      <c r="N78" s="73">
        <f>M78/$M$147*100</f>
        <v>0</v>
      </c>
      <c r="O78" s="67" t="s">
        <v>15</v>
      </c>
      <c r="P78" s="68">
        <v>0</v>
      </c>
      <c r="Q78" s="68">
        <v>0</v>
      </c>
    </row>
    <row r="79" spans="2:17">
      <c r="B79" s="52" t="s">
        <v>68</v>
      </c>
      <c r="C79" s="13" t="s">
        <v>73</v>
      </c>
      <c r="D79" s="12" t="s">
        <v>136</v>
      </c>
      <c r="E79" s="27" t="s">
        <v>26</v>
      </c>
      <c r="F79" s="42" t="s">
        <v>15</v>
      </c>
      <c r="G79" s="5">
        <v>0</v>
      </c>
      <c r="H79" s="43">
        <f>G79/$G$147*100</f>
        <v>0</v>
      </c>
      <c r="I79" s="63">
        <v>15.65</v>
      </c>
      <c r="J79" s="64">
        <v>18921.41</v>
      </c>
      <c r="K79" s="64">
        <f>J79/$J$147*100</f>
        <v>0.47984748884875184</v>
      </c>
      <c r="L79" s="42" t="s">
        <v>15</v>
      </c>
      <c r="M79" s="5">
        <v>0</v>
      </c>
      <c r="N79" s="43">
        <f>M79/$M$147*100</f>
        <v>0</v>
      </c>
      <c r="O79" s="3" t="s">
        <v>15</v>
      </c>
      <c r="P79" s="5">
        <v>0</v>
      </c>
      <c r="Q79" s="5">
        <v>0</v>
      </c>
    </row>
    <row r="80" spans="2:17">
      <c r="B80" s="54" t="s">
        <v>68</v>
      </c>
      <c r="C80" s="13" t="s">
        <v>73</v>
      </c>
      <c r="D80" s="12" t="s">
        <v>172</v>
      </c>
      <c r="E80" s="10" t="s">
        <v>30</v>
      </c>
      <c r="F80" s="42" t="s">
        <v>15</v>
      </c>
      <c r="G80" s="5">
        <v>0</v>
      </c>
      <c r="H80" s="43">
        <f t="shared" si="18"/>
        <v>0</v>
      </c>
      <c r="I80" s="63">
        <v>19.82</v>
      </c>
      <c r="J80" s="64">
        <v>27333.34</v>
      </c>
      <c r="K80" s="64">
        <f t="shared" si="19"/>
        <v>0.69317426982709762</v>
      </c>
      <c r="L80" s="65">
        <v>19.43</v>
      </c>
      <c r="M80" s="64">
        <v>85464.36</v>
      </c>
      <c r="N80" s="66">
        <f t="shared" si="20"/>
        <v>0.53986133694954852</v>
      </c>
      <c r="O80" s="3" t="s">
        <v>15</v>
      </c>
      <c r="P80" s="5">
        <v>0</v>
      </c>
      <c r="Q80" s="5">
        <v>0</v>
      </c>
    </row>
    <row r="81" spans="2:17">
      <c r="B81" s="54" t="s">
        <v>69</v>
      </c>
      <c r="C81" s="13" t="s">
        <v>73</v>
      </c>
      <c r="D81" s="12" t="s">
        <v>173</v>
      </c>
      <c r="E81" s="10" t="s">
        <v>320</v>
      </c>
      <c r="F81" s="42" t="s">
        <v>15</v>
      </c>
      <c r="G81" s="5">
        <v>0</v>
      </c>
      <c r="H81" s="43">
        <f t="shared" si="18"/>
        <v>0</v>
      </c>
      <c r="I81" s="3" t="s">
        <v>15</v>
      </c>
      <c r="J81" s="5">
        <v>0</v>
      </c>
      <c r="K81" s="5">
        <f t="shared" si="19"/>
        <v>0</v>
      </c>
      <c r="L81" s="65">
        <v>21.34</v>
      </c>
      <c r="M81" s="64">
        <v>243055.4</v>
      </c>
      <c r="N81" s="66">
        <f t="shared" si="20"/>
        <v>1.5353325432590532</v>
      </c>
      <c r="O81" s="3" t="s">
        <v>15</v>
      </c>
      <c r="P81" s="5">
        <v>0</v>
      </c>
      <c r="Q81" s="5">
        <v>0</v>
      </c>
    </row>
    <row r="82" spans="2:17">
      <c r="B82" s="54" t="s">
        <v>70</v>
      </c>
      <c r="C82" s="13" t="s">
        <v>73</v>
      </c>
      <c r="D82" s="12" t="s">
        <v>169</v>
      </c>
      <c r="E82" s="10" t="s">
        <v>320</v>
      </c>
      <c r="F82" s="42">
        <v>24.72</v>
      </c>
      <c r="G82" s="5">
        <v>77656.19</v>
      </c>
      <c r="H82" s="43">
        <f t="shared" si="18"/>
        <v>0.77078467080068858</v>
      </c>
      <c r="I82" s="3">
        <v>22.99</v>
      </c>
      <c r="J82" s="5">
        <v>101531.94</v>
      </c>
      <c r="K82" s="5">
        <f t="shared" si="19"/>
        <v>2.5748528490710862</v>
      </c>
      <c r="L82" s="42">
        <v>22.61</v>
      </c>
      <c r="M82" s="5">
        <v>1167037.24</v>
      </c>
      <c r="N82" s="43">
        <f t="shared" si="20"/>
        <v>7.3719417621136012</v>
      </c>
      <c r="O82" s="67" t="s">
        <v>15</v>
      </c>
      <c r="P82" s="68">
        <v>0</v>
      </c>
      <c r="Q82" s="68">
        <v>0</v>
      </c>
    </row>
    <row r="83" spans="2:17">
      <c r="B83" s="54" t="s">
        <v>71</v>
      </c>
      <c r="C83" s="13" t="s">
        <v>73</v>
      </c>
      <c r="D83" s="12" t="s">
        <v>170</v>
      </c>
      <c r="E83" s="28" t="s">
        <v>30</v>
      </c>
      <c r="F83" s="42">
        <v>25.94</v>
      </c>
      <c r="G83" s="5">
        <v>21865.87</v>
      </c>
      <c r="H83" s="43">
        <f t="shared" si="18"/>
        <v>0.21703198946176283</v>
      </c>
      <c r="I83" s="67" t="s">
        <v>15</v>
      </c>
      <c r="J83" s="68">
        <v>0</v>
      </c>
      <c r="K83" s="68">
        <f t="shared" si="19"/>
        <v>0</v>
      </c>
      <c r="L83" s="42" t="s">
        <v>75</v>
      </c>
      <c r="M83" s="5">
        <v>151540.20000000001</v>
      </c>
      <c r="N83" s="43">
        <f t="shared" si="20"/>
        <v>0.9572492554042642</v>
      </c>
      <c r="O83" s="67" t="s">
        <v>15</v>
      </c>
      <c r="P83" s="68">
        <v>0</v>
      </c>
      <c r="Q83" s="68">
        <v>0</v>
      </c>
    </row>
    <row r="84" spans="2:17">
      <c r="B84" s="54" t="s">
        <v>72</v>
      </c>
      <c r="C84" s="13" t="s">
        <v>73</v>
      </c>
      <c r="D84" s="12" t="s">
        <v>171</v>
      </c>
      <c r="E84" s="28" t="s">
        <v>30</v>
      </c>
      <c r="F84" s="42">
        <v>27.15</v>
      </c>
      <c r="G84" s="5">
        <v>310103.21000000002</v>
      </c>
      <c r="H84" s="43">
        <f t="shared" si="18"/>
        <v>3.0779619838944816</v>
      </c>
      <c r="I84" s="67" t="s">
        <v>15</v>
      </c>
      <c r="J84" s="68">
        <v>0</v>
      </c>
      <c r="K84" s="68">
        <f t="shared" si="19"/>
        <v>0</v>
      </c>
      <c r="L84" s="42">
        <v>24.89</v>
      </c>
      <c r="M84" s="5">
        <v>1226587.74</v>
      </c>
      <c r="N84" s="43">
        <f t="shared" si="20"/>
        <v>7.7481104076871965</v>
      </c>
      <c r="O84" s="67" t="s">
        <v>15</v>
      </c>
      <c r="P84" s="68">
        <v>0</v>
      </c>
      <c r="Q84" s="68">
        <v>0</v>
      </c>
    </row>
    <row r="85" spans="2:17">
      <c r="B85" s="52">
        <v>1447</v>
      </c>
      <c r="C85" s="13" t="s">
        <v>174</v>
      </c>
      <c r="D85" s="12" t="s">
        <v>175</v>
      </c>
      <c r="E85" s="28" t="s">
        <v>145</v>
      </c>
      <c r="F85" s="42">
        <v>19.46</v>
      </c>
      <c r="G85" s="5">
        <v>82910.73</v>
      </c>
      <c r="H85" s="43">
        <f>G85/$G$147*100</f>
        <v>0.82293915950415253</v>
      </c>
      <c r="I85" s="67" t="s">
        <v>15</v>
      </c>
      <c r="J85" s="68">
        <v>0</v>
      </c>
      <c r="K85" s="68">
        <f>J85/$J$147*100</f>
        <v>0</v>
      </c>
      <c r="L85" s="72" t="s">
        <v>15</v>
      </c>
      <c r="M85" s="68">
        <v>0</v>
      </c>
      <c r="N85" s="73">
        <f>M85/$M$147*100</f>
        <v>0</v>
      </c>
      <c r="O85" s="67" t="s">
        <v>15</v>
      </c>
      <c r="P85" s="68">
        <v>0</v>
      </c>
      <c r="Q85" s="68">
        <v>0</v>
      </c>
    </row>
    <row r="86" spans="2:17">
      <c r="B86" s="52" t="s">
        <v>176</v>
      </c>
      <c r="C86" s="13" t="s">
        <v>107</v>
      </c>
      <c r="D86" s="29" t="s">
        <v>179</v>
      </c>
      <c r="E86" s="28" t="s">
        <v>145</v>
      </c>
      <c r="F86" s="42">
        <v>19.52</v>
      </c>
      <c r="G86" s="5">
        <v>107626.43</v>
      </c>
      <c r="H86" s="43">
        <f>G86/$G$147*100</f>
        <v>1.0682574359752051</v>
      </c>
      <c r="I86" s="67" t="s">
        <v>15</v>
      </c>
      <c r="J86" s="68">
        <v>0</v>
      </c>
      <c r="K86" s="68">
        <f>J86/$J$147*100</f>
        <v>0</v>
      </c>
      <c r="L86" s="72" t="s">
        <v>15</v>
      </c>
      <c r="M86" s="68">
        <v>0</v>
      </c>
      <c r="N86" s="73">
        <f>M86/$M$147*100</f>
        <v>0</v>
      </c>
      <c r="O86" s="67" t="s">
        <v>15</v>
      </c>
      <c r="P86" s="68">
        <v>0</v>
      </c>
      <c r="Q86" s="68">
        <v>0</v>
      </c>
    </row>
    <row r="87" spans="2:17">
      <c r="B87" s="52" t="s">
        <v>177</v>
      </c>
      <c r="C87" s="13" t="s">
        <v>107</v>
      </c>
      <c r="D87" s="26" t="s">
        <v>134</v>
      </c>
      <c r="E87" s="30" t="s">
        <v>39</v>
      </c>
      <c r="F87" s="42" t="s">
        <v>15</v>
      </c>
      <c r="G87" s="5">
        <v>0</v>
      </c>
      <c r="H87" s="43">
        <f t="shared" si="18"/>
        <v>0</v>
      </c>
      <c r="I87" s="77">
        <v>22.05</v>
      </c>
      <c r="J87" s="78">
        <v>457810.1</v>
      </c>
      <c r="K87" s="78">
        <f t="shared" si="19"/>
        <v>11.610076989748435</v>
      </c>
      <c r="L87" s="65">
        <v>21.51</v>
      </c>
      <c r="M87" s="64">
        <v>255201.72</v>
      </c>
      <c r="N87" s="66">
        <f t="shared" si="20"/>
        <v>1.6120584270568967</v>
      </c>
      <c r="O87" s="3" t="s">
        <v>15</v>
      </c>
      <c r="P87" s="5">
        <v>0</v>
      </c>
      <c r="Q87" s="5">
        <v>0</v>
      </c>
    </row>
    <row r="88" spans="2:17">
      <c r="B88" s="52" t="s">
        <v>178</v>
      </c>
      <c r="C88" s="13" t="s">
        <v>107</v>
      </c>
      <c r="D88" s="26" t="s">
        <v>180</v>
      </c>
      <c r="E88" s="30" t="s">
        <v>30</v>
      </c>
      <c r="F88" s="42">
        <v>23.14</v>
      </c>
      <c r="G88" s="5">
        <v>178743.89</v>
      </c>
      <c r="H88" s="43">
        <f>G88/$G$147*100</f>
        <v>1.7741412553369473</v>
      </c>
      <c r="I88" s="67" t="s">
        <v>15</v>
      </c>
      <c r="J88" s="68">
        <v>0</v>
      </c>
      <c r="K88" s="68">
        <f>J88/$J$147*100</f>
        <v>0</v>
      </c>
      <c r="L88" s="72" t="s">
        <v>15</v>
      </c>
      <c r="M88" s="68">
        <v>0</v>
      </c>
      <c r="N88" s="73">
        <f>M88/$M$147*100</f>
        <v>0</v>
      </c>
      <c r="O88" s="67" t="s">
        <v>15</v>
      </c>
      <c r="P88" s="68">
        <v>0</v>
      </c>
      <c r="Q88" s="68">
        <v>0</v>
      </c>
    </row>
    <row r="89" spans="2:17">
      <c r="B89" s="52">
        <v>1479</v>
      </c>
      <c r="C89" s="13" t="s">
        <v>186</v>
      </c>
      <c r="D89" s="23" t="s">
        <v>187</v>
      </c>
      <c r="E89" s="30">
        <v>0</v>
      </c>
      <c r="F89" s="42">
        <v>21.77</v>
      </c>
      <c r="G89" s="5">
        <v>26593.200000000001</v>
      </c>
      <c r="H89" s="43">
        <f>G89/$G$147*100</f>
        <v>0.26395359993243134</v>
      </c>
      <c r="I89" s="67" t="s">
        <v>15</v>
      </c>
      <c r="J89" s="68">
        <v>0</v>
      </c>
      <c r="K89" s="68">
        <f>J89/$J$147*100</f>
        <v>0</v>
      </c>
      <c r="L89" s="72" t="s">
        <v>15</v>
      </c>
      <c r="M89" s="68">
        <v>0</v>
      </c>
      <c r="N89" s="73">
        <f>M89/$M$147*100</f>
        <v>0</v>
      </c>
      <c r="O89" s="67" t="s">
        <v>15</v>
      </c>
      <c r="P89" s="68">
        <v>0</v>
      </c>
      <c r="Q89" s="68">
        <v>0</v>
      </c>
    </row>
    <row r="90" spans="2:17">
      <c r="B90" s="52" t="s">
        <v>52</v>
      </c>
      <c r="C90" s="13" t="s">
        <v>54</v>
      </c>
      <c r="D90" s="12" t="s">
        <v>123</v>
      </c>
      <c r="E90" s="10" t="s">
        <v>30</v>
      </c>
      <c r="F90" s="42" t="s">
        <v>15</v>
      </c>
      <c r="G90" s="5">
        <v>0</v>
      </c>
      <c r="H90" s="43">
        <f t="shared" si="18"/>
        <v>0</v>
      </c>
      <c r="I90" s="63">
        <v>16.39</v>
      </c>
      <c r="J90" s="64">
        <v>7891.27</v>
      </c>
      <c r="K90" s="64">
        <f t="shared" si="19"/>
        <v>0.20012282875998619</v>
      </c>
      <c r="L90" s="65">
        <v>16.16</v>
      </c>
      <c r="M90" s="64">
        <v>8928.98</v>
      </c>
      <c r="N90" s="66">
        <f t="shared" si="20"/>
        <v>5.6402587937191363E-2</v>
      </c>
      <c r="O90" s="3" t="s">
        <v>15</v>
      </c>
      <c r="P90" s="5">
        <v>0</v>
      </c>
      <c r="Q90" s="5">
        <v>0</v>
      </c>
    </row>
    <row r="91" spans="2:17">
      <c r="B91" s="52" t="s">
        <v>53</v>
      </c>
      <c r="C91" s="13" t="s">
        <v>54</v>
      </c>
      <c r="D91" s="12" t="s">
        <v>122</v>
      </c>
      <c r="E91" s="10" t="s">
        <v>319</v>
      </c>
      <c r="F91" s="42" t="s">
        <v>15</v>
      </c>
      <c r="G91" s="5">
        <v>0</v>
      </c>
      <c r="H91" s="43">
        <f t="shared" si="18"/>
        <v>0</v>
      </c>
      <c r="I91" s="63">
        <v>18.84</v>
      </c>
      <c r="J91" s="64">
        <v>80015.02</v>
      </c>
      <c r="K91" s="64">
        <f t="shared" si="19"/>
        <v>2.0291831537492531</v>
      </c>
      <c r="L91" s="65">
        <v>18.440000000000001</v>
      </c>
      <c r="M91" s="64">
        <v>28703.74</v>
      </c>
      <c r="N91" s="66">
        <f t="shared" si="20"/>
        <v>0.18131580756998866</v>
      </c>
      <c r="O91" s="3" t="s">
        <v>15</v>
      </c>
      <c r="P91" s="5">
        <v>0</v>
      </c>
      <c r="Q91" s="5">
        <v>0</v>
      </c>
    </row>
    <row r="92" spans="2:17">
      <c r="B92" s="52" t="s">
        <v>195</v>
      </c>
      <c r="C92" s="13" t="s">
        <v>197</v>
      </c>
      <c r="D92" s="25" t="s">
        <v>198</v>
      </c>
      <c r="E92" s="9" t="s">
        <v>145</v>
      </c>
      <c r="F92" s="42" t="s">
        <v>200</v>
      </c>
      <c r="G92" s="5">
        <v>19235.5</v>
      </c>
      <c r="H92" s="43">
        <f t="shared" si="18"/>
        <v>0.19092397573440889</v>
      </c>
      <c r="I92" s="67" t="s">
        <v>15</v>
      </c>
      <c r="J92" s="68">
        <v>0</v>
      </c>
      <c r="K92" s="68">
        <f t="shared" si="19"/>
        <v>0</v>
      </c>
      <c r="L92" s="72" t="s">
        <v>15</v>
      </c>
      <c r="M92" s="68">
        <v>0</v>
      </c>
      <c r="N92" s="73">
        <f t="shared" si="20"/>
        <v>0</v>
      </c>
      <c r="O92" s="67" t="s">
        <v>15</v>
      </c>
      <c r="P92" s="68">
        <v>0</v>
      </c>
      <c r="Q92" s="68">
        <v>0</v>
      </c>
    </row>
    <row r="93" spans="2:17">
      <c r="B93" s="52" t="s">
        <v>196</v>
      </c>
      <c r="C93" s="13" t="s">
        <v>197</v>
      </c>
      <c r="D93" s="12" t="s">
        <v>199</v>
      </c>
      <c r="E93" s="10" t="s">
        <v>145</v>
      </c>
      <c r="F93" s="42" t="s">
        <v>201</v>
      </c>
      <c r="G93" s="5">
        <v>42548.6</v>
      </c>
      <c r="H93" s="43">
        <f t="shared" si="18"/>
        <v>0.42232059857726961</v>
      </c>
      <c r="I93" s="67" t="s">
        <v>15</v>
      </c>
      <c r="J93" s="68">
        <v>0</v>
      </c>
      <c r="K93" s="68">
        <f t="shared" si="19"/>
        <v>0</v>
      </c>
      <c r="L93" s="72" t="s">
        <v>15</v>
      </c>
      <c r="M93" s="68">
        <v>0</v>
      </c>
      <c r="N93" s="73">
        <f t="shared" si="20"/>
        <v>0</v>
      </c>
      <c r="O93" s="67" t="s">
        <v>15</v>
      </c>
      <c r="P93" s="68">
        <v>0</v>
      </c>
      <c r="Q93" s="68">
        <v>0</v>
      </c>
    </row>
    <row r="94" spans="2:17">
      <c r="B94" s="52">
        <v>1520</v>
      </c>
      <c r="C94" s="13" t="s">
        <v>202</v>
      </c>
      <c r="D94" s="12" t="s">
        <v>203</v>
      </c>
      <c r="E94" s="10">
        <v>0</v>
      </c>
      <c r="F94" s="42">
        <v>21.83</v>
      </c>
      <c r="G94" s="5">
        <v>58746.63</v>
      </c>
      <c r="H94" s="43">
        <f>G94/$G$147*100</f>
        <v>0.58309584677280524</v>
      </c>
      <c r="I94" s="67" t="s">
        <v>15</v>
      </c>
      <c r="J94" s="68">
        <v>0</v>
      </c>
      <c r="K94" s="68">
        <f>J94/$J$147*100</f>
        <v>0</v>
      </c>
      <c r="L94" s="72" t="s">
        <v>15</v>
      </c>
      <c r="M94" s="68">
        <v>0</v>
      </c>
      <c r="N94" s="73">
        <f>M94/$M$147*100</f>
        <v>0</v>
      </c>
      <c r="O94" s="67" t="s">
        <v>15</v>
      </c>
      <c r="P94" s="68">
        <v>0</v>
      </c>
      <c r="Q94" s="68">
        <v>0</v>
      </c>
    </row>
    <row r="95" spans="2:17">
      <c r="B95" s="52">
        <v>1543</v>
      </c>
      <c r="C95" s="13" t="s">
        <v>55</v>
      </c>
      <c r="D95" s="12" t="s">
        <v>204</v>
      </c>
      <c r="E95" s="10" t="s">
        <v>145</v>
      </c>
      <c r="F95" s="42">
        <v>19.21</v>
      </c>
      <c r="G95" s="5">
        <v>19843.95</v>
      </c>
      <c r="H95" s="43">
        <f t="shared" si="18"/>
        <v>0.19696321012060114</v>
      </c>
      <c r="I95" s="67" t="s">
        <v>15</v>
      </c>
      <c r="J95" s="68">
        <v>0</v>
      </c>
      <c r="K95" s="68">
        <f t="shared" si="19"/>
        <v>0</v>
      </c>
      <c r="L95" s="42">
        <v>19.84</v>
      </c>
      <c r="M95" s="5">
        <v>23756.99</v>
      </c>
      <c r="N95" s="43">
        <f t="shared" si="20"/>
        <v>0.15006817325136532</v>
      </c>
      <c r="O95" s="67" t="s">
        <v>15</v>
      </c>
      <c r="P95" s="68">
        <v>0</v>
      </c>
      <c r="Q95" s="68">
        <v>0</v>
      </c>
    </row>
    <row r="96" spans="2:17">
      <c r="B96" s="55">
        <v>1568</v>
      </c>
      <c r="C96" s="13" t="s">
        <v>56</v>
      </c>
      <c r="D96" s="31"/>
      <c r="E96" s="32">
        <v>1</v>
      </c>
      <c r="F96" s="42" t="s">
        <v>15</v>
      </c>
      <c r="G96" s="5">
        <v>0</v>
      </c>
      <c r="H96" s="43">
        <f t="shared" si="18"/>
        <v>0</v>
      </c>
      <c r="I96" s="3" t="s">
        <v>15</v>
      </c>
      <c r="J96" s="5">
        <v>0</v>
      </c>
      <c r="K96" s="5">
        <f t="shared" si="19"/>
        <v>0</v>
      </c>
      <c r="L96" s="65">
        <v>23.97</v>
      </c>
      <c r="M96" s="64">
        <v>347556.04</v>
      </c>
      <c r="N96" s="66">
        <f t="shared" si="20"/>
        <v>2.1954422687924038</v>
      </c>
      <c r="O96" s="3" t="s">
        <v>15</v>
      </c>
      <c r="P96" s="5">
        <v>0</v>
      </c>
      <c r="Q96" s="5">
        <v>0</v>
      </c>
    </row>
    <row r="97" spans="2:17">
      <c r="B97" s="52" t="s">
        <v>57</v>
      </c>
      <c r="C97" s="13" t="s">
        <v>60</v>
      </c>
      <c r="D97" s="31"/>
      <c r="E97" s="32">
        <v>1</v>
      </c>
      <c r="F97" s="42">
        <v>17.91</v>
      </c>
      <c r="G97" s="5">
        <v>61210.92</v>
      </c>
      <c r="H97" s="43">
        <f>G97/$G$147*100</f>
        <v>0.60755541601522411</v>
      </c>
      <c r="I97" s="67" t="s">
        <v>15</v>
      </c>
      <c r="J97" s="68">
        <v>0</v>
      </c>
      <c r="K97" s="68">
        <f>J97/$J$147*100</f>
        <v>0</v>
      </c>
      <c r="L97" s="72" t="s">
        <v>15</v>
      </c>
      <c r="M97" s="68">
        <v>0</v>
      </c>
      <c r="N97" s="73">
        <f>M97/$M$147*100</f>
        <v>0</v>
      </c>
      <c r="O97" s="67" t="s">
        <v>15</v>
      </c>
      <c r="P97" s="68">
        <v>0</v>
      </c>
      <c r="Q97" s="68">
        <v>0</v>
      </c>
    </row>
    <row r="98" spans="2:17">
      <c r="B98" s="52" t="s">
        <v>58</v>
      </c>
      <c r="C98" s="13" t="s">
        <v>60</v>
      </c>
      <c r="D98" s="31"/>
      <c r="E98" s="32">
        <v>1</v>
      </c>
      <c r="F98" s="42">
        <v>21.41</v>
      </c>
      <c r="G98" s="5">
        <v>36397.47</v>
      </c>
      <c r="H98" s="43">
        <f>G98/$G$147*100</f>
        <v>0.36126691165157521</v>
      </c>
      <c r="I98" s="67" t="s">
        <v>15</v>
      </c>
      <c r="J98" s="68">
        <v>0</v>
      </c>
      <c r="K98" s="68">
        <f>J98/$J$147*100</f>
        <v>0</v>
      </c>
      <c r="L98" s="72" t="s">
        <v>15</v>
      </c>
      <c r="M98" s="68">
        <v>0</v>
      </c>
      <c r="N98" s="73">
        <f>M98/$M$147*100</f>
        <v>0</v>
      </c>
      <c r="O98" s="67" t="s">
        <v>15</v>
      </c>
      <c r="P98" s="68">
        <v>0</v>
      </c>
      <c r="Q98" s="68">
        <v>0</v>
      </c>
    </row>
    <row r="99" spans="2:17">
      <c r="B99" s="52" t="s">
        <v>59</v>
      </c>
      <c r="C99" s="13" t="s">
        <v>60</v>
      </c>
      <c r="D99" s="33"/>
      <c r="E99" s="22">
        <v>1</v>
      </c>
      <c r="F99" s="42">
        <v>23.26</v>
      </c>
      <c r="G99" s="5">
        <v>41597.75</v>
      </c>
      <c r="H99" s="43">
        <f t="shared" si="18"/>
        <v>0.41288283702560402</v>
      </c>
      <c r="I99" s="67" t="s">
        <v>15</v>
      </c>
      <c r="J99" s="68">
        <v>0</v>
      </c>
      <c r="K99" s="68">
        <f t="shared" si="19"/>
        <v>0</v>
      </c>
      <c r="L99" s="42">
        <v>21.34</v>
      </c>
      <c r="M99" s="5">
        <v>77944.72</v>
      </c>
      <c r="N99" s="43">
        <f t="shared" si="20"/>
        <v>0.4923612690407817</v>
      </c>
      <c r="O99" s="67" t="s">
        <v>15</v>
      </c>
      <c r="P99" s="68">
        <v>0</v>
      </c>
      <c r="Q99" s="68">
        <v>0</v>
      </c>
    </row>
    <row r="100" spans="2:17">
      <c r="B100" s="52" t="s">
        <v>316</v>
      </c>
      <c r="C100" s="13" t="s">
        <v>60</v>
      </c>
      <c r="D100" s="34"/>
      <c r="E100" s="27">
        <v>1</v>
      </c>
      <c r="F100" s="42">
        <v>25.2</v>
      </c>
      <c r="G100" s="5">
        <v>262375.82</v>
      </c>
      <c r="H100" s="43">
        <f t="shared" si="18"/>
        <v>2.6042387611954787</v>
      </c>
      <c r="I100" s="67" t="s">
        <v>15</v>
      </c>
      <c r="J100" s="68">
        <v>0</v>
      </c>
      <c r="K100" s="68">
        <f t="shared" si="19"/>
        <v>0</v>
      </c>
      <c r="L100" s="42">
        <v>23.14</v>
      </c>
      <c r="M100" s="5">
        <v>100121.68</v>
      </c>
      <c r="N100" s="43">
        <f t="shared" si="20"/>
        <v>0.6324487075365085</v>
      </c>
      <c r="O100" s="67" t="s">
        <v>15</v>
      </c>
      <c r="P100" s="68">
        <v>0</v>
      </c>
      <c r="Q100" s="68">
        <v>0</v>
      </c>
    </row>
    <row r="101" spans="2:17">
      <c r="B101" s="52" t="s">
        <v>317</v>
      </c>
      <c r="C101" s="13" t="s">
        <v>60</v>
      </c>
      <c r="D101" s="13"/>
      <c r="E101" s="10">
        <v>1</v>
      </c>
      <c r="F101" s="42">
        <v>27.15</v>
      </c>
      <c r="G101" s="5">
        <v>427410.75</v>
      </c>
      <c r="H101" s="43">
        <f t="shared" si="18"/>
        <v>4.2423102940721842</v>
      </c>
      <c r="I101" s="67" t="s">
        <v>15</v>
      </c>
      <c r="J101" s="68">
        <v>0</v>
      </c>
      <c r="K101" s="68">
        <f t="shared" si="19"/>
        <v>0</v>
      </c>
      <c r="L101" s="42">
        <v>24.84</v>
      </c>
      <c r="M101" s="5">
        <v>171805.32</v>
      </c>
      <c r="N101" s="43">
        <f t="shared" si="20"/>
        <v>1.0852599814735056</v>
      </c>
      <c r="O101" s="67" t="s">
        <v>15</v>
      </c>
      <c r="P101" s="68">
        <v>0</v>
      </c>
      <c r="Q101" s="68">
        <v>0</v>
      </c>
    </row>
    <row r="102" spans="2:17">
      <c r="B102" s="52" t="s">
        <v>312</v>
      </c>
      <c r="C102" s="13" t="s">
        <v>61</v>
      </c>
      <c r="D102" s="13"/>
      <c r="E102" s="10">
        <v>1</v>
      </c>
      <c r="F102" s="42">
        <v>21.52</v>
      </c>
      <c r="G102" s="5">
        <v>27649.31</v>
      </c>
      <c r="H102" s="43">
        <f>G102/$G$147*100</f>
        <v>0.27443613067053879</v>
      </c>
      <c r="I102" s="67" t="s">
        <v>15</v>
      </c>
      <c r="J102" s="68">
        <v>0</v>
      </c>
      <c r="K102" s="68">
        <f>J102/$J$147*100</f>
        <v>0</v>
      </c>
      <c r="L102" s="72" t="s">
        <v>15</v>
      </c>
      <c r="M102" s="68">
        <v>0</v>
      </c>
      <c r="N102" s="73">
        <f>M102/$M$147*100</f>
        <v>0</v>
      </c>
      <c r="O102" s="67" t="s">
        <v>15</v>
      </c>
      <c r="P102" s="68">
        <v>0</v>
      </c>
      <c r="Q102" s="68">
        <v>0</v>
      </c>
    </row>
    <row r="103" spans="2:17">
      <c r="B103" s="52" t="s">
        <v>313</v>
      </c>
      <c r="C103" s="13" t="s">
        <v>61</v>
      </c>
      <c r="D103" s="13"/>
      <c r="E103" s="10">
        <v>1</v>
      </c>
      <c r="F103" s="42">
        <v>24.07</v>
      </c>
      <c r="G103" s="5">
        <v>115940</v>
      </c>
      <c r="H103" s="43">
        <f>G103/$G$147*100</f>
        <v>1.1507746482621906</v>
      </c>
      <c r="I103" s="67" t="s">
        <v>15</v>
      </c>
      <c r="J103" s="68">
        <v>0</v>
      </c>
      <c r="K103" s="68">
        <f>J103/$J$147*100</f>
        <v>0</v>
      </c>
      <c r="L103" s="72" t="s">
        <v>15</v>
      </c>
      <c r="M103" s="68">
        <v>0</v>
      </c>
      <c r="N103" s="73">
        <f>M103/$M$147*100</f>
        <v>0</v>
      </c>
      <c r="O103" s="67" t="s">
        <v>15</v>
      </c>
      <c r="P103" s="68">
        <v>0</v>
      </c>
      <c r="Q103" s="68">
        <v>0</v>
      </c>
    </row>
    <row r="104" spans="2:17">
      <c r="B104" s="52" t="s">
        <v>314</v>
      </c>
      <c r="C104" s="13" t="s">
        <v>61</v>
      </c>
      <c r="D104" s="12" t="s">
        <v>62</v>
      </c>
      <c r="E104" s="21" t="s">
        <v>30</v>
      </c>
      <c r="F104" s="42" t="s">
        <v>15</v>
      </c>
      <c r="G104" s="5">
        <v>0</v>
      </c>
      <c r="H104" s="43">
        <f t="shared" si="18"/>
        <v>0</v>
      </c>
      <c r="I104" s="63">
        <v>25.11</v>
      </c>
      <c r="J104" s="64">
        <v>69430.59</v>
      </c>
      <c r="K104" s="64">
        <f t="shared" si="19"/>
        <v>1.7607617117745062</v>
      </c>
      <c r="L104" s="65">
        <v>24.69</v>
      </c>
      <c r="M104" s="64">
        <v>122008.52</v>
      </c>
      <c r="N104" s="66">
        <f t="shared" si="20"/>
        <v>0.77070351578641361</v>
      </c>
      <c r="O104" s="3" t="s">
        <v>15</v>
      </c>
      <c r="P104" s="5">
        <v>0</v>
      </c>
      <c r="Q104" s="5">
        <v>0</v>
      </c>
    </row>
    <row r="105" spans="2:17">
      <c r="B105" s="52" t="s">
        <v>315</v>
      </c>
      <c r="C105" s="13" t="s">
        <v>61</v>
      </c>
      <c r="D105" s="12"/>
      <c r="E105" s="21">
        <v>1</v>
      </c>
      <c r="F105" s="42">
        <v>27.31</v>
      </c>
      <c r="G105" s="5">
        <v>123066.99</v>
      </c>
      <c r="H105" s="43">
        <f>G105/$G$147*100</f>
        <v>1.2215143361215848</v>
      </c>
      <c r="I105" s="67" t="s">
        <v>15</v>
      </c>
      <c r="J105" s="68">
        <v>0</v>
      </c>
      <c r="K105" s="68">
        <f>J105/$J$147*100</f>
        <v>0</v>
      </c>
      <c r="L105" s="72" t="s">
        <v>15</v>
      </c>
      <c r="M105" s="68">
        <v>0</v>
      </c>
      <c r="N105" s="73">
        <f>M105/$M$147*100</f>
        <v>0</v>
      </c>
      <c r="O105" s="67" t="s">
        <v>15</v>
      </c>
      <c r="P105" s="68">
        <v>0</v>
      </c>
      <c r="Q105" s="68">
        <v>0</v>
      </c>
    </row>
    <row r="106" spans="2:17">
      <c r="B106" s="52" t="s">
        <v>303</v>
      </c>
      <c r="C106" s="13" t="s">
        <v>308</v>
      </c>
      <c r="D106" s="12"/>
      <c r="E106" s="21">
        <v>1</v>
      </c>
      <c r="F106" s="42" t="s">
        <v>309</v>
      </c>
      <c r="G106" s="5">
        <v>32329.4</v>
      </c>
      <c r="H106" s="43">
        <f t="shared" ref="H106:H110" si="21">G106/$G$147*100</f>
        <v>0.32088885555914837</v>
      </c>
      <c r="I106" s="67" t="s">
        <v>15</v>
      </c>
      <c r="J106" s="68">
        <v>0</v>
      </c>
      <c r="K106" s="68">
        <f t="shared" ref="K106:K110" si="22">J106/$J$147*100</f>
        <v>0</v>
      </c>
      <c r="L106" s="72" t="s">
        <v>15</v>
      </c>
      <c r="M106" s="68">
        <v>0</v>
      </c>
      <c r="N106" s="73">
        <f t="shared" ref="N106:N110" si="23">M106/$M$147*100</f>
        <v>0</v>
      </c>
      <c r="O106" s="67" t="s">
        <v>15</v>
      </c>
      <c r="P106" s="68">
        <v>0</v>
      </c>
      <c r="Q106" s="68">
        <v>0</v>
      </c>
    </row>
    <row r="107" spans="2:17">
      <c r="B107" s="52" t="s">
        <v>304</v>
      </c>
      <c r="C107" s="13" t="s">
        <v>308</v>
      </c>
      <c r="D107" s="12"/>
      <c r="E107" s="21">
        <v>1</v>
      </c>
      <c r="F107" s="42" t="s">
        <v>310</v>
      </c>
      <c r="G107" s="5">
        <v>31991.3</v>
      </c>
      <c r="H107" s="43">
        <f t="shared" si="21"/>
        <v>0.31753300849534422</v>
      </c>
      <c r="I107" s="67" t="s">
        <v>15</v>
      </c>
      <c r="J107" s="68">
        <v>0</v>
      </c>
      <c r="K107" s="68">
        <f t="shared" si="22"/>
        <v>0</v>
      </c>
      <c r="L107" s="72" t="s">
        <v>15</v>
      </c>
      <c r="M107" s="68">
        <v>0</v>
      </c>
      <c r="N107" s="73">
        <f t="shared" si="23"/>
        <v>0</v>
      </c>
      <c r="O107" s="67" t="s">
        <v>15</v>
      </c>
      <c r="P107" s="68">
        <v>0</v>
      </c>
      <c r="Q107" s="68">
        <v>0</v>
      </c>
    </row>
    <row r="108" spans="2:17">
      <c r="B108" s="52" t="s">
        <v>305</v>
      </c>
      <c r="C108" s="13" t="s">
        <v>308</v>
      </c>
      <c r="D108" s="12"/>
      <c r="E108" s="21">
        <v>1</v>
      </c>
      <c r="F108" s="42">
        <v>20.03</v>
      </c>
      <c r="G108" s="5">
        <v>67869.179999999993</v>
      </c>
      <c r="H108" s="43">
        <f t="shared" si="21"/>
        <v>0.6736426750245238</v>
      </c>
      <c r="I108" s="67" t="s">
        <v>15</v>
      </c>
      <c r="J108" s="68">
        <v>0</v>
      </c>
      <c r="K108" s="68">
        <f t="shared" si="22"/>
        <v>0</v>
      </c>
      <c r="L108" s="72" t="s">
        <v>15</v>
      </c>
      <c r="M108" s="68">
        <v>0</v>
      </c>
      <c r="N108" s="73">
        <f t="shared" si="23"/>
        <v>0</v>
      </c>
      <c r="O108" s="67" t="s">
        <v>15</v>
      </c>
      <c r="P108" s="68">
        <v>0</v>
      </c>
      <c r="Q108" s="68">
        <v>0</v>
      </c>
    </row>
    <row r="109" spans="2:17">
      <c r="B109" s="52" t="s">
        <v>306</v>
      </c>
      <c r="C109" s="13" t="s">
        <v>308</v>
      </c>
      <c r="D109" s="12"/>
      <c r="E109" s="21">
        <v>1</v>
      </c>
      <c r="F109" s="42" t="s">
        <v>311</v>
      </c>
      <c r="G109" s="5">
        <v>50907.199999999997</v>
      </c>
      <c r="H109" s="43">
        <f t="shared" si="21"/>
        <v>0.50528476085917695</v>
      </c>
      <c r="I109" s="67" t="s">
        <v>15</v>
      </c>
      <c r="J109" s="68">
        <v>0</v>
      </c>
      <c r="K109" s="68">
        <f t="shared" si="22"/>
        <v>0</v>
      </c>
      <c r="L109" s="72" t="s">
        <v>15</v>
      </c>
      <c r="M109" s="68">
        <v>0</v>
      </c>
      <c r="N109" s="73">
        <f t="shared" si="23"/>
        <v>0</v>
      </c>
      <c r="O109" s="67" t="s">
        <v>15</v>
      </c>
      <c r="P109" s="68">
        <v>0</v>
      </c>
      <c r="Q109" s="68">
        <v>0</v>
      </c>
    </row>
    <row r="110" spans="2:17">
      <c r="B110" s="52" t="s">
        <v>307</v>
      </c>
      <c r="C110" s="13" t="s">
        <v>308</v>
      </c>
      <c r="D110" s="12"/>
      <c r="E110" s="21">
        <v>1</v>
      </c>
      <c r="F110" s="42">
        <v>23.57</v>
      </c>
      <c r="G110" s="5">
        <v>243710.1</v>
      </c>
      <c r="H110" s="43">
        <f t="shared" si="21"/>
        <v>2.4189701967003905</v>
      </c>
      <c r="I110" s="67" t="s">
        <v>15</v>
      </c>
      <c r="J110" s="68">
        <v>0</v>
      </c>
      <c r="K110" s="68">
        <f t="shared" si="22"/>
        <v>0</v>
      </c>
      <c r="L110" s="72" t="s">
        <v>15</v>
      </c>
      <c r="M110" s="68">
        <v>0</v>
      </c>
      <c r="N110" s="73">
        <f t="shared" si="23"/>
        <v>0</v>
      </c>
      <c r="O110" s="67" t="s">
        <v>15</v>
      </c>
      <c r="P110" s="68">
        <v>0</v>
      </c>
      <c r="Q110" s="68">
        <v>0</v>
      </c>
    </row>
    <row r="111" spans="2:17">
      <c r="B111" s="53">
        <v>1682</v>
      </c>
      <c r="C111" s="62" t="s">
        <v>209</v>
      </c>
      <c r="D111" s="12" t="s">
        <v>210</v>
      </c>
      <c r="E111" s="21">
        <v>0</v>
      </c>
      <c r="F111" s="44">
        <v>22.08</v>
      </c>
      <c r="G111" s="18">
        <v>25954.05</v>
      </c>
      <c r="H111" s="48">
        <f>G111/$G$147*100</f>
        <v>0.25760964947153098</v>
      </c>
      <c r="I111" s="67" t="s">
        <v>15</v>
      </c>
      <c r="J111" s="68">
        <v>0</v>
      </c>
      <c r="K111" s="74">
        <f>J111/$J$147*100</f>
        <v>0</v>
      </c>
      <c r="L111" s="72" t="s">
        <v>15</v>
      </c>
      <c r="M111" s="68">
        <v>0</v>
      </c>
      <c r="N111" s="75">
        <f>M111/$M$147*100</f>
        <v>0</v>
      </c>
      <c r="O111" s="67" t="s">
        <v>15</v>
      </c>
      <c r="P111" s="68">
        <v>0</v>
      </c>
      <c r="Q111" s="68">
        <v>0</v>
      </c>
    </row>
    <row r="112" spans="2:17">
      <c r="B112" s="55">
        <v>1689</v>
      </c>
      <c r="C112" s="13" t="s">
        <v>63</v>
      </c>
      <c r="D112" s="12" t="s">
        <v>211</v>
      </c>
      <c r="E112" s="16" t="s">
        <v>30</v>
      </c>
      <c r="F112" s="42">
        <v>24.19</v>
      </c>
      <c r="G112" s="5">
        <v>41744.69</v>
      </c>
      <c r="H112" s="43">
        <f t="shared" si="18"/>
        <v>0.41434130543008607</v>
      </c>
      <c r="I112" s="67" t="s">
        <v>15</v>
      </c>
      <c r="J112" s="68">
        <v>0</v>
      </c>
      <c r="K112" s="68">
        <f t="shared" si="19"/>
        <v>0</v>
      </c>
      <c r="L112" s="42">
        <v>22.23</v>
      </c>
      <c r="M112" s="5">
        <v>42968.66</v>
      </c>
      <c r="N112" s="43">
        <f t="shared" si="20"/>
        <v>0.27142446552610455</v>
      </c>
      <c r="O112" s="67" t="s">
        <v>15</v>
      </c>
      <c r="P112" s="68">
        <v>0</v>
      </c>
      <c r="Q112" s="68">
        <v>0</v>
      </c>
    </row>
    <row r="113" spans="2:17">
      <c r="B113" s="56">
        <v>1705</v>
      </c>
      <c r="C113" s="62" t="s">
        <v>212</v>
      </c>
      <c r="D113" s="12"/>
      <c r="E113" s="16">
        <v>1</v>
      </c>
      <c r="F113" s="44">
        <v>26.55</v>
      </c>
      <c r="G113" s="18">
        <v>67031.009999999995</v>
      </c>
      <c r="H113" s="48">
        <f>G113/$G$147*100</f>
        <v>0.6653233306486922</v>
      </c>
      <c r="I113" s="67" t="s">
        <v>15</v>
      </c>
      <c r="J113" s="68">
        <v>0</v>
      </c>
      <c r="K113" s="74">
        <f>J113/$J$147*100</f>
        <v>0</v>
      </c>
      <c r="L113" s="72" t="s">
        <v>15</v>
      </c>
      <c r="M113" s="68">
        <v>0</v>
      </c>
      <c r="N113" s="75">
        <f>M113/$M$147*100</f>
        <v>0</v>
      </c>
      <c r="O113" s="67" t="s">
        <v>15</v>
      </c>
      <c r="P113" s="68">
        <v>0</v>
      </c>
      <c r="Q113" s="68">
        <v>0</v>
      </c>
    </row>
    <row r="114" spans="2:17">
      <c r="B114" s="56" t="s">
        <v>213</v>
      </c>
      <c r="C114" s="62" t="s">
        <v>215</v>
      </c>
      <c r="D114" s="12"/>
      <c r="E114" s="16">
        <v>0</v>
      </c>
      <c r="F114" s="44" t="s">
        <v>216</v>
      </c>
      <c r="G114" s="18">
        <v>27971.3</v>
      </c>
      <c r="H114" s="48">
        <f t="shared" ref="H114:H115" si="24">G114/$G$147*100</f>
        <v>0.27763207623715896</v>
      </c>
      <c r="I114" s="67" t="s">
        <v>15</v>
      </c>
      <c r="J114" s="68">
        <v>0</v>
      </c>
      <c r="K114" s="74">
        <f t="shared" ref="K114:K115" si="25">J114/$J$147*100</f>
        <v>0</v>
      </c>
      <c r="L114" s="72" t="s">
        <v>15</v>
      </c>
      <c r="M114" s="68">
        <v>0</v>
      </c>
      <c r="N114" s="75">
        <f t="shared" ref="N114:N115" si="26">M114/$M$147*100</f>
        <v>0</v>
      </c>
      <c r="O114" s="67" t="s">
        <v>15</v>
      </c>
      <c r="P114" s="68">
        <v>0</v>
      </c>
      <c r="Q114" s="68">
        <v>0</v>
      </c>
    </row>
    <row r="115" spans="2:17">
      <c r="B115" s="56" t="s">
        <v>214</v>
      </c>
      <c r="C115" s="62" t="s">
        <v>215</v>
      </c>
      <c r="D115" s="12"/>
      <c r="E115" s="16">
        <v>0</v>
      </c>
      <c r="F115" s="44">
        <v>21.41</v>
      </c>
      <c r="G115" s="18">
        <v>191863.02</v>
      </c>
      <c r="H115" s="48">
        <f t="shared" si="24"/>
        <v>1.9043565581768296</v>
      </c>
      <c r="I115" s="67" t="s">
        <v>15</v>
      </c>
      <c r="J115" s="68">
        <v>0</v>
      </c>
      <c r="K115" s="74">
        <f t="shared" si="25"/>
        <v>0</v>
      </c>
      <c r="L115" s="72" t="s">
        <v>15</v>
      </c>
      <c r="M115" s="68">
        <v>0</v>
      </c>
      <c r="N115" s="75">
        <f t="shared" si="26"/>
        <v>0</v>
      </c>
      <c r="O115" s="67" t="s">
        <v>15</v>
      </c>
      <c r="P115" s="68">
        <v>0</v>
      </c>
      <c r="Q115" s="68">
        <v>0</v>
      </c>
    </row>
    <row r="116" spans="2:17">
      <c r="B116" s="55">
        <v>1730</v>
      </c>
      <c r="C116" s="13" t="s">
        <v>64</v>
      </c>
      <c r="D116" s="14"/>
      <c r="E116" s="16">
        <v>1</v>
      </c>
      <c r="F116" s="42" t="s">
        <v>15</v>
      </c>
      <c r="G116" s="5">
        <v>0</v>
      </c>
      <c r="H116" s="43">
        <f t="shared" si="18"/>
        <v>0</v>
      </c>
      <c r="I116" s="3" t="s">
        <v>15</v>
      </c>
      <c r="J116" s="5">
        <v>0</v>
      </c>
      <c r="K116" s="5">
        <f t="shared" si="19"/>
        <v>0</v>
      </c>
      <c r="L116" s="65">
        <v>26.15</v>
      </c>
      <c r="M116" s="64">
        <v>47086.19</v>
      </c>
      <c r="N116" s="66">
        <f t="shared" si="20"/>
        <v>0.29743408229185198</v>
      </c>
      <c r="O116" s="3" t="s">
        <v>15</v>
      </c>
      <c r="P116" s="5">
        <v>0</v>
      </c>
      <c r="Q116" s="5">
        <v>0</v>
      </c>
    </row>
    <row r="117" spans="2:17">
      <c r="B117" s="57" t="s">
        <v>224</v>
      </c>
      <c r="C117" s="13" t="s">
        <v>65</v>
      </c>
      <c r="D117" s="26" t="s">
        <v>229</v>
      </c>
      <c r="E117" s="16" t="s">
        <v>74</v>
      </c>
      <c r="F117" s="42">
        <v>23.69</v>
      </c>
      <c r="G117" s="5">
        <v>62203.23</v>
      </c>
      <c r="H117" s="43">
        <f t="shared" si="18"/>
        <v>0.617404693151821</v>
      </c>
      <c r="I117" s="67" t="s">
        <v>15</v>
      </c>
      <c r="J117" s="68">
        <v>0</v>
      </c>
      <c r="K117" s="68">
        <f t="shared" si="19"/>
        <v>0</v>
      </c>
      <c r="L117" s="72" t="s">
        <v>15</v>
      </c>
      <c r="M117" s="68">
        <v>0</v>
      </c>
      <c r="N117" s="73">
        <f t="shared" si="20"/>
        <v>0</v>
      </c>
      <c r="O117" s="67" t="s">
        <v>15</v>
      </c>
      <c r="P117" s="68">
        <v>0</v>
      </c>
      <c r="Q117" s="68">
        <v>0</v>
      </c>
    </row>
    <row r="118" spans="2:17">
      <c r="B118" s="57" t="s">
        <v>225</v>
      </c>
      <c r="C118" s="13" t="s">
        <v>65</v>
      </c>
      <c r="D118" s="26" t="s">
        <v>230</v>
      </c>
      <c r="E118" s="16" t="s">
        <v>320</v>
      </c>
      <c r="F118" s="42">
        <v>24.9</v>
      </c>
      <c r="G118" s="5">
        <v>55810.22</v>
      </c>
      <c r="H118" s="43">
        <f t="shared" si="18"/>
        <v>0.55395020087920877</v>
      </c>
      <c r="I118" s="67" t="s">
        <v>15</v>
      </c>
      <c r="J118" s="68">
        <v>0</v>
      </c>
      <c r="K118" s="68">
        <f t="shared" si="19"/>
        <v>0</v>
      </c>
      <c r="L118" s="72" t="s">
        <v>15</v>
      </c>
      <c r="M118" s="68">
        <v>0</v>
      </c>
      <c r="N118" s="73">
        <f t="shared" si="20"/>
        <v>0</v>
      </c>
      <c r="O118" s="67" t="s">
        <v>15</v>
      </c>
      <c r="P118" s="68">
        <v>0</v>
      </c>
      <c r="Q118" s="68">
        <v>0</v>
      </c>
    </row>
    <row r="119" spans="2:17">
      <c r="B119" s="57" t="s">
        <v>226</v>
      </c>
      <c r="C119" s="13" t="s">
        <v>65</v>
      </c>
      <c r="D119" s="26" t="s">
        <v>231</v>
      </c>
      <c r="E119" s="16" t="s">
        <v>30</v>
      </c>
      <c r="F119" s="42">
        <v>26.2</v>
      </c>
      <c r="G119" s="5">
        <v>137209.68</v>
      </c>
      <c r="H119" s="43">
        <f>G119/$G$147*100</f>
        <v>1.3618890912555435</v>
      </c>
      <c r="I119" s="67" t="s">
        <v>15</v>
      </c>
      <c r="J119" s="68">
        <v>0</v>
      </c>
      <c r="K119" s="68">
        <f>J119/$J$147*100</f>
        <v>0</v>
      </c>
      <c r="L119" s="72" t="s">
        <v>15</v>
      </c>
      <c r="M119" s="68">
        <v>0</v>
      </c>
      <c r="N119" s="73">
        <f>M119/$M$147*100</f>
        <v>0</v>
      </c>
      <c r="O119" s="67" t="s">
        <v>15</v>
      </c>
      <c r="P119" s="68">
        <v>0</v>
      </c>
      <c r="Q119" s="68">
        <v>0</v>
      </c>
    </row>
    <row r="120" spans="2:17">
      <c r="B120" s="57" t="s">
        <v>227</v>
      </c>
      <c r="C120" s="13" t="s">
        <v>65</v>
      </c>
      <c r="D120" s="35"/>
      <c r="E120" s="28">
        <v>1</v>
      </c>
      <c r="F120" s="42" t="s">
        <v>15</v>
      </c>
      <c r="G120" s="5">
        <v>0</v>
      </c>
      <c r="H120" s="43">
        <f t="shared" si="18"/>
        <v>0</v>
      </c>
      <c r="I120" s="3" t="s">
        <v>15</v>
      </c>
      <c r="J120" s="5">
        <v>0</v>
      </c>
      <c r="K120" s="5">
        <f t="shared" si="19"/>
        <v>0</v>
      </c>
      <c r="L120" s="65">
        <v>24.34</v>
      </c>
      <c r="M120" s="64">
        <v>1093144.8</v>
      </c>
      <c r="N120" s="66">
        <f t="shared" si="20"/>
        <v>6.9051779385868786</v>
      </c>
      <c r="O120" s="3" t="s">
        <v>15</v>
      </c>
      <c r="P120" s="5">
        <v>0</v>
      </c>
      <c r="Q120" s="5">
        <v>0</v>
      </c>
    </row>
    <row r="121" spans="2:17">
      <c r="B121" s="57" t="s">
        <v>228</v>
      </c>
      <c r="C121" s="13" t="s">
        <v>65</v>
      </c>
      <c r="D121" s="26" t="s">
        <v>232</v>
      </c>
      <c r="E121" s="28" t="s">
        <v>30</v>
      </c>
      <c r="F121" s="42">
        <v>27.53</v>
      </c>
      <c r="G121" s="5">
        <v>141094.20000000001</v>
      </c>
      <c r="H121" s="43">
        <f>G121/$G$147*100</f>
        <v>1.4004453025429977</v>
      </c>
      <c r="I121" s="67" t="s">
        <v>15</v>
      </c>
      <c r="J121" s="68">
        <v>0</v>
      </c>
      <c r="K121" s="68">
        <f>J121/$J$147*100</f>
        <v>0</v>
      </c>
      <c r="L121" s="72" t="s">
        <v>15</v>
      </c>
      <c r="M121" s="68">
        <v>0</v>
      </c>
      <c r="N121" s="73">
        <f>M121/$M$147*100</f>
        <v>0</v>
      </c>
      <c r="O121" s="67" t="s">
        <v>15</v>
      </c>
      <c r="P121" s="68">
        <v>0</v>
      </c>
      <c r="Q121" s="68">
        <v>0</v>
      </c>
    </row>
    <row r="122" spans="2:17">
      <c r="B122" s="57" t="s">
        <v>237</v>
      </c>
      <c r="C122" s="13" t="s">
        <v>241</v>
      </c>
      <c r="D122" s="26"/>
      <c r="E122" s="28">
        <v>1</v>
      </c>
      <c r="F122" s="42">
        <v>17.62</v>
      </c>
      <c r="G122" s="5">
        <v>40627.449999999997</v>
      </c>
      <c r="H122" s="43">
        <f t="shared" ref="H122:H130" si="27">G122/$G$147*100</f>
        <v>0.40325202245592312</v>
      </c>
      <c r="I122" s="67" t="s">
        <v>15</v>
      </c>
      <c r="J122" s="68">
        <v>0</v>
      </c>
      <c r="K122" s="68">
        <f t="shared" ref="K122:K130" si="28">J122/$J$147*100</f>
        <v>0</v>
      </c>
      <c r="L122" s="72" t="s">
        <v>15</v>
      </c>
      <c r="M122" s="68">
        <v>0</v>
      </c>
      <c r="N122" s="73">
        <f t="shared" ref="N122:N130" si="29">M122/$M$147*100</f>
        <v>0</v>
      </c>
      <c r="O122" s="67" t="s">
        <v>15</v>
      </c>
      <c r="P122" s="68">
        <v>0</v>
      </c>
      <c r="Q122" s="68">
        <v>0</v>
      </c>
    </row>
    <row r="123" spans="2:17">
      <c r="B123" s="57" t="s">
        <v>238</v>
      </c>
      <c r="C123" s="13" t="s">
        <v>241</v>
      </c>
      <c r="D123" s="26"/>
      <c r="E123" s="28">
        <v>1</v>
      </c>
      <c r="F123" s="42">
        <v>18.5</v>
      </c>
      <c r="G123" s="5">
        <v>41491.620000000003</v>
      </c>
      <c r="H123" s="43">
        <f t="shared" si="27"/>
        <v>0.41182943256277788</v>
      </c>
      <c r="I123" s="67" t="s">
        <v>15</v>
      </c>
      <c r="J123" s="68">
        <v>0</v>
      </c>
      <c r="K123" s="68">
        <f t="shared" si="28"/>
        <v>0</v>
      </c>
      <c r="L123" s="72" t="s">
        <v>15</v>
      </c>
      <c r="M123" s="68">
        <v>0</v>
      </c>
      <c r="N123" s="73">
        <f t="shared" si="29"/>
        <v>0</v>
      </c>
      <c r="O123" s="67" t="s">
        <v>15</v>
      </c>
      <c r="P123" s="68">
        <v>0</v>
      </c>
      <c r="Q123" s="68">
        <v>0</v>
      </c>
    </row>
    <row r="124" spans="2:17">
      <c r="B124" s="57" t="s">
        <v>239</v>
      </c>
      <c r="C124" s="13" t="s">
        <v>241</v>
      </c>
      <c r="D124" s="26"/>
      <c r="E124" s="28">
        <v>1</v>
      </c>
      <c r="F124" s="42">
        <v>21.41</v>
      </c>
      <c r="G124" s="5">
        <v>58246.03</v>
      </c>
      <c r="H124" s="43">
        <f t="shared" si="27"/>
        <v>0.57812708889010689</v>
      </c>
      <c r="I124" s="67" t="s">
        <v>15</v>
      </c>
      <c r="J124" s="68">
        <v>0</v>
      </c>
      <c r="K124" s="68">
        <f t="shared" si="28"/>
        <v>0</v>
      </c>
      <c r="L124" s="72" t="s">
        <v>15</v>
      </c>
      <c r="M124" s="68">
        <v>0</v>
      </c>
      <c r="N124" s="73">
        <f t="shared" si="29"/>
        <v>0</v>
      </c>
      <c r="O124" s="67" t="s">
        <v>15</v>
      </c>
      <c r="P124" s="68">
        <v>0</v>
      </c>
      <c r="Q124" s="68">
        <v>0</v>
      </c>
    </row>
    <row r="125" spans="2:17">
      <c r="B125" s="57" t="s">
        <v>240</v>
      </c>
      <c r="C125" s="13" t="s">
        <v>241</v>
      </c>
      <c r="D125" s="26"/>
      <c r="E125" s="28">
        <v>1</v>
      </c>
      <c r="F125" s="42">
        <v>27.31</v>
      </c>
      <c r="G125" s="5">
        <v>30348.92</v>
      </c>
      <c r="H125" s="43">
        <f t="shared" si="27"/>
        <v>0.30123139329081727</v>
      </c>
      <c r="I125" s="67" t="s">
        <v>15</v>
      </c>
      <c r="J125" s="68">
        <v>0</v>
      </c>
      <c r="K125" s="68">
        <f t="shared" si="28"/>
        <v>0</v>
      </c>
      <c r="L125" s="72" t="s">
        <v>15</v>
      </c>
      <c r="M125" s="68">
        <v>0</v>
      </c>
      <c r="N125" s="73">
        <f t="shared" si="29"/>
        <v>0</v>
      </c>
      <c r="O125" s="67" t="s">
        <v>15</v>
      </c>
      <c r="P125" s="68">
        <v>0</v>
      </c>
      <c r="Q125" s="68">
        <v>0</v>
      </c>
    </row>
    <row r="126" spans="2:17">
      <c r="B126" s="57" t="s">
        <v>242</v>
      </c>
      <c r="C126" s="13" t="s">
        <v>244</v>
      </c>
      <c r="D126" s="31" t="s">
        <v>245</v>
      </c>
      <c r="E126" s="28" t="s">
        <v>145</v>
      </c>
      <c r="F126" s="42">
        <v>19.71</v>
      </c>
      <c r="G126" s="5">
        <v>25342.71</v>
      </c>
      <c r="H126" s="43">
        <f t="shared" si="27"/>
        <v>0.25154173008677505</v>
      </c>
      <c r="I126" s="67" t="s">
        <v>15</v>
      </c>
      <c r="J126" s="68">
        <v>0</v>
      </c>
      <c r="K126" s="68">
        <f t="shared" si="28"/>
        <v>0</v>
      </c>
      <c r="L126" s="72" t="s">
        <v>15</v>
      </c>
      <c r="M126" s="68">
        <v>0</v>
      </c>
      <c r="N126" s="73">
        <f t="shared" si="29"/>
        <v>0</v>
      </c>
      <c r="O126" s="67" t="s">
        <v>15</v>
      </c>
      <c r="P126" s="68">
        <v>0</v>
      </c>
      <c r="Q126" s="68">
        <v>0</v>
      </c>
    </row>
    <row r="127" spans="2:17">
      <c r="B127" s="57" t="s">
        <v>243</v>
      </c>
      <c r="C127" s="13" t="s">
        <v>244</v>
      </c>
      <c r="D127" s="26"/>
      <c r="E127" s="28">
        <v>1</v>
      </c>
      <c r="F127" s="42">
        <v>24.5</v>
      </c>
      <c r="G127" s="5">
        <v>160269.28</v>
      </c>
      <c r="H127" s="43">
        <f t="shared" si="27"/>
        <v>1.5907695732209288</v>
      </c>
      <c r="I127" s="67" t="s">
        <v>15</v>
      </c>
      <c r="J127" s="68">
        <v>0</v>
      </c>
      <c r="K127" s="68">
        <f t="shared" si="28"/>
        <v>0</v>
      </c>
      <c r="L127" s="72" t="s">
        <v>15</v>
      </c>
      <c r="M127" s="68">
        <v>0</v>
      </c>
      <c r="N127" s="73">
        <f t="shared" si="29"/>
        <v>0</v>
      </c>
      <c r="O127" s="67" t="s">
        <v>15</v>
      </c>
      <c r="P127" s="68">
        <v>0</v>
      </c>
      <c r="Q127" s="68">
        <v>0</v>
      </c>
    </row>
    <row r="128" spans="2:17">
      <c r="B128" s="57" t="s">
        <v>293</v>
      </c>
      <c r="C128" s="13" t="s">
        <v>296</v>
      </c>
      <c r="D128" s="26"/>
      <c r="E128" s="28">
        <v>1</v>
      </c>
      <c r="F128" s="42">
        <v>18.95</v>
      </c>
      <c r="G128" s="5">
        <v>17480.87</v>
      </c>
      <c r="H128" s="43">
        <f t="shared" si="27"/>
        <v>0.1735082113642149</v>
      </c>
      <c r="I128" s="67" t="s">
        <v>15</v>
      </c>
      <c r="J128" s="68">
        <v>0</v>
      </c>
      <c r="K128" s="68">
        <f t="shared" si="28"/>
        <v>0</v>
      </c>
      <c r="L128" s="72" t="s">
        <v>15</v>
      </c>
      <c r="M128" s="68">
        <v>0</v>
      </c>
      <c r="N128" s="73">
        <f t="shared" si="29"/>
        <v>0</v>
      </c>
      <c r="O128" s="67" t="s">
        <v>15</v>
      </c>
      <c r="P128" s="68">
        <v>0</v>
      </c>
      <c r="Q128" s="68">
        <v>0</v>
      </c>
    </row>
    <row r="129" spans="2:17">
      <c r="B129" s="57" t="s">
        <v>294</v>
      </c>
      <c r="C129" s="13" t="s">
        <v>296</v>
      </c>
      <c r="D129" s="26"/>
      <c r="E129" s="28">
        <v>1</v>
      </c>
      <c r="F129" s="42">
        <v>19.899999999999999</v>
      </c>
      <c r="G129" s="5">
        <v>89055.14</v>
      </c>
      <c r="H129" s="43">
        <f t="shared" si="27"/>
        <v>0.88392614636398259</v>
      </c>
      <c r="I129" s="67" t="s">
        <v>15</v>
      </c>
      <c r="J129" s="68">
        <v>0</v>
      </c>
      <c r="K129" s="68">
        <f t="shared" si="28"/>
        <v>0</v>
      </c>
      <c r="L129" s="72" t="s">
        <v>15</v>
      </c>
      <c r="M129" s="68">
        <v>0</v>
      </c>
      <c r="N129" s="73">
        <f t="shared" si="29"/>
        <v>0</v>
      </c>
      <c r="O129" s="67" t="s">
        <v>15</v>
      </c>
      <c r="P129" s="68">
        <v>0</v>
      </c>
      <c r="Q129" s="68">
        <v>0</v>
      </c>
    </row>
    <row r="130" spans="2:17">
      <c r="B130" s="57" t="s">
        <v>295</v>
      </c>
      <c r="C130" s="13" t="s">
        <v>296</v>
      </c>
      <c r="D130" s="26"/>
      <c r="E130" s="28">
        <v>1</v>
      </c>
      <c r="F130" s="42">
        <v>23.94</v>
      </c>
      <c r="G130" s="5">
        <v>40051.96</v>
      </c>
      <c r="H130" s="43">
        <f t="shared" si="27"/>
        <v>0.3975399360118278</v>
      </c>
      <c r="I130" s="67" t="s">
        <v>15</v>
      </c>
      <c r="J130" s="68">
        <v>0</v>
      </c>
      <c r="K130" s="68">
        <f t="shared" si="28"/>
        <v>0</v>
      </c>
      <c r="L130" s="72" t="s">
        <v>15</v>
      </c>
      <c r="M130" s="68">
        <v>0</v>
      </c>
      <c r="N130" s="73">
        <f t="shared" si="29"/>
        <v>0</v>
      </c>
      <c r="O130" s="67" t="s">
        <v>15</v>
      </c>
      <c r="P130" s="68">
        <v>0</v>
      </c>
      <c r="Q130" s="68">
        <v>0</v>
      </c>
    </row>
    <row r="131" spans="2:17">
      <c r="B131" s="57">
        <v>1885</v>
      </c>
      <c r="C131" s="13" t="s">
        <v>302</v>
      </c>
      <c r="D131" s="26"/>
      <c r="E131" s="28">
        <v>0</v>
      </c>
      <c r="F131" s="42">
        <v>22.3</v>
      </c>
      <c r="G131" s="5">
        <v>135541.29</v>
      </c>
      <c r="H131" s="43">
        <f>G131/$G$147*100</f>
        <v>1.345329311063943</v>
      </c>
      <c r="I131" s="67" t="s">
        <v>15</v>
      </c>
      <c r="J131" s="68">
        <v>0</v>
      </c>
      <c r="K131" s="68">
        <f>J131/$J$147*100</f>
        <v>0</v>
      </c>
      <c r="L131" s="72" t="s">
        <v>15</v>
      </c>
      <c r="M131" s="68">
        <v>0</v>
      </c>
      <c r="N131" s="73">
        <f>M131/$M$147*100</f>
        <v>0</v>
      </c>
      <c r="O131" s="67" t="s">
        <v>15</v>
      </c>
      <c r="P131" s="68">
        <v>0</v>
      </c>
      <c r="Q131" s="68">
        <v>0</v>
      </c>
    </row>
    <row r="132" spans="2:17">
      <c r="B132" s="56">
        <v>1908</v>
      </c>
      <c r="C132" s="13" t="s">
        <v>287</v>
      </c>
      <c r="D132" s="26"/>
      <c r="E132" s="28">
        <v>1</v>
      </c>
      <c r="F132" s="44">
        <v>24.13</v>
      </c>
      <c r="G132" s="18">
        <v>47746.55</v>
      </c>
      <c r="H132" s="48">
        <f>G132/$G$147*100</f>
        <v>0.47391339729155679</v>
      </c>
      <c r="I132" s="67" t="s">
        <v>15</v>
      </c>
      <c r="J132" s="68">
        <v>0</v>
      </c>
      <c r="K132" s="74">
        <f>J132/$J$147*100</f>
        <v>0</v>
      </c>
      <c r="L132" s="72" t="s">
        <v>15</v>
      </c>
      <c r="M132" s="68">
        <v>0</v>
      </c>
      <c r="N132" s="75">
        <f>M132/$M$147*100</f>
        <v>0</v>
      </c>
      <c r="O132" s="67" t="s">
        <v>15</v>
      </c>
      <c r="P132" s="68">
        <v>0</v>
      </c>
      <c r="Q132" s="68">
        <v>0</v>
      </c>
    </row>
    <row r="133" spans="2:17">
      <c r="B133" s="55" t="s">
        <v>104</v>
      </c>
      <c r="C133" s="13" t="s">
        <v>106</v>
      </c>
      <c r="D133" s="13"/>
      <c r="E133" s="10">
        <v>1</v>
      </c>
      <c r="F133" s="42">
        <v>26.32</v>
      </c>
      <c r="G133" s="5">
        <v>168036.54</v>
      </c>
      <c r="H133" s="43">
        <f t="shared" si="18"/>
        <v>1.6678643282188674</v>
      </c>
      <c r="I133" s="67" t="s">
        <v>15</v>
      </c>
      <c r="J133" s="68">
        <v>0</v>
      </c>
      <c r="K133" s="68">
        <f t="shared" si="19"/>
        <v>0</v>
      </c>
      <c r="L133" s="42">
        <v>24.08</v>
      </c>
      <c r="M133" s="5">
        <v>443655.88</v>
      </c>
      <c r="N133" s="43">
        <f t="shared" si="20"/>
        <v>2.802485814230967</v>
      </c>
      <c r="O133" s="67" t="s">
        <v>15</v>
      </c>
      <c r="P133" s="68">
        <v>0</v>
      </c>
      <c r="Q133" s="68">
        <v>0</v>
      </c>
    </row>
    <row r="134" spans="2:17">
      <c r="B134" s="55" t="s">
        <v>105</v>
      </c>
      <c r="C134" s="13" t="s">
        <v>106</v>
      </c>
      <c r="D134" s="36"/>
      <c r="E134" s="37">
        <v>1</v>
      </c>
      <c r="F134" s="42">
        <v>28.7</v>
      </c>
      <c r="G134" s="5">
        <v>472628.76</v>
      </c>
      <c r="H134" s="43">
        <f t="shared" si="18"/>
        <v>4.6911264019975443</v>
      </c>
      <c r="I134" s="67" t="s">
        <v>15</v>
      </c>
      <c r="J134" s="68">
        <v>0</v>
      </c>
      <c r="K134" s="68">
        <f t="shared" si="19"/>
        <v>0</v>
      </c>
      <c r="L134" s="42">
        <v>26.33</v>
      </c>
      <c r="M134" s="5">
        <v>429593.02</v>
      </c>
      <c r="N134" s="43">
        <f>M134/$M$147*100</f>
        <v>2.7136535290429151</v>
      </c>
      <c r="O134" s="67" t="s">
        <v>15</v>
      </c>
      <c r="P134" s="68">
        <v>0</v>
      </c>
      <c r="Q134" s="68">
        <v>0</v>
      </c>
    </row>
    <row r="135" spans="2:17">
      <c r="B135" s="58" t="s">
        <v>288</v>
      </c>
      <c r="C135" s="13" t="s">
        <v>290</v>
      </c>
      <c r="D135" s="23" t="s">
        <v>291</v>
      </c>
      <c r="E135" s="37" t="s">
        <v>30</v>
      </c>
      <c r="F135" s="42">
        <v>26.49</v>
      </c>
      <c r="G135" s="5">
        <v>287213.18</v>
      </c>
      <c r="H135" s="43">
        <f t="shared" si="18"/>
        <v>2.8507645867756186</v>
      </c>
      <c r="I135" s="67" t="s">
        <v>15</v>
      </c>
      <c r="J135" s="68">
        <v>0</v>
      </c>
      <c r="K135" s="68">
        <f t="shared" si="19"/>
        <v>0</v>
      </c>
      <c r="L135" s="72" t="s">
        <v>15</v>
      </c>
      <c r="M135" s="68">
        <v>0</v>
      </c>
      <c r="N135" s="73">
        <f t="shared" si="20"/>
        <v>0</v>
      </c>
      <c r="O135" s="67" t="s">
        <v>15</v>
      </c>
      <c r="P135" s="68">
        <v>0</v>
      </c>
      <c r="Q135" s="68">
        <v>0</v>
      </c>
    </row>
    <row r="136" spans="2:17">
      <c r="B136" s="58" t="s">
        <v>289</v>
      </c>
      <c r="C136" s="13" t="s">
        <v>290</v>
      </c>
      <c r="D136" s="23" t="s">
        <v>292</v>
      </c>
      <c r="E136" s="37" t="s">
        <v>30</v>
      </c>
      <c r="F136" s="42">
        <v>27.64</v>
      </c>
      <c r="G136" s="5">
        <v>67596.91</v>
      </c>
      <c r="H136" s="43">
        <f>G136/$G$147*100</f>
        <v>0.67094023054046015</v>
      </c>
      <c r="I136" s="67" t="s">
        <v>15</v>
      </c>
      <c r="J136" s="68">
        <v>0</v>
      </c>
      <c r="K136" s="68">
        <f t="shared" si="19"/>
        <v>0</v>
      </c>
      <c r="L136" s="72" t="s">
        <v>15</v>
      </c>
      <c r="M136" s="68">
        <v>0</v>
      </c>
      <c r="N136" s="73">
        <f t="shared" si="20"/>
        <v>0</v>
      </c>
      <c r="O136" s="67" t="s">
        <v>15</v>
      </c>
      <c r="P136" s="68">
        <v>0</v>
      </c>
      <c r="Q136" s="68">
        <v>0</v>
      </c>
    </row>
    <row r="137" spans="2:17">
      <c r="B137" s="57">
        <v>1990</v>
      </c>
      <c r="C137" s="13" t="s">
        <v>272</v>
      </c>
      <c r="D137" s="12" t="s">
        <v>273</v>
      </c>
      <c r="E137" s="37" t="s">
        <v>30</v>
      </c>
      <c r="F137" s="42">
        <v>30.7</v>
      </c>
      <c r="G137" s="5">
        <v>12412.05</v>
      </c>
      <c r="H137" s="43">
        <f>G137/$G$147*100</f>
        <v>0.12319710602865896</v>
      </c>
      <c r="I137" s="67" t="s">
        <v>15</v>
      </c>
      <c r="J137" s="68">
        <v>0</v>
      </c>
      <c r="K137" s="68">
        <f>J137/$J$147*100</f>
        <v>0</v>
      </c>
      <c r="L137" s="72" t="s">
        <v>15</v>
      </c>
      <c r="M137" s="68">
        <v>0</v>
      </c>
      <c r="N137" s="73">
        <f>M137/$M$147*100</f>
        <v>0</v>
      </c>
      <c r="O137" s="67" t="s">
        <v>15</v>
      </c>
      <c r="P137" s="68">
        <v>0</v>
      </c>
      <c r="Q137" s="68">
        <v>0</v>
      </c>
    </row>
    <row r="138" spans="2:17">
      <c r="B138" s="57">
        <v>2015</v>
      </c>
      <c r="C138" s="13" t="s">
        <v>274</v>
      </c>
      <c r="D138" s="12" t="s">
        <v>275</v>
      </c>
      <c r="E138" s="37" t="s">
        <v>145</v>
      </c>
      <c r="F138" s="42">
        <v>18.57</v>
      </c>
      <c r="G138" s="5">
        <v>68094.820000000007</v>
      </c>
      <c r="H138" s="43">
        <f>G138/$G$147*100</f>
        <v>0.67588228854560273</v>
      </c>
      <c r="I138" s="67" t="s">
        <v>15</v>
      </c>
      <c r="J138" s="68">
        <v>0</v>
      </c>
      <c r="K138" s="68">
        <f>J138/$J$147*100</f>
        <v>0</v>
      </c>
      <c r="L138" s="72" t="s">
        <v>15</v>
      </c>
      <c r="M138" s="68">
        <v>0</v>
      </c>
      <c r="N138" s="73">
        <f>M138/$M$147*100</f>
        <v>0</v>
      </c>
      <c r="O138" s="67" t="s">
        <v>15</v>
      </c>
      <c r="P138" s="68">
        <v>0</v>
      </c>
      <c r="Q138" s="68">
        <v>0</v>
      </c>
    </row>
    <row r="139" spans="2:17">
      <c r="B139" s="57">
        <v>2031</v>
      </c>
      <c r="C139" s="13" t="s">
        <v>276</v>
      </c>
      <c r="D139" s="12" t="s">
        <v>277</v>
      </c>
      <c r="E139" s="37" t="s">
        <v>30</v>
      </c>
      <c r="F139" s="42">
        <v>24.5</v>
      </c>
      <c r="G139" s="5">
        <v>230502.06</v>
      </c>
      <c r="H139" s="43">
        <f>G139/$G$147*100</f>
        <v>2.2878724083164594</v>
      </c>
      <c r="I139" s="67" t="s">
        <v>15</v>
      </c>
      <c r="J139" s="68">
        <v>0</v>
      </c>
      <c r="K139" s="68">
        <f>J139/$J$147*100</f>
        <v>0</v>
      </c>
      <c r="L139" s="72" t="s">
        <v>15</v>
      </c>
      <c r="M139" s="68">
        <v>0</v>
      </c>
      <c r="N139" s="73">
        <f>M139/$M$147*100</f>
        <v>0</v>
      </c>
      <c r="O139" s="67" t="s">
        <v>15</v>
      </c>
      <c r="P139" s="68">
        <v>0</v>
      </c>
      <c r="Q139" s="68">
        <v>0</v>
      </c>
    </row>
    <row r="140" spans="2:17">
      <c r="B140" s="54">
        <v>2079</v>
      </c>
      <c r="C140" s="13" t="s">
        <v>93</v>
      </c>
      <c r="D140" s="13"/>
      <c r="E140" s="10">
        <v>1</v>
      </c>
      <c r="F140" s="42" t="s">
        <v>15</v>
      </c>
      <c r="G140" s="5">
        <v>0</v>
      </c>
      <c r="H140" s="43">
        <f t="shared" si="18"/>
        <v>0</v>
      </c>
      <c r="I140" s="3" t="s">
        <v>15</v>
      </c>
      <c r="J140" s="5">
        <v>0</v>
      </c>
      <c r="K140" s="5">
        <f t="shared" si="19"/>
        <v>0</v>
      </c>
      <c r="L140" s="65">
        <v>26.15</v>
      </c>
      <c r="M140" s="64">
        <v>38655.42</v>
      </c>
      <c r="N140" s="66">
        <f t="shared" si="20"/>
        <v>0.24417858767732323</v>
      </c>
      <c r="O140" s="3" t="s">
        <v>15</v>
      </c>
      <c r="P140" s="5">
        <v>0</v>
      </c>
      <c r="Q140" s="5">
        <v>0</v>
      </c>
    </row>
    <row r="141" spans="2:17">
      <c r="B141" s="52">
        <v>2088</v>
      </c>
      <c r="C141" s="13" t="s">
        <v>269</v>
      </c>
      <c r="D141" s="25" t="s">
        <v>270</v>
      </c>
      <c r="E141" s="10">
        <v>0</v>
      </c>
      <c r="F141" s="42">
        <v>22.6</v>
      </c>
      <c r="G141" s="5">
        <v>150767.04999999999</v>
      </c>
      <c r="H141" s="43">
        <f>G141/$G$147*100</f>
        <v>1.4964541912478702</v>
      </c>
      <c r="I141" s="67" t="s">
        <v>15</v>
      </c>
      <c r="J141" s="68">
        <v>0</v>
      </c>
      <c r="K141" s="68">
        <f>J141/$J$147*100</f>
        <v>0</v>
      </c>
      <c r="L141" s="42" t="s">
        <v>15</v>
      </c>
      <c r="M141" s="5">
        <v>0</v>
      </c>
      <c r="N141" s="43">
        <f>M141/$M$147*100</f>
        <v>0</v>
      </c>
      <c r="O141" s="67" t="s">
        <v>15</v>
      </c>
      <c r="P141" s="68">
        <v>0</v>
      </c>
      <c r="Q141" s="68">
        <v>0</v>
      </c>
    </row>
    <row r="142" spans="2:17">
      <c r="B142" s="52">
        <v>2177</v>
      </c>
      <c r="C142" s="13" t="s">
        <v>266</v>
      </c>
      <c r="D142" s="12" t="s">
        <v>267</v>
      </c>
      <c r="E142" s="10" t="s">
        <v>145</v>
      </c>
      <c r="F142" s="42">
        <v>19.52</v>
      </c>
      <c r="G142" s="5">
        <v>39843.410000000003</v>
      </c>
      <c r="H142" s="43">
        <f>G142/$G$147*100</f>
        <v>0.39546995108087157</v>
      </c>
      <c r="I142" s="67" t="s">
        <v>15</v>
      </c>
      <c r="J142" s="68">
        <v>0</v>
      </c>
      <c r="K142" s="68">
        <f>J142/$J$147*100</f>
        <v>0</v>
      </c>
      <c r="L142" s="42" t="s">
        <v>15</v>
      </c>
      <c r="M142" s="5">
        <v>0</v>
      </c>
      <c r="N142" s="43">
        <f>M142/$M$147*100</f>
        <v>0</v>
      </c>
      <c r="O142" s="67" t="s">
        <v>15</v>
      </c>
      <c r="P142" s="68">
        <v>0</v>
      </c>
      <c r="Q142" s="68">
        <v>0</v>
      </c>
    </row>
    <row r="143" spans="2:17">
      <c r="B143" s="52">
        <v>2196</v>
      </c>
      <c r="C143" s="13" t="s">
        <v>268</v>
      </c>
      <c r="D143" s="12"/>
      <c r="E143" s="10">
        <v>1</v>
      </c>
      <c r="F143" s="42">
        <v>28.01</v>
      </c>
      <c r="G143" s="5">
        <v>7354.12</v>
      </c>
      <c r="H143" s="43">
        <f>G143/$G$147*100</f>
        <v>7.299409053198154E-2</v>
      </c>
      <c r="I143" s="67" t="s">
        <v>15</v>
      </c>
      <c r="J143" s="68">
        <v>0</v>
      </c>
      <c r="K143" s="68">
        <f>J143/$J$147*100</f>
        <v>0</v>
      </c>
      <c r="L143" s="42" t="s">
        <v>15</v>
      </c>
      <c r="M143" s="5">
        <v>0</v>
      </c>
      <c r="N143" s="43">
        <f>M143/$M$147*100</f>
        <v>0</v>
      </c>
      <c r="O143" s="67" t="s">
        <v>15</v>
      </c>
      <c r="P143" s="68">
        <v>0</v>
      </c>
      <c r="Q143" s="68">
        <v>0</v>
      </c>
    </row>
    <row r="144" spans="2:17">
      <c r="B144" s="52">
        <v>2234</v>
      </c>
      <c r="C144" s="13" t="s">
        <v>264</v>
      </c>
      <c r="D144" s="12" t="s">
        <v>265</v>
      </c>
      <c r="E144" s="10" t="s">
        <v>145</v>
      </c>
      <c r="F144" s="42">
        <v>21.95</v>
      </c>
      <c r="G144" s="5">
        <v>72314.039999999994</v>
      </c>
      <c r="H144" s="43">
        <f>G144/$G$147*100</f>
        <v>0.71776059983972718</v>
      </c>
      <c r="I144" s="67" t="s">
        <v>15</v>
      </c>
      <c r="J144" s="68">
        <v>0</v>
      </c>
      <c r="K144" s="68">
        <f>J144/$J$147*100</f>
        <v>0</v>
      </c>
      <c r="L144" s="42" t="s">
        <v>15</v>
      </c>
      <c r="M144" s="5">
        <v>0</v>
      </c>
      <c r="N144" s="43">
        <f>M144/$M$147*100</f>
        <v>0</v>
      </c>
      <c r="O144" s="67" t="s">
        <v>15</v>
      </c>
      <c r="P144" s="68">
        <v>0</v>
      </c>
      <c r="Q144" s="68">
        <v>0</v>
      </c>
    </row>
    <row r="145" spans="1:77">
      <c r="B145" s="54">
        <v>2282</v>
      </c>
      <c r="C145" s="13" t="s">
        <v>84</v>
      </c>
      <c r="D145" s="26" t="s">
        <v>85</v>
      </c>
      <c r="E145" s="10" t="s">
        <v>30</v>
      </c>
      <c r="F145" s="42" t="s">
        <v>15</v>
      </c>
      <c r="G145" s="5">
        <v>0</v>
      </c>
      <c r="H145" s="43">
        <f t="shared" si="18"/>
        <v>0</v>
      </c>
      <c r="I145" s="3" t="s">
        <v>15</v>
      </c>
      <c r="J145" s="5">
        <v>0</v>
      </c>
      <c r="K145" s="5">
        <f t="shared" si="19"/>
        <v>0</v>
      </c>
      <c r="L145" s="65">
        <v>26.69</v>
      </c>
      <c r="M145" s="64">
        <v>146117.54</v>
      </c>
      <c r="N145" s="66">
        <f t="shared" si="20"/>
        <v>0.92299539242064343</v>
      </c>
      <c r="O145" s="3" t="s">
        <v>15</v>
      </c>
      <c r="P145" s="5">
        <v>0</v>
      </c>
      <c r="Q145" s="5">
        <v>0</v>
      </c>
    </row>
    <row r="146" spans="1:77">
      <c r="B146" s="54">
        <v>2380</v>
      </c>
      <c r="C146" s="13" t="s">
        <v>260</v>
      </c>
      <c r="D146" s="12" t="s">
        <v>261</v>
      </c>
      <c r="E146" s="10" t="s">
        <v>145</v>
      </c>
      <c r="F146" s="42">
        <v>20.41</v>
      </c>
      <c r="G146" s="5">
        <v>24220.959999999999</v>
      </c>
      <c r="H146" s="43">
        <f t="shared" si="18"/>
        <v>0.24040768263388462</v>
      </c>
      <c r="I146" s="67" t="s">
        <v>15</v>
      </c>
      <c r="J146" s="68">
        <v>0</v>
      </c>
      <c r="K146" s="68">
        <f t="shared" si="19"/>
        <v>0</v>
      </c>
      <c r="L146" s="72" t="s">
        <v>15</v>
      </c>
      <c r="M146" s="68">
        <v>0</v>
      </c>
      <c r="N146" s="73">
        <f t="shared" si="20"/>
        <v>0</v>
      </c>
      <c r="O146" s="67" t="s">
        <v>15</v>
      </c>
      <c r="P146" s="68">
        <v>0</v>
      </c>
      <c r="Q146" s="68">
        <v>0</v>
      </c>
    </row>
    <row r="147" spans="1:77">
      <c r="B147" s="59"/>
      <c r="C147" s="15"/>
      <c r="D147" s="15"/>
      <c r="E147" s="17"/>
      <c r="F147" s="60"/>
      <c r="G147" s="7">
        <f>SUM(G6:G146)</f>
        <v>10074952.569999998</v>
      </c>
      <c r="H147" s="61"/>
      <c r="I147" s="6"/>
      <c r="J147" s="7">
        <f>SUM(J6:J146)</f>
        <v>3943213.3000000003</v>
      </c>
      <c r="K147" s="7"/>
      <c r="L147" s="60"/>
      <c r="M147" s="7">
        <f>SUM(M6:M146)</f>
        <v>15830798.419999998</v>
      </c>
      <c r="N147" s="61"/>
      <c r="O147" s="8"/>
      <c r="P147" s="7">
        <f>SUM(P6:P146)</f>
        <v>0</v>
      </c>
      <c r="Q147" s="7"/>
      <c r="R147" s="3"/>
    </row>
    <row r="148" spans="1:77">
      <c r="C148" t="s">
        <v>343</v>
      </c>
      <c r="E148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X148" s="81"/>
      <c r="BY148" s="82"/>
    </row>
    <row r="149" spans="1:77">
      <c r="C149" t="s">
        <v>328</v>
      </c>
      <c r="E149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X149" s="81"/>
      <c r="BY149" s="82"/>
    </row>
    <row r="150" spans="1:77">
      <c r="C150" t="s">
        <v>347</v>
      </c>
      <c r="E150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X150" s="81"/>
      <c r="BY150" s="82"/>
    </row>
    <row r="151" spans="1:77" ht="20.7">
      <c r="B151" s="83" t="s">
        <v>329</v>
      </c>
      <c r="E151"/>
      <c r="AN151" s="4"/>
      <c r="AO151" s="4"/>
      <c r="AP151" s="4"/>
      <c r="AQ151" s="4"/>
      <c r="AR151" s="4"/>
      <c r="AS151" s="8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F151" s="4"/>
      <c r="BG151" s="4"/>
      <c r="BH151" s="4"/>
      <c r="BI151" s="4"/>
      <c r="BJ151" s="4"/>
      <c r="BL151" s="4"/>
      <c r="BM151" s="4"/>
      <c r="BN151" s="4"/>
      <c r="BO151" s="4"/>
      <c r="BP151" s="4"/>
      <c r="BQ151" s="84"/>
      <c r="BR151" s="4"/>
      <c r="BS151" s="4"/>
      <c r="BT151" s="4"/>
      <c r="BU151" s="4"/>
      <c r="BV151" s="4"/>
    </row>
    <row r="152" spans="1:77">
      <c r="A152" s="4"/>
      <c r="B152" s="4" t="s">
        <v>330</v>
      </c>
      <c r="C152" s="90" t="s">
        <v>331</v>
      </c>
      <c r="D152" s="90"/>
      <c r="E152" s="90"/>
      <c r="F152" s="90"/>
      <c r="G152" s="90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X152" s="81"/>
      <c r="BY152" s="82"/>
    </row>
    <row r="153" spans="1:77">
      <c r="A153" s="4"/>
      <c r="B153" s="4" t="s">
        <v>332</v>
      </c>
      <c r="C153" s="90" t="s">
        <v>333</v>
      </c>
      <c r="D153" s="90"/>
      <c r="E153" s="90"/>
      <c r="F153" s="90"/>
      <c r="G153" s="90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X153" s="81"/>
      <c r="BY153" s="82"/>
    </row>
    <row r="154" spans="1:77">
      <c r="A154" s="4"/>
      <c r="B154" s="4" t="s">
        <v>334</v>
      </c>
      <c r="C154" s="90" t="s">
        <v>335</v>
      </c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X154" s="81"/>
      <c r="BY154" s="82"/>
    </row>
    <row r="155" spans="1:77">
      <c r="A155" s="4"/>
      <c r="C155" s="90" t="s">
        <v>336</v>
      </c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X155" s="81"/>
      <c r="BY155" s="82"/>
    </row>
    <row r="156" spans="1:77">
      <c r="A156" s="4"/>
      <c r="B156" s="4" t="s">
        <v>337</v>
      </c>
      <c r="C156" t="s">
        <v>338</v>
      </c>
      <c r="E156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X156" s="81"/>
      <c r="BY156" s="82"/>
    </row>
    <row r="157" spans="1:77">
      <c r="A157" s="4"/>
      <c r="B157" s="4" t="s">
        <v>341</v>
      </c>
      <c r="C157" s="90" t="s">
        <v>339</v>
      </c>
      <c r="D157" s="90"/>
      <c r="E157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X157" s="81"/>
      <c r="BY157" s="82"/>
    </row>
    <row r="158" spans="1:77">
      <c r="A158" s="4"/>
      <c r="B158" s="4" t="s">
        <v>342</v>
      </c>
      <c r="C158" s="90" t="s">
        <v>340</v>
      </c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84"/>
      <c r="AK158" s="8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X158" s="81"/>
      <c r="BY158" s="82"/>
    </row>
    <row r="159" spans="1:77">
      <c r="A159" s="4"/>
      <c r="B159" s="4"/>
      <c r="C159" s="90"/>
      <c r="D159" s="90"/>
      <c r="E159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X159" s="81"/>
      <c r="BY159" s="82"/>
    </row>
    <row r="160" spans="1:77">
      <c r="A160" s="4"/>
      <c r="B160" s="85"/>
      <c r="C160" s="86"/>
      <c r="D160" s="85"/>
      <c r="E160" s="86"/>
      <c r="F160" s="86"/>
      <c r="AG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X160" s="81"/>
      <c r="BY160" s="82"/>
    </row>
    <row r="161" spans="1:77">
      <c r="A161" s="4"/>
      <c r="B161" s="87"/>
      <c r="C161" s="101" t="s">
        <v>344</v>
      </c>
      <c r="D161" s="90"/>
      <c r="E161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X161" s="81"/>
      <c r="BY161" s="82"/>
    </row>
    <row r="162" spans="1:77">
      <c r="A162" s="4"/>
      <c r="B162" s="88"/>
      <c r="C162" s="101" t="s">
        <v>345</v>
      </c>
      <c r="D162" s="90"/>
      <c r="E162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X162" s="81"/>
      <c r="BY162" s="82"/>
    </row>
    <row r="163" spans="1:77">
      <c r="A163" s="4"/>
      <c r="B163" s="89"/>
      <c r="C163" s="101" t="s">
        <v>346</v>
      </c>
      <c r="D163" s="90"/>
      <c r="E163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X163" s="81"/>
      <c r="BY163" s="82"/>
    </row>
  </sheetData>
  <mergeCells count="15">
    <mergeCell ref="O4:Q4"/>
    <mergeCell ref="C152:G152"/>
    <mergeCell ref="C162:D162"/>
    <mergeCell ref="C163:D163"/>
    <mergeCell ref="C154:AJ154"/>
    <mergeCell ref="C155:AI155"/>
    <mergeCell ref="C157:D157"/>
    <mergeCell ref="C158:AI158"/>
    <mergeCell ref="C159:D159"/>
    <mergeCell ref="C161:D161"/>
    <mergeCell ref="C153:G153"/>
    <mergeCell ref="A1:N1"/>
    <mergeCell ref="F4:H4"/>
    <mergeCell ref="I4:K4"/>
    <mergeCell ref="L4:N4"/>
  </mergeCells>
  <phoneticPr fontId="32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12</vt:lpstr>
    </vt:vector>
  </TitlesOfParts>
  <Company>Gothenburg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Chunsheng</dc:creator>
  <cp:lastModifiedBy>Ana Sofia de Jesus Vaz Luis</cp:lastModifiedBy>
  <dcterms:created xsi:type="dcterms:W3CDTF">2017-09-07T10:53:18Z</dcterms:created>
  <dcterms:modified xsi:type="dcterms:W3CDTF">2025-11-20T15:58:49Z</dcterms:modified>
</cp:coreProperties>
</file>