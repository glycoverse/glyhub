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unet-my.sharepoint.com/personal/ana_luis_medkem_gu_se/Documents/Dokument/MyPapers/Enzyme paper/X_First submission_Cell/"/>
    </mc:Choice>
  </mc:AlternateContent>
  <xr:revisionPtr revIDLastSave="131" documentId="8_{771FC846-DDDF-48EA-8978-2AF6D0B4523D}" xr6:coauthVersionLast="47" xr6:coauthVersionMax="47" xr10:uidLastSave="{0D43D157-6E2F-4B7E-A789-6861F4447D75}"/>
  <bookViews>
    <workbookView xWindow="-93" yWindow="-93" windowWidth="25786" windowHeight="15466" xr2:uid="{00000000-000D-0000-FFFF-FFFF00000000}"/>
  </bookViews>
  <sheets>
    <sheet name="Table S5" sheetId="1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P104" i="17" l="1"/>
  <c r="V115" i="17"/>
  <c r="W12" i="17" s="1"/>
  <c r="P115" i="17"/>
  <c r="Q10" i="17" s="1"/>
  <c r="T94" i="17"/>
  <c r="M115" i="17"/>
  <c r="N17" i="17" s="1"/>
  <c r="J115" i="17"/>
  <c r="K21" i="17" s="1"/>
  <c r="BC115" i="17"/>
  <c r="BD7" i="17" s="1"/>
  <c r="AZ115" i="17"/>
  <c r="BA11" i="17" s="1"/>
  <c r="AE115" i="17"/>
  <c r="AF19" i="17" s="1"/>
  <c r="AB115" i="17"/>
  <c r="AC7" i="17" s="1"/>
  <c r="Y115" i="17"/>
  <c r="Z7" i="17" s="1"/>
  <c r="S115" i="17"/>
  <c r="T21" i="17" s="1"/>
  <c r="BU115" i="17"/>
  <c r="BV114" i="17" s="1"/>
  <c r="BR115" i="17"/>
  <c r="BS114" i="17" s="1"/>
  <c r="BO115" i="17"/>
  <c r="BP112" i="17" s="1"/>
  <c r="BL115" i="17"/>
  <c r="BM110" i="17" s="1"/>
  <c r="BI115" i="17"/>
  <c r="BJ114" i="17" s="1"/>
  <c r="BF115" i="17"/>
  <c r="BG109" i="17" s="1"/>
  <c r="AW115" i="17"/>
  <c r="AX106" i="17" s="1"/>
  <c r="AT115" i="17"/>
  <c r="AU106" i="17" s="1"/>
  <c r="AQ115" i="17"/>
  <c r="AR114" i="17" s="1"/>
  <c r="AN115" i="17"/>
  <c r="AO114" i="17" s="1"/>
  <c r="AK115" i="17"/>
  <c r="AL23" i="17" s="1"/>
  <c r="AH115" i="17"/>
  <c r="AI24" i="17" s="1"/>
  <c r="Z98" i="17" l="1"/>
  <c r="AC98" i="17"/>
  <c r="AF98" i="17"/>
  <c r="AL98" i="17"/>
  <c r="AO99" i="17"/>
  <c r="BS105" i="17"/>
  <c r="AR99" i="17"/>
  <c r="AX100" i="17"/>
  <c r="K89" i="17"/>
  <c r="BA99" i="17"/>
  <c r="BV105" i="17"/>
  <c r="BD99" i="17"/>
  <c r="AI98" i="17"/>
  <c r="BG100" i="17"/>
  <c r="BJ103" i="17"/>
  <c r="N93" i="17"/>
  <c r="BM104" i="17"/>
  <c r="W94" i="17"/>
  <c r="Q94" i="17"/>
  <c r="BA89" i="17"/>
  <c r="BA77" i="17"/>
  <c r="BA41" i="17"/>
  <c r="BA34" i="17"/>
  <c r="BA13" i="17"/>
  <c r="BA82" i="17"/>
  <c r="BA25" i="17"/>
  <c r="BD101" i="17"/>
  <c r="BD85" i="17"/>
  <c r="BD78" i="17"/>
  <c r="BD70" i="17"/>
  <c r="BD57" i="17"/>
  <c r="BD89" i="17"/>
  <c r="BD69" i="17"/>
  <c r="BD62" i="17"/>
  <c r="BD25" i="17"/>
  <c r="BD14" i="17"/>
  <c r="BA26" i="17"/>
  <c r="BA18" i="17"/>
  <c r="BA105" i="17"/>
  <c r="BA98" i="17"/>
  <c r="BA90" i="17"/>
  <c r="BA74" i="17"/>
  <c r="BA73" i="17"/>
  <c r="BA56" i="17"/>
  <c r="BA45" i="17"/>
  <c r="BA72" i="17"/>
  <c r="BA10" i="17"/>
  <c r="BD54" i="17"/>
  <c r="BA66" i="17"/>
  <c r="BA9" i="17"/>
  <c r="BD53" i="17"/>
  <c r="BA114" i="17"/>
  <c r="BA61" i="17"/>
  <c r="BD110" i="17"/>
  <c r="BD46" i="17"/>
  <c r="BA109" i="17"/>
  <c r="BA58" i="17"/>
  <c r="BD105" i="17"/>
  <c r="BD41" i="17"/>
  <c r="BA106" i="17"/>
  <c r="BA57" i="17"/>
  <c r="BD102" i="17"/>
  <c r="BD38" i="17"/>
  <c r="BD37" i="17"/>
  <c r="BA104" i="17"/>
  <c r="BA50" i="17"/>
  <c r="BD94" i="17"/>
  <c r="BD30" i="17"/>
  <c r="BA93" i="17"/>
  <c r="BA42" i="17"/>
  <c r="BD86" i="17"/>
  <c r="BD22" i="17"/>
  <c r="BD21" i="17"/>
  <c r="BA88" i="17"/>
  <c r="BA29" i="17"/>
  <c r="BD73" i="17"/>
  <c r="BD9" i="17"/>
  <c r="BA40" i="17"/>
  <c r="BA24" i="17"/>
  <c r="BA8" i="17"/>
  <c r="BD100" i="17"/>
  <c r="BD84" i="17"/>
  <c r="BD68" i="17"/>
  <c r="BD52" i="17"/>
  <c r="BD36" i="17"/>
  <c r="BD20" i="17"/>
  <c r="BA103" i="17"/>
  <c r="BA87" i="17"/>
  <c r="BA71" i="17"/>
  <c r="BA55" i="17"/>
  <c r="BA39" i="17"/>
  <c r="BA23" i="17"/>
  <c r="BA7" i="17"/>
  <c r="BD83" i="17"/>
  <c r="BD67" i="17"/>
  <c r="BD51" i="17"/>
  <c r="BD35" i="17"/>
  <c r="BD19" i="17"/>
  <c r="BA102" i="17"/>
  <c r="BA86" i="17"/>
  <c r="BA70" i="17"/>
  <c r="BA54" i="17"/>
  <c r="BA38" i="17"/>
  <c r="BA22" i="17"/>
  <c r="BD114" i="17"/>
  <c r="BD98" i="17"/>
  <c r="BD82" i="17"/>
  <c r="BD66" i="17"/>
  <c r="BD50" i="17"/>
  <c r="BD34" i="17"/>
  <c r="BD18" i="17"/>
  <c r="BA101" i="17"/>
  <c r="BA85" i="17"/>
  <c r="BA69" i="17"/>
  <c r="BA53" i="17"/>
  <c r="BA37" i="17"/>
  <c r="BA21" i="17"/>
  <c r="BD113" i="17"/>
  <c r="BD97" i="17"/>
  <c r="BD81" i="17"/>
  <c r="BD65" i="17"/>
  <c r="BD49" i="17"/>
  <c r="BD33" i="17"/>
  <c r="BD17" i="17"/>
  <c r="BA100" i="17"/>
  <c r="BA84" i="17"/>
  <c r="BA68" i="17"/>
  <c r="BA52" i="17"/>
  <c r="BA36" i="17"/>
  <c r="BA20" i="17"/>
  <c r="BD112" i="17"/>
  <c r="BD96" i="17"/>
  <c r="BD80" i="17"/>
  <c r="BD64" i="17"/>
  <c r="BD48" i="17"/>
  <c r="BD32" i="17"/>
  <c r="BD16" i="17"/>
  <c r="BA83" i="17"/>
  <c r="BA67" i="17"/>
  <c r="BA51" i="17"/>
  <c r="BA35" i="17"/>
  <c r="BA19" i="17"/>
  <c r="BD111" i="17"/>
  <c r="BD95" i="17"/>
  <c r="BD79" i="17"/>
  <c r="BD63" i="17"/>
  <c r="BD47" i="17"/>
  <c r="BD31" i="17"/>
  <c r="BD15" i="17"/>
  <c r="BA113" i="17"/>
  <c r="BA97" i="17"/>
  <c r="BA81" i="17"/>
  <c r="BA65" i="17"/>
  <c r="BA49" i="17"/>
  <c r="BA33" i="17"/>
  <c r="BA17" i="17"/>
  <c r="BD109" i="17"/>
  <c r="BD93" i="17"/>
  <c r="BD77" i="17"/>
  <c r="BD61" i="17"/>
  <c r="BD45" i="17"/>
  <c r="BD29" i="17"/>
  <c r="BD13" i="17"/>
  <c r="BA112" i="17"/>
  <c r="BA96" i="17"/>
  <c r="BA80" i="17"/>
  <c r="BA64" i="17"/>
  <c r="BA48" i="17"/>
  <c r="BA32" i="17"/>
  <c r="BA16" i="17"/>
  <c r="BD108" i="17"/>
  <c r="BD92" i="17"/>
  <c r="BD76" i="17"/>
  <c r="BD60" i="17"/>
  <c r="BD44" i="17"/>
  <c r="BD28" i="17"/>
  <c r="BD12" i="17"/>
  <c r="BA111" i="17"/>
  <c r="BA95" i="17"/>
  <c r="BA79" i="17"/>
  <c r="BA63" i="17"/>
  <c r="BA47" i="17"/>
  <c r="BA31" i="17"/>
  <c r="BA15" i="17"/>
  <c r="BD107" i="17"/>
  <c r="BD91" i="17"/>
  <c r="BD75" i="17"/>
  <c r="BD59" i="17"/>
  <c r="BD43" i="17"/>
  <c r="BD27" i="17"/>
  <c r="BD11" i="17"/>
  <c r="BA110" i="17"/>
  <c r="BA94" i="17"/>
  <c r="BA78" i="17"/>
  <c r="BA62" i="17"/>
  <c r="BA46" i="17"/>
  <c r="BA30" i="17"/>
  <c r="BA14" i="17"/>
  <c r="BD106" i="17"/>
  <c r="BD90" i="17"/>
  <c r="BD74" i="17"/>
  <c r="BD58" i="17"/>
  <c r="BD42" i="17"/>
  <c r="BD26" i="17"/>
  <c r="BD10" i="17"/>
  <c r="BA108" i="17"/>
  <c r="BA92" i="17"/>
  <c r="BA76" i="17"/>
  <c r="BA60" i="17"/>
  <c r="BA44" i="17"/>
  <c r="BA28" i="17"/>
  <c r="BA12" i="17"/>
  <c r="BD104" i="17"/>
  <c r="BD88" i="17"/>
  <c r="BD72" i="17"/>
  <c r="BD56" i="17"/>
  <c r="BD40" i="17"/>
  <c r="BD24" i="17"/>
  <c r="BD8" i="17"/>
  <c r="BD115" i="17" s="1"/>
  <c r="BA107" i="17"/>
  <c r="BA91" i="17"/>
  <c r="BA75" i="17"/>
  <c r="BA59" i="17"/>
  <c r="BA43" i="17"/>
  <c r="BA27" i="17"/>
  <c r="BD103" i="17"/>
  <c r="BD87" i="17"/>
  <c r="BD71" i="17"/>
  <c r="BD55" i="17"/>
  <c r="BD39" i="17"/>
  <c r="BD23" i="17"/>
  <c r="AC53" i="17"/>
  <c r="AF111" i="17"/>
  <c r="AC68" i="17"/>
  <c r="AF94" i="17"/>
  <c r="AF88" i="17"/>
  <c r="AF82" i="17"/>
  <c r="AF81" i="17"/>
  <c r="AF65" i="17"/>
  <c r="AF80" i="17"/>
  <c r="AF48" i="17"/>
  <c r="AF47" i="17"/>
  <c r="AF46" i="17"/>
  <c r="AF40" i="17"/>
  <c r="AF24" i="17"/>
  <c r="AC52" i="17"/>
  <c r="AC37" i="17"/>
  <c r="AC36" i="17"/>
  <c r="AF34" i="17"/>
  <c r="AC21" i="17"/>
  <c r="AF79" i="17"/>
  <c r="AF33" i="17"/>
  <c r="AC20" i="17"/>
  <c r="AF78" i="17"/>
  <c r="AF32" i="17"/>
  <c r="AF114" i="17"/>
  <c r="AF72" i="17"/>
  <c r="AF31" i="17"/>
  <c r="AF112" i="17"/>
  <c r="AF66" i="17"/>
  <c r="AF30" i="17"/>
  <c r="AF110" i="17"/>
  <c r="AF64" i="17"/>
  <c r="AF18" i="17"/>
  <c r="AC101" i="17"/>
  <c r="AF104" i="17"/>
  <c r="AF63" i="17"/>
  <c r="AF17" i="17"/>
  <c r="AC100" i="17"/>
  <c r="AF62" i="17"/>
  <c r="AF16" i="17"/>
  <c r="AC85" i="17"/>
  <c r="AF97" i="17"/>
  <c r="AF56" i="17"/>
  <c r="AF15" i="17"/>
  <c r="AC84" i="17"/>
  <c r="AF96" i="17"/>
  <c r="AF50" i="17"/>
  <c r="AF14" i="17"/>
  <c r="AC69" i="17"/>
  <c r="AF95" i="17"/>
  <c r="AF49" i="17"/>
  <c r="AF8" i="17"/>
  <c r="AC102" i="17"/>
  <c r="AC86" i="17"/>
  <c r="AC70" i="17"/>
  <c r="AC54" i="17"/>
  <c r="AC38" i="17"/>
  <c r="AC22" i="17"/>
  <c r="AC99" i="17"/>
  <c r="AC82" i="17"/>
  <c r="AC66" i="17"/>
  <c r="AC50" i="17"/>
  <c r="AC34" i="17"/>
  <c r="AC18" i="17"/>
  <c r="AF109" i="17"/>
  <c r="AF93" i="17"/>
  <c r="AF77" i="17"/>
  <c r="AF61" i="17"/>
  <c r="AF45" i="17"/>
  <c r="AF29" i="17"/>
  <c r="AF13" i="17"/>
  <c r="AC83" i="17"/>
  <c r="AC114" i="17"/>
  <c r="AC97" i="17"/>
  <c r="AC81" i="17"/>
  <c r="AC65" i="17"/>
  <c r="AC49" i="17"/>
  <c r="AC33" i="17"/>
  <c r="AC17" i="17"/>
  <c r="AF108" i="17"/>
  <c r="AF92" i="17"/>
  <c r="AF76" i="17"/>
  <c r="AF60" i="17"/>
  <c r="AF44" i="17"/>
  <c r="AF28" i="17"/>
  <c r="AF12" i="17"/>
  <c r="AC112" i="17"/>
  <c r="AC96" i="17"/>
  <c r="AC80" i="17"/>
  <c r="AC64" i="17"/>
  <c r="AC48" i="17"/>
  <c r="AC32" i="17"/>
  <c r="AC16" i="17"/>
  <c r="AF107" i="17"/>
  <c r="AF91" i="17"/>
  <c r="AF75" i="17"/>
  <c r="AF59" i="17"/>
  <c r="AF43" i="17"/>
  <c r="AF27" i="17"/>
  <c r="AF11" i="17"/>
  <c r="AC111" i="17"/>
  <c r="AC95" i="17"/>
  <c r="AC79" i="17"/>
  <c r="AC63" i="17"/>
  <c r="AC47" i="17"/>
  <c r="AC31" i="17"/>
  <c r="AC15" i="17"/>
  <c r="AF106" i="17"/>
  <c r="AF90" i="17"/>
  <c r="AF74" i="17"/>
  <c r="AF58" i="17"/>
  <c r="AF42" i="17"/>
  <c r="AF26" i="17"/>
  <c r="AF10" i="17"/>
  <c r="AC67" i="17"/>
  <c r="AC19" i="17"/>
  <c r="AC110" i="17"/>
  <c r="AC94" i="17"/>
  <c r="AC78" i="17"/>
  <c r="AC62" i="17"/>
  <c r="AC46" i="17"/>
  <c r="AC30" i="17"/>
  <c r="AC14" i="17"/>
  <c r="AF105" i="17"/>
  <c r="AF89" i="17"/>
  <c r="AF73" i="17"/>
  <c r="AF57" i="17"/>
  <c r="AF41" i="17"/>
  <c r="AF25" i="17"/>
  <c r="AF9" i="17"/>
  <c r="AC109" i="17"/>
  <c r="AC93" i="17"/>
  <c r="AC77" i="17"/>
  <c r="AC61" i="17"/>
  <c r="AC45" i="17"/>
  <c r="AC29" i="17"/>
  <c r="AC13" i="17"/>
  <c r="AC35" i="17"/>
  <c r="AC108" i="17"/>
  <c r="AC92" i="17"/>
  <c r="AC76" i="17"/>
  <c r="AC60" i="17"/>
  <c r="AC44" i="17"/>
  <c r="AC28" i="17"/>
  <c r="AC12" i="17"/>
  <c r="AF103" i="17"/>
  <c r="AF87" i="17"/>
  <c r="AF71" i="17"/>
  <c r="AF55" i="17"/>
  <c r="AF39" i="17"/>
  <c r="AF23" i="17"/>
  <c r="AF7" i="17"/>
  <c r="AC107" i="17"/>
  <c r="AC91" i="17"/>
  <c r="AC75" i="17"/>
  <c r="AC59" i="17"/>
  <c r="AC43" i="17"/>
  <c r="AC27" i="17"/>
  <c r="AC11" i="17"/>
  <c r="AF102" i="17"/>
  <c r="AF86" i="17"/>
  <c r="AF70" i="17"/>
  <c r="AF54" i="17"/>
  <c r="AF38" i="17"/>
  <c r="AF22" i="17"/>
  <c r="AC106" i="17"/>
  <c r="AC90" i="17"/>
  <c r="AC74" i="17"/>
  <c r="AC58" i="17"/>
  <c r="AC42" i="17"/>
  <c r="AC26" i="17"/>
  <c r="AC10" i="17"/>
  <c r="AF101" i="17"/>
  <c r="AF85" i="17"/>
  <c r="AF69" i="17"/>
  <c r="AF53" i="17"/>
  <c r="AF37" i="17"/>
  <c r="AF21" i="17"/>
  <c r="AC51" i="17"/>
  <c r="AC105" i="17"/>
  <c r="AC89" i="17"/>
  <c r="AC73" i="17"/>
  <c r="AC57" i="17"/>
  <c r="AC41" i="17"/>
  <c r="AC25" i="17"/>
  <c r="AC9" i="17"/>
  <c r="AF100" i="17"/>
  <c r="AF84" i="17"/>
  <c r="AF68" i="17"/>
  <c r="AF52" i="17"/>
  <c r="AF36" i="17"/>
  <c r="AF20" i="17"/>
  <c r="AF113" i="17"/>
  <c r="AC104" i="17"/>
  <c r="AC88" i="17"/>
  <c r="AC72" i="17"/>
  <c r="AC56" i="17"/>
  <c r="AC40" i="17"/>
  <c r="AC24" i="17"/>
  <c r="AC8" i="17"/>
  <c r="AF99" i="17"/>
  <c r="AF83" i="17"/>
  <c r="AF67" i="17"/>
  <c r="AF51" i="17"/>
  <c r="AF35" i="17"/>
  <c r="AC113" i="17"/>
  <c r="AC103" i="17"/>
  <c r="AC87" i="17"/>
  <c r="AC71" i="17"/>
  <c r="AC55" i="17"/>
  <c r="AC39" i="17"/>
  <c r="AC23" i="17"/>
  <c r="W87" i="17"/>
  <c r="W73" i="17"/>
  <c r="W72" i="17"/>
  <c r="W74" i="17"/>
  <c r="W55" i="17"/>
  <c r="W39" i="17"/>
  <c r="W26" i="17"/>
  <c r="W25" i="17"/>
  <c r="W24" i="17"/>
  <c r="W23" i="17"/>
  <c r="W10" i="17"/>
  <c r="W9" i="17"/>
  <c r="W103" i="17"/>
  <c r="Z82" i="17"/>
  <c r="W90" i="17"/>
  <c r="Z66" i="17"/>
  <c r="W89" i="17"/>
  <c r="Z53" i="17"/>
  <c r="W88" i="17"/>
  <c r="Z18" i="17"/>
  <c r="Z69" i="17"/>
  <c r="Z68" i="17"/>
  <c r="Z67" i="17"/>
  <c r="Z52" i="17"/>
  <c r="Z114" i="17"/>
  <c r="Z51" i="17"/>
  <c r="W71" i="17"/>
  <c r="Z102" i="17"/>
  <c r="Z50" i="17"/>
  <c r="W58" i="17"/>
  <c r="Z101" i="17"/>
  <c r="Z37" i="17"/>
  <c r="W57" i="17"/>
  <c r="Z100" i="17"/>
  <c r="Z36" i="17"/>
  <c r="W56" i="17"/>
  <c r="Z99" i="17"/>
  <c r="Z35" i="17"/>
  <c r="Z34" i="17"/>
  <c r="W106" i="17"/>
  <c r="W42" i="17"/>
  <c r="Z85" i="17"/>
  <c r="Z21" i="17"/>
  <c r="W105" i="17"/>
  <c r="W41" i="17"/>
  <c r="Z84" i="17"/>
  <c r="Z20" i="17"/>
  <c r="W104" i="17"/>
  <c r="W40" i="17"/>
  <c r="Z83" i="17"/>
  <c r="Z19" i="17"/>
  <c r="W107" i="17"/>
  <c r="W91" i="17"/>
  <c r="W75" i="17"/>
  <c r="W59" i="17"/>
  <c r="W43" i="17"/>
  <c r="W27" i="17"/>
  <c r="W11" i="17"/>
  <c r="Z86" i="17"/>
  <c r="Z70" i="17"/>
  <c r="Z54" i="17"/>
  <c r="Z38" i="17"/>
  <c r="Z22" i="17"/>
  <c r="W102" i="17"/>
  <c r="W86" i="17"/>
  <c r="W70" i="17"/>
  <c r="W54" i="17"/>
  <c r="W38" i="17"/>
  <c r="W22" i="17"/>
  <c r="Z113" i="17"/>
  <c r="Z97" i="17"/>
  <c r="Z81" i="17"/>
  <c r="Z65" i="17"/>
  <c r="Z49" i="17"/>
  <c r="Z33" i="17"/>
  <c r="Z17" i="17"/>
  <c r="W101" i="17"/>
  <c r="W85" i="17"/>
  <c r="W69" i="17"/>
  <c r="W53" i="17"/>
  <c r="W37" i="17"/>
  <c r="W21" i="17"/>
  <c r="Z112" i="17"/>
  <c r="Z96" i="17"/>
  <c r="Z80" i="17"/>
  <c r="Z64" i="17"/>
  <c r="Z48" i="17"/>
  <c r="Z32" i="17"/>
  <c r="Z16" i="17"/>
  <c r="W7" i="17"/>
  <c r="W100" i="17"/>
  <c r="W84" i="17"/>
  <c r="W68" i="17"/>
  <c r="W52" i="17"/>
  <c r="W36" i="17"/>
  <c r="W20" i="17"/>
  <c r="Z111" i="17"/>
  <c r="Z95" i="17"/>
  <c r="Z79" i="17"/>
  <c r="Z63" i="17"/>
  <c r="Z47" i="17"/>
  <c r="Z31" i="17"/>
  <c r="Z15" i="17"/>
  <c r="W8" i="17"/>
  <c r="W99" i="17"/>
  <c r="W83" i="17"/>
  <c r="W67" i="17"/>
  <c r="W51" i="17"/>
  <c r="W35" i="17"/>
  <c r="W19" i="17"/>
  <c r="Z110" i="17"/>
  <c r="Z94" i="17"/>
  <c r="Z78" i="17"/>
  <c r="Z62" i="17"/>
  <c r="Z46" i="17"/>
  <c r="Z30" i="17"/>
  <c r="Z14" i="17"/>
  <c r="W114" i="17"/>
  <c r="W98" i="17"/>
  <c r="W82" i="17"/>
  <c r="W66" i="17"/>
  <c r="W50" i="17"/>
  <c r="W34" i="17"/>
  <c r="W18" i="17"/>
  <c r="Z109" i="17"/>
  <c r="Z93" i="17"/>
  <c r="Z77" i="17"/>
  <c r="Z61" i="17"/>
  <c r="Z45" i="17"/>
  <c r="Z29" i="17"/>
  <c r="Z13" i="17"/>
  <c r="W113" i="17"/>
  <c r="W97" i="17"/>
  <c r="W81" i="17"/>
  <c r="W65" i="17"/>
  <c r="W49" i="17"/>
  <c r="W33" i="17"/>
  <c r="W17" i="17"/>
  <c r="Z108" i="17"/>
  <c r="Z92" i="17"/>
  <c r="Z76" i="17"/>
  <c r="Z60" i="17"/>
  <c r="Z44" i="17"/>
  <c r="Z28" i="17"/>
  <c r="Z12" i="17"/>
  <c r="W112" i="17"/>
  <c r="W96" i="17"/>
  <c r="W80" i="17"/>
  <c r="W64" i="17"/>
  <c r="W48" i="17"/>
  <c r="W32" i="17"/>
  <c r="W16" i="17"/>
  <c r="Z107" i="17"/>
  <c r="Z91" i="17"/>
  <c r="Z75" i="17"/>
  <c r="Z59" i="17"/>
  <c r="Z43" i="17"/>
  <c r="Z27" i="17"/>
  <c r="Z11" i="17"/>
  <c r="W111" i="17"/>
  <c r="W95" i="17"/>
  <c r="W79" i="17"/>
  <c r="W63" i="17"/>
  <c r="W47" i="17"/>
  <c r="W31" i="17"/>
  <c r="W15" i="17"/>
  <c r="Z106" i="17"/>
  <c r="Z90" i="17"/>
  <c r="Z74" i="17"/>
  <c r="Z58" i="17"/>
  <c r="Z42" i="17"/>
  <c r="Z26" i="17"/>
  <c r="Z10" i="17"/>
  <c r="W110" i="17"/>
  <c r="W78" i="17"/>
  <c r="W62" i="17"/>
  <c r="W46" i="17"/>
  <c r="W30" i="17"/>
  <c r="W14" i="17"/>
  <c r="Z105" i="17"/>
  <c r="Z89" i="17"/>
  <c r="Z73" i="17"/>
  <c r="Z57" i="17"/>
  <c r="Z41" i="17"/>
  <c r="Z25" i="17"/>
  <c r="Z9" i="17"/>
  <c r="W109" i="17"/>
  <c r="W93" i="17"/>
  <c r="W77" i="17"/>
  <c r="W61" i="17"/>
  <c r="W45" i="17"/>
  <c r="W29" i="17"/>
  <c r="W13" i="17"/>
  <c r="Z104" i="17"/>
  <c r="Z88" i="17"/>
  <c r="Z72" i="17"/>
  <c r="Z56" i="17"/>
  <c r="Z40" i="17"/>
  <c r="Z24" i="17"/>
  <c r="Z8" i="17"/>
  <c r="W108" i="17"/>
  <c r="W92" i="17"/>
  <c r="W76" i="17"/>
  <c r="W60" i="17"/>
  <c r="W44" i="17"/>
  <c r="W28" i="17"/>
  <c r="Z103" i="17"/>
  <c r="Z87" i="17"/>
  <c r="Z71" i="17"/>
  <c r="Z55" i="17"/>
  <c r="Z39" i="17"/>
  <c r="Z23" i="17"/>
  <c r="BS8" i="17"/>
  <c r="BS10" i="17"/>
  <c r="T63" i="17"/>
  <c r="BS11" i="17"/>
  <c r="BS89" i="17"/>
  <c r="BS14" i="17"/>
  <c r="Q105" i="17"/>
  <c r="BS7" i="17"/>
  <c r="T70" i="17"/>
  <c r="BS13" i="17"/>
  <c r="BS15" i="17"/>
  <c r="BS16" i="17"/>
  <c r="BS18" i="17"/>
  <c r="Q89" i="17"/>
  <c r="BS20" i="17"/>
  <c r="Q73" i="17"/>
  <c r="BS17" i="17"/>
  <c r="BS23" i="17"/>
  <c r="Q57" i="17"/>
  <c r="BS41" i="17"/>
  <c r="T68" i="17"/>
  <c r="BS46" i="17"/>
  <c r="T67" i="17"/>
  <c r="Q41" i="17"/>
  <c r="T54" i="17"/>
  <c r="Q25" i="17"/>
  <c r="T52" i="17"/>
  <c r="BS92" i="17"/>
  <c r="Q9" i="17"/>
  <c r="T51" i="17"/>
  <c r="BS95" i="17"/>
  <c r="T111" i="17"/>
  <c r="T47" i="17"/>
  <c r="T102" i="17"/>
  <c r="T38" i="17"/>
  <c r="T100" i="17"/>
  <c r="T36" i="17"/>
  <c r="T99" i="17"/>
  <c r="T35" i="17"/>
  <c r="T95" i="17"/>
  <c r="T31" i="17"/>
  <c r="T86" i="17"/>
  <c r="T22" i="17"/>
  <c r="T84" i="17"/>
  <c r="T20" i="17"/>
  <c r="T83" i="17"/>
  <c r="T19" i="17"/>
  <c r="T79" i="17"/>
  <c r="T15" i="17"/>
  <c r="Q72" i="17"/>
  <c r="Q56" i="17"/>
  <c r="Q40" i="17"/>
  <c r="Q24" i="17"/>
  <c r="Q8" i="17"/>
  <c r="Q103" i="17"/>
  <c r="Q87" i="17"/>
  <c r="Q71" i="17"/>
  <c r="Q55" i="17"/>
  <c r="Q39" i="17"/>
  <c r="Q23" i="17"/>
  <c r="T114" i="17"/>
  <c r="T98" i="17"/>
  <c r="T82" i="17"/>
  <c r="T66" i="17"/>
  <c r="T50" i="17"/>
  <c r="T34" i="17"/>
  <c r="T18" i="17"/>
  <c r="Q102" i="17"/>
  <c r="Q86" i="17"/>
  <c r="Q70" i="17"/>
  <c r="Q54" i="17"/>
  <c r="Q38" i="17"/>
  <c r="Q22" i="17"/>
  <c r="T113" i="17"/>
  <c r="T97" i="17"/>
  <c r="T81" i="17"/>
  <c r="T65" i="17"/>
  <c r="T49" i="17"/>
  <c r="T33" i="17"/>
  <c r="T17" i="17"/>
  <c r="Q7" i="17"/>
  <c r="Q101" i="17"/>
  <c r="Q85" i="17"/>
  <c r="Q69" i="17"/>
  <c r="Q53" i="17"/>
  <c r="Q37" i="17"/>
  <c r="Q21" i="17"/>
  <c r="T112" i="17"/>
  <c r="T96" i="17"/>
  <c r="T80" i="17"/>
  <c r="T64" i="17"/>
  <c r="T48" i="17"/>
  <c r="T32" i="17"/>
  <c r="T16" i="17"/>
  <c r="Q99" i="17"/>
  <c r="Q83" i="17"/>
  <c r="Q67" i="17"/>
  <c r="Q51" i="17"/>
  <c r="Q35" i="17"/>
  <c r="Q19" i="17"/>
  <c r="T110" i="17"/>
  <c r="T78" i="17"/>
  <c r="T62" i="17"/>
  <c r="T46" i="17"/>
  <c r="T30" i="17"/>
  <c r="T14" i="17"/>
  <c r="Q84" i="17"/>
  <c r="Q114" i="17"/>
  <c r="Q98" i="17"/>
  <c r="Q82" i="17"/>
  <c r="Q66" i="17"/>
  <c r="Q50" i="17"/>
  <c r="Q34" i="17"/>
  <c r="Q18" i="17"/>
  <c r="T109" i="17"/>
  <c r="T93" i="17"/>
  <c r="T77" i="17"/>
  <c r="T61" i="17"/>
  <c r="T45" i="17"/>
  <c r="T29" i="17"/>
  <c r="T13" i="17"/>
  <c r="Q100" i="17"/>
  <c r="Q113" i="17"/>
  <c r="Q97" i="17"/>
  <c r="Q81" i="17"/>
  <c r="Q65" i="17"/>
  <c r="Q49" i="17"/>
  <c r="Q33" i="17"/>
  <c r="Q17" i="17"/>
  <c r="T108" i="17"/>
  <c r="T92" i="17"/>
  <c r="T76" i="17"/>
  <c r="T60" i="17"/>
  <c r="T44" i="17"/>
  <c r="T28" i="17"/>
  <c r="T12" i="17"/>
  <c r="Q112" i="17"/>
  <c r="Q96" i="17"/>
  <c r="Q80" i="17"/>
  <c r="Q64" i="17"/>
  <c r="Q48" i="17"/>
  <c r="Q32" i="17"/>
  <c r="Q16" i="17"/>
  <c r="T107" i="17"/>
  <c r="T91" i="17"/>
  <c r="T75" i="17"/>
  <c r="T59" i="17"/>
  <c r="T43" i="17"/>
  <c r="T27" i="17"/>
  <c r="T11" i="17"/>
  <c r="Q36" i="17"/>
  <c r="Q111" i="17"/>
  <c r="Q95" i="17"/>
  <c r="Q79" i="17"/>
  <c r="Q63" i="17"/>
  <c r="Q47" i="17"/>
  <c r="Q31" i="17"/>
  <c r="Q15" i="17"/>
  <c r="T106" i="17"/>
  <c r="T90" i="17"/>
  <c r="T74" i="17"/>
  <c r="T58" i="17"/>
  <c r="T42" i="17"/>
  <c r="T26" i="17"/>
  <c r="T10" i="17"/>
  <c r="Q88" i="17"/>
  <c r="Q52" i="17"/>
  <c r="Q110" i="17"/>
  <c r="Q78" i="17"/>
  <c r="Q62" i="17"/>
  <c r="Q46" i="17"/>
  <c r="Q30" i="17"/>
  <c r="Q14" i="17"/>
  <c r="T105" i="17"/>
  <c r="T89" i="17"/>
  <c r="T73" i="17"/>
  <c r="T57" i="17"/>
  <c r="T41" i="17"/>
  <c r="T25" i="17"/>
  <c r="T9" i="17"/>
  <c r="Q104" i="17"/>
  <c r="AR31" i="17"/>
  <c r="Q68" i="17"/>
  <c r="Q109" i="17"/>
  <c r="Q93" i="17"/>
  <c r="Q77" i="17"/>
  <c r="Q61" i="17"/>
  <c r="Q45" i="17"/>
  <c r="Q29" i="17"/>
  <c r="Q13" i="17"/>
  <c r="T104" i="17"/>
  <c r="T88" i="17"/>
  <c r="T72" i="17"/>
  <c r="T56" i="17"/>
  <c r="T40" i="17"/>
  <c r="T24" i="17"/>
  <c r="T8" i="17"/>
  <c r="Q20" i="17"/>
  <c r="Q108" i="17"/>
  <c r="Q92" i="17"/>
  <c r="Q76" i="17"/>
  <c r="Q60" i="17"/>
  <c r="Q44" i="17"/>
  <c r="Q28" i="17"/>
  <c r="Q12" i="17"/>
  <c r="T103" i="17"/>
  <c r="T87" i="17"/>
  <c r="T71" i="17"/>
  <c r="T55" i="17"/>
  <c r="T39" i="17"/>
  <c r="T23" i="17"/>
  <c r="T7" i="17"/>
  <c r="Q107" i="17"/>
  <c r="Q91" i="17"/>
  <c r="Q75" i="17"/>
  <c r="Q59" i="17"/>
  <c r="Q43" i="17"/>
  <c r="Q27" i="17"/>
  <c r="Q11" i="17"/>
  <c r="Q106" i="17"/>
  <c r="Q90" i="17"/>
  <c r="Q74" i="17"/>
  <c r="Q58" i="17"/>
  <c r="Q42" i="17"/>
  <c r="Q26" i="17"/>
  <c r="T101" i="17"/>
  <c r="T85" i="17"/>
  <c r="T69" i="17"/>
  <c r="T53" i="17"/>
  <c r="T37" i="17"/>
  <c r="AU11" i="17"/>
  <c r="AU37" i="17"/>
  <c r="BS99" i="17"/>
  <c r="AR11" i="17"/>
  <c r="BS28" i="17"/>
  <c r="BS62" i="17"/>
  <c r="BS45" i="17"/>
  <c r="BS104" i="17"/>
  <c r="AR47" i="17"/>
  <c r="AR72" i="17"/>
  <c r="AR20" i="17"/>
  <c r="BS22" i="17"/>
  <c r="AU57" i="17"/>
  <c r="BM24" i="17"/>
  <c r="BM76" i="17"/>
  <c r="BM16" i="17"/>
  <c r="BM21" i="17"/>
  <c r="BM53" i="17"/>
  <c r="BS84" i="17"/>
  <c r="BM9" i="17"/>
  <c r="BM26" i="17"/>
  <c r="BM18" i="17"/>
  <c r="BM42" i="17"/>
  <c r="BS86" i="17"/>
  <c r="BS31" i="17"/>
  <c r="BS37" i="17"/>
  <c r="BS57" i="17"/>
  <c r="BS64" i="17"/>
  <c r="BS76" i="17"/>
  <c r="AU31" i="17"/>
  <c r="AU9" i="17"/>
  <c r="BS21" i="17"/>
  <c r="BS47" i="17"/>
  <c r="BS27" i="17"/>
  <c r="BS59" i="17"/>
  <c r="BS9" i="17"/>
  <c r="AU18" i="17"/>
  <c r="BS68" i="17"/>
  <c r="BS87" i="17"/>
  <c r="AU13" i="17"/>
  <c r="AU22" i="17"/>
  <c r="BS33" i="17"/>
  <c r="BS78" i="17"/>
  <c r="BS88" i="17"/>
  <c r="BS71" i="17"/>
  <c r="BS19" i="17"/>
  <c r="BS29" i="17"/>
  <c r="BS34" i="17"/>
  <c r="BS42" i="17"/>
  <c r="BS61" i="17"/>
  <c r="BS80" i="17"/>
  <c r="AX7" i="17"/>
  <c r="BS35" i="17"/>
  <c r="BS12" i="17"/>
  <c r="AU20" i="17"/>
  <c r="BS30" i="17"/>
  <c r="BS44" i="17"/>
  <c r="BS55" i="17"/>
  <c r="BS24" i="17"/>
  <c r="BS63" i="17"/>
  <c r="BS75" i="17"/>
  <c r="K39" i="17"/>
  <c r="K103" i="17"/>
  <c r="BS102" i="17"/>
  <c r="K100" i="17"/>
  <c r="BS91" i="17"/>
  <c r="K96" i="17"/>
  <c r="K84" i="17"/>
  <c r="K71" i="17"/>
  <c r="K87" i="17"/>
  <c r="K68" i="17"/>
  <c r="K55" i="17"/>
  <c r="K52" i="17"/>
  <c r="K36" i="17"/>
  <c r="K23" i="17"/>
  <c r="K20" i="17"/>
  <c r="K12" i="17"/>
  <c r="N80" i="17"/>
  <c r="AR60" i="17"/>
  <c r="K99" i="17"/>
  <c r="K67" i="17"/>
  <c r="K19" i="17"/>
  <c r="N95" i="17"/>
  <c r="N15" i="17"/>
  <c r="AR14" i="17"/>
  <c r="AU53" i="17"/>
  <c r="AR69" i="17"/>
  <c r="AR78" i="17"/>
  <c r="AU83" i="17"/>
  <c r="K114" i="17"/>
  <c r="K98" i="17"/>
  <c r="K82" i="17"/>
  <c r="K66" i="17"/>
  <c r="K50" i="17"/>
  <c r="K34" i="17"/>
  <c r="K18" i="17"/>
  <c r="N110" i="17"/>
  <c r="N94" i="17"/>
  <c r="N78" i="17"/>
  <c r="N62" i="17"/>
  <c r="N46" i="17"/>
  <c r="N30" i="17"/>
  <c r="N14" i="17"/>
  <c r="N16" i="17"/>
  <c r="AR53" i="17"/>
  <c r="AR64" i="17"/>
  <c r="AR83" i="17"/>
  <c r="K83" i="17"/>
  <c r="K51" i="17"/>
  <c r="K35" i="17"/>
  <c r="N111" i="17"/>
  <c r="N79" i="17"/>
  <c r="N63" i="17"/>
  <c r="N47" i="17"/>
  <c r="N31" i="17"/>
  <c r="AU14" i="17"/>
  <c r="AR16" i="17"/>
  <c r="AU38" i="17"/>
  <c r="K113" i="17"/>
  <c r="K97" i="17"/>
  <c r="K81" i="17"/>
  <c r="K65" i="17"/>
  <c r="K49" i="17"/>
  <c r="K33" i="17"/>
  <c r="K17" i="17"/>
  <c r="N109" i="17"/>
  <c r="N77" i="17"/>
  <c r="N61" i="17"/>
  <c r="N45" i="17"/>
  <c r="N29" i="17"/>
  <c r="N13" i="17"/>
  <c r="N64" i="17"/>
  <c r="AR12" i="17"/>
  <c r="AR25" i="17"/>
  <c r="K64" i="17"/>
  <c r="N12" i="17"/>
  <c r="AR8" i="17"/>
  <c r="AU10" i="17"/>
  <c r="AU29" i="17"/>
  <c r="AR84" i="17"/>
  <c r="K111" i="17"/>
  <c r="K95" i="17"/>
  <c r="K79" i="17"/>
  <c r="K63" i="17"/>
  <c r="K47" i="17"/>
  <c r="K31" i="17"/>
  <c r="K15" i="17"/>
  <c r="N107" i="17"/>
  <c r="N91" i="17"/>
  <c r="N75" i="17"/>
  <c r="N59" i="17"/>
  <c r="N43" i="17"/>
  <c r="N27" i="17"/>
  <c r="N11" i="17"/>
  <c r="AR10" i="17"/>
  <c r="K80" i="17"/>
  <c r="N44" i="17"/>
  <c r="AU8" i="17"/>
  <c r="AR23" i="17"/>
  <c r="AU32" i="17"/>
  <c r="AR61" i="17"/>
  <c r="AR79" i="17"/>
  <c r="K110" i="17"/>
  <c r="K94" i="17"/>
  <c r="K78" i="17"/>
  <c r="K62" i="17"/>
  <c r="K46" i="17"/>
  <c r="K30" i="17"/>
  <c r="K14" i="17"/>
  <c r="N106" i="17"/>
  <c r="N90" i="17"/>
  <c r="N74" i="17"/>
  <c r="N58" i="17"/>
  <c r="N42" i="17"/>
  <c r="N26" i="17"/>
  <c r="N10" i="17"/>
  <c r="N96" i="17"/>
  <c r="N28" i="17"/>
  <c r="AU23" i="17"/>
  <c r="AU39" i="17"/>
  <c r="AR46" i="17"/>
  <c r="AR50" i="17"/>
  <c r="K109" i="17"/>
  <c r="K93" i="17"/>
  <c r="K77" i="17"/>
  <c r="K61" i="17"/>
  <c r="K45" i="17"/>
  <c r="K29" i="17"/>
  <c r="K13" i="17"/>
  <c r="N105" i="17"/>
  <c r="N89" i="17"/>
  <c r="N73" i="17"/>
  <c r="N57" i="17"/>
  <c r="N41" i="17"/>
  <c r="N25" i="17"/>
  <c r="N9" i="17"/>
  <c r="N32" i="17"/>
  <c r="K112" i="17"/>
  <c r="K32" i="17"/>
  <c r="K16" i="17"/>
  <c r="N108" i="17"/>
  <c r="N92" i="17"/>
  <c r="N76" i="17"/>
  <c r="N60" i="17"/>
  <c r="AR19" i="17"/>
  <c r="AR21" i="17"/>
  <c r="AU46" i="17"/>
  <c r="AR66" i="17"/>
  <c r="AR80" i="17"/>
  <c r="K108" i="17"/>
  <c r="K92" i="17"/>
  <c r="K76" i="17"/>
  <c r="K60" i="17"/>
  <c r="K44" i="17"/>
  <c r="K28" i="17"/>
  <c r="K11" i="17"/>
  <c r="N104" i="17"/>
  <c r="N88" i="17"/>
  <c r="N72" i="17"/>
  <c r="N56" i="17"/>
  <c r="N40" i="17"/>
  <c r="N24" i="17"/>
  <c r="N8" i="17"/>
  <c r="AR71" i="17"/>
  <c r="K107" i="17"/>
  <c r="K91" i="17"/>
  <c r="K75" i="17"/>
  <c r="K59" i="17"/>
  <c r="K43" i="17"/>
  <c r="K27" i="17"/>
  <c r="K10" i="17"/>
  <c r="N103" i="17"/>
  <c r="N87" i="17"/>
  <c r="N71" i="17"/>
  <c r="N55" i="17"/>
  <c r="N39" i="17"/>
  <c r="N23" i="17"/>
  <c r="N7" i="17"/>
  <c r="N112" i="17"/>
  <c r="AR17" i="17"/>
  <c r="AU36" i="17"/>
  <c r="AR43" i="17"/>
  <c r="AR76" i="17"/>
  <c r="K106" i="17"/>
  <c r="K90" i="17"/>
  <c r="K74" i="17"/>
  <c r="K58" i="17"/>
  <c r="K42" i="17"/>
  <c r="K26" i="17"/>
  <c r="K9" i="17"/>
  <c r="N102" i="17"/>
  <c r="N86" i="17"/>
  <c r="N70" i="17"/>
  <c r="N54" i="17"/>
  <c r="N38" i="17"/>
  <c r="N22" i="17"/>
  <c r="N48" i="17"/>
  <c r="K48" i="17"/>
  <c r="AR7" i="17"/>
  <c r="AR15" i="17"/>
  <c r="AU17" i="17"/>
  <c r="AR30" i="17"/>
  <c r="AR33" i="17"/>
  <c r="AU40" i="17"/>
  <c r="AR55" i="17"/>
  <c r="AR67" i="17"/>
  <c r="AR90" i="17"/>
  <c r="AR95" i="17"/>
  <c r="K105" i="17"/>
  <c r="K73" i="17"/>
  <c r="K57" i="17"/>
  <c r="K41" i="17"/>
  <c r="K25" i="17"/>
  <c r="K8" i="17"/>
  <c r="N101" i="17"/>
  <c r="N85" i="17"/>
  <c r="N69" i="17"/>
  <c r="N53" i="17"/>
  <c r="N37" i="17"/>
  <c r="N21" i="17"/>
  <c r="AU19" i="17"/>
  <c r="AU7" i="17"/>
  <c r="AR13" i="17"/>
  <c r="AU15" i="17"/>
  <c r="AR27" i="17"/>
  <c r="K104" i="17"/>
  <c r="K88" i="17"/>
  <c r="K72" i="17"/>
  <c r="K56" i="17"/>
  <c r="K40" i="17"/>
  <c r="K24" i="17"/>
  <c r="K7" i="17"/>
  <c r="N100" i="17"/>
  <c r="N84" i="17"/>
  <c r="N68" i="17"/>
  <c r="N52" i="17"/>
  <c r="N36" i="17"/>
  <c r="N20" i="17"/>
  <c r="N35" i="17"/>
  <c r="AR24" i="17"/>
  <c r="AR44" i="17"/>
  <c r="AR52" i="17"/>
  <c r="K102" i="17"/>
  <c r="K86" i="17"/>
  <c r="K70" i="17"/>
  <c r="K54" i="17"/>
  <c r="K38" i="17"/>
  <c r="K22" i="17"/>
  <c r="N114" i="17"/>
  <c r="N98" i="17"/>
  <c r="N82" i="17"/>
  <c r="N66" i="17"/>
  <c r="N50" i="17"/>
  <c r="N34" i="17"/>
  <c r="N18" i="17"/>
  <c r="AR102" i="17"/>
  <c r="N99" i="17"/>
  <c r="N83" i="17"/>
  <c r="N67" i="17"/>
  <c r="N51" i="17"/>
  <c r="N19" i="17"/>
  <c r="AR22" i="17"/>
  <c r="AU24" i="17"/>
  <c r="AU34" i="17"/>
  <c r="AR41" i="17"/>
  <c r="AR56" i="17"/>
  <c r="AR87" i="17"/>
  <c r="AR91" i="17"/>
  <c r="K101" i="17"/>
  <c r="K85" i="17"/>
  <c r="K69" i="17"/>
  <c r="K53" i="17"/>
  <c r="K37" i="17"/>
  <c r="N113" i="17"/>
  <c r="N97" i="17"/>
  <c r="N81" i="17"/>
  <c r="N65" i="17"/>
  <c r="N49" i="17"/>
  <c r="N33" i="17"/>
  <c r="AU67" i="17"/>
  <c r="AU71" i="17"/>
  <c r="AR110" i="17"/>
  <c r="AR101" i="17"/>
  <c r="AO37" i="17"/>
  <c r="AO29" i="17"/>
  <c r="BS25" i="17"/>
  <c r="BS52" i="17"/>
  <c r="AU61" i="17"/>
  <c r="BS79" i="17"/>
  <c r="BS83" i="17"/>
  <c r="AU30" i="17"/>
  <c r="BS32" i="17"/>
  <c r="AU35" i="17"/>
  <c r="BS65" i="17"/>
  <c r="BS69" i="17"/>
  <c r="BS72" i="17"/>
  <c r="AU80" i="17"/>
  <c r="AU111" i="17"/>
  <c r="AU26" i="17"/>
  <c r="AU28" i="17"/>
  <c r="BS40" i="17"/>
  <c r="AU84" i="17"/>
  <c r="BS111" i="17"/>
  <c r="AU12" i="17"/>
  <c r="AU16" i="17"/>
  <c r="AU43" i="17"/>
  <c r="AU51" i="17"/>
  <c r="BS53" i="17"/>
  <c r="BS56" i="17"/>
  <c r="BS26" i="17"/>
  <c r="AU33" i="17"/>
  <c r="BS38" i="17"/>
  <c r="BS73" i="17"/>
  <c r="BS77" i="17"/>
  <c r="BV26" i="17"/>
  <c r="AU41" i="17"/>
  <c r="BS43" i="17"/>
  <c r="AO46" i="17"/>
  <c r="BS48" i="17"/>
  <c r="BS51" i="17"/>
  <c r="BS70" i="17"/>
  <c r="BS81" i="17"/>
  <c r="BS85" i="17"/>
  <c r="BS93" i="17"/>
  <c r="AO21" i="17"/>
  <c r="BS36" i="17"/>
  <c r="AU49" i="17"/>
  <c r="BS54" i="17"/>
  <c r="BS60" i="17"/>
  <c r="BS67" i="17"/>
  <c r="AU21" i="17"/>
  <c r="AU25" i="17"/>
  <c r="AU27" i="17"/>
  <c r="BS39" i="17"/>
  <c r="AU42" i="17"/>
  <c r="AU44" i="17"/>
  <c r="BS49" i="17"/>
  <c r="AU52" i="17"/>
  <c r="BS94" i="17"/>
  <c r="AI31" i="17"/>
  <c r="BV23" i="17"/>
  <c r="AO20" i="17"/>
  <c r="AI8" i="17"/>
  <c r="AO39" i="17"/>
  <c r="AI65" i="17"/>
  <c r="BS113" i="17"/>
  <c r="AO41" i="17"/>
  <c r="AO8" i="17"/>
  <c r="AO53" i="17"/>
  <c r="AO51" i="17"/>
  <c r="BV20" i="17"/>
  <c r="BS101" i="17"/>
  <c r="BS96" i="17"/>
  <c r="BS107" i="17"/>
  <c r="AO35" i="17"/>
  <c r="AO94" i="17"/>
  <c r="AO25" i="17"/>
  <c r="BP51" i="17"/>
  <c r="BV63" i="17"/>
  <c r="AO27" i="17"/>
  <c r="AO43" i="17"/>
  <c r="AO45" i="17"/>
  <c r="AO9" i="17"/>
  <c r="BP25" i="17"/>
  <c r="BP35" i="17"/>
  <c r="BP47" i="17"/>
  <c r="AO56" i="17"/>
  <c r="AO88" i="17"/>
  <c r="BV39" i="17"/>
  <c r="AO17" i="17"/>
  <c r="AO54" i="17"/>
  <c r="AO82" i="17"/>
  <c r="AO24" i="17"/>
  <c r="BV47" i="17"/>
  <c r="BP85" i="17"/>
  <c r="AO40" i="17"/>
  <c r="BP50" i="17"/>
  <c r="AO10" i="17"/>
  <c r="AO14" i="17"/>
  <c r="AO23" i="17"/>
  <c r="AO36" i="17"/>
  <c r="AL57" i="17"/>
  <c r="BS109" i="17"/>
  <c r="BV40" i="17"/>
  <c r="AO55" i="17"/>
  <c r="AO63" i="17"/>
  <c r="AO80" i="17"/>
  <c r="AO76" i="17"/>
  <c r="AO109" i="17"/>
  <c r="BP73" i="17"/>
  <c r="BM11" i="17"/>
  <c r="BM23" i="17"/>
  <c r="BM31" i="17"/>
  <c r="BM33" i="17"/>
  <c r="BM35" i="17"/>
  <c r="BM68" i="17"/>
  <c r="BJ92" i="17"/>
  <c r="BM28" i="17"/>
  <c r="BM58" i="17"/>
  <c r="BM89" i="17"/>
  <c r="BM100" i="17"/>
  <c r="BJ8" i="17"/>
  <c r="BM13" i="17"/>
  <c r="BM20" i="17"/>
  <c r="BM37" i="17"/>
  <c r="BM39" i="17"/>
  <c r="BM44" i="17"/>
  <c r="BM50" i="17"/>
  <c r="BM63" i="17"/>
  <c r="BM71" i="17"/>
  <c r="BM74" i="17"/>
  <c r="BM77" i="17"/>
  <c r="BM83" i="17"/>
  <c r="BM86" i="17"/>
  <c r="BJ65" i="17"/>
  <c r="BM8" i="17"/>
  <c r="BM46" i="17"/>
  <c r="BM54" i="17"/>
  <c r="BM107" i="17"/>
  <c r="BJ7" i="17"/>
  <c r="BM15" i="17"/>
  <c r="BM30" i="17"/>
  <c r="BM52" i="17"/>
  <c r="BM69" i="17"/>
  <c r="BM7" i="17"/>
  <c r="BM10" i="17"/>
  <c r="BM25" i="17"/>
  <c r="BM32" i="17"/>
  <c r="BM59" i="17"/>
  <c r="BM66" i="17"/>
  <c r="BM75" i="17"/>
  <c r="BM81" i="17"/>
  <c r="BM65" i="17"/>
  <c r="BM17" i="17"/>
  <c r="BM22" i="17"/>
  <c r="BM41" i="17"/>
  <c r="BM78" i="17"/>
  <c r="BM12" i="17"/>
  <c r="BM19" i="17"/>
  <c r="BM34" i="17"/>
  <c r="BM61" i="17"/>
  <c r="BJ27" i="17"/>
  <c r="BM43" i="17"/>
  <c r="BM45" i="17"/>
  <c r="BM60" i="17"/>
  <c r="BM14" i="17"/>
  <c r="BM27" i="17"/>
  <c r="BM29" i="17"/>
  <c r="BM38" i="17"/>
  <c r="BM70" i="17"/>
  <c r="BM84" i="17"/>
  <c r="BM36" i="17"/>
  <c r="BM47" i="17"/>
  <c r="BM49" i="17"/>
  <c r="BM51" i="17"/>
  <c r="BM67" i="17"/>
  <c r="BM73" i="17"/>
  <c r="BM91" i="17"/>
  <c r="BM40" i="17"/>
  <c r="BM55" i="17"/>
  <c r="BM57" i="17"/>
  <c r="BM62" i="17"/>
  <c r="BM79" i="17"/>
  <c r="BM82" i="17"/>
  <c r="BV10" i="17"/>
  <c r="BV18" i="17"/>
  <c r="BV30" i="17"/>
  <c r="BV45" i="17"/>
  <c r="BV61" i="17"/>
  <c r="BV65" i="17"/>
  <c r="BV94" i="17"/>
  <c r="BV97" i="17"/>
  <c r="BV109" i="17"/>
  <c r="BV21" i="17"/>
  <c r="BV27" i="17"/>
  <c r="BV35" i="17"/>
  <c r="AO58" i="17"/>
  <c r="AO70" i="17"/>
  <c r="AO74" i="17"/>
  <c r="BV92" i="17"/>
  <c r="BV113" i="17"/>
  <c r="BV24" i="17"/>
  <c r="BV52" i="17"/>
  <c r="BV54" i="17"/>
  <c r="AU58" i="17"/>
  <c r="AO68" i="17"/>
  <c r="BV80" i="17"/>
  <c r="BV88" i="17"/>
  <c r="AO95" i="17"/>
  <c r="BV103" i="17"/>
  <c r="BV29" i="17"/>
  <c r="BV32" i="17"/>
  <c r="BV37" i="17"/>
  <c r="BV42" i="17"/>
  <c r="AU60" i="17"/>
  <c r="AU64" i="17"/>
  <c r="AU68" i="17"/>
  <c r="BV72" i="17"/>
  <c r="BV86" i="17"/>
  <c r="AO91" i="17"/>
  <c r="AO98" i="17"/>
  <c r="BV100" i="17"/>
  <c r="BV12" i="17"/>
  <c r="BV15" i="17"/>
  <c r="BV56" i="17"/>
  <c r="BV76" i="17"/>
  <c r="BV78" i="17"/>
  <c r="BV84" i="17"/>
  <c r="AU98" i="17"/>
  <c r="AU104" i="17"/>
  <c r="AU114" i="17"/>
  <c r="BV9" i="17"/>
  <c r="BV49" i="17"/>
  <c r="AU89" i="17"/>
  <c r="AU91" i="17"/>
  <c r="BV107" i="17"/>
  <c r="AO111" i="17"/>
  <c r="BV17" i="17"/>
  <c r="BV34" i="17"/>
  <c r="BV51" i="17"/>
  <c r="BV60" i="17"/>
  <c r="BV62" i="17"/>
  <c r="BV64" i="17"/>
  <c r="BV68" i="17"/>
  <c r="AO75" i="17"/>
  <c r="BM87" i="17"/>
  <c r="BV93" i="17"/>
  <c r="BV104" i="17"/>
  <c r="BM111" i="17"/>
  <c r="BV14" i="17"/>
  <c r="BV44" i="17"/>
  <c r="AU55" i="17"/>
  <c r="AO59" i="17"/>
  <c r="AU73" i="17"/>
  <c r="AO77" i="17"/>
  <c r="AO85" i="17"/>
  <c r="AR96" i="17"/>
  <c r="BV101" i="17"/>
  <c r="AU108" i="17"/>
  <c r="BV28" i="17"/>
  <c r="AU77" i="17"/>
  <c r="BM85" i="17"/>
  <c r="BV91" i="17"/>
  <c r="BV111" i="17"/>
  <c r="BV11" i="17"/>
  <c r="BV19" i="17"/>
  <c r="BV41" i="17"/>
  <c r="BV53" i="17"/>
  <c r="BV79" i="17"/>
  <c r="BV81" i="17"/>
  <c r="BV83" i="17"/>
  <c r="BV87" i="17"/>
  <c r="BV89" i="17"/>
  <c r="BV108" i="17"/>
  <c r="BV70" i="17"/>
  <c r="BV8" i="17"/>
  <c r="BV22" i="17"/>
  <c r="BV31" i="17"/>
  <c r="BV36" i="17"/>
  <c r="BV46" i="17"/>
  <c r="BV75" i="17"/>
  <c r="BV96" i="17"/>
  <c r="BV38" i="17"/>
  <c r="BV55" i="17"/>
  <c r="BV59" i="17"/>
  <c r="BV77" i="17"/>
  <c r="BV85" i="17"/>
  <c r="AU92" i="17"/>
  <c r="BV95" i="17"/>
  <c r="BV7" i="17"/>
  <c r="BV16" i="17"/>
  <c r="BV33" i="17"/>
  <c r="BV48" i="17"/>
  <c r="BV69" i="17"/>
  <c r="BV99" i="17"/>
  <c r="BV112" i="17"/>
  <c r="BV13" i="17"/>
  <c r="BV25" i="17"/>
  <c r="BV43" i="17"/>
  <c r="BV57" i="17"/>
  <c r="BV67" i="17"/>
  <c r="BV71" i="17"/>
  <c r="BV73" i="17"/>
  <c r="AU82" i="17"/>
  <c r="AR88" i="17"/>
  <c r="BM90" i="17"/>
  <c r="BM92" i="17"/>
  <c r="BV102" i="17"/>
  <c r="AR106" i="17"/>
  <c r="AR109" i="17"/>
  <c r="AX16" i="17"/>
  <c r="AX45" i="17"/>
  <c r="BJ67" i="17"/>
  <c r="BJ16" i="17"/>
  <c r="AI22" i="17"/>
  <c r="AI114" i="17"/>
  <c r="AX42" i="17"/>
  <c r="BJ33" i="17"/>
  <c r="BJ76" i="17"/>
  <c r="BJ61" i="17"/>
  <c r="AI41" i="17"/>
  <c r="BJ60" i="17"/>
  <c r="AI71" i="17"/>
  <c r="AI78" i="17"/>
  <c r="BM114" i="17"/>
  <c r="AI58" i="17"/>
  <c r="BJ22" i="17"/>
  <c r="AI32" i="17"/>
  <c r="BJ99" i="17"/>
  <c r="BJ74" i="17"/>
  <c r="AI14" i="17"/>
  <c r="BM99" i="17"/>
  <c r="BM101" i="17"/>
  <c r="AX52" i="17"/>
  <c r="BJ112" i="17"/>
  <c r="BJ68" i="17"/>
  <c r="BG9" i="17"/>
  <c r="AX13" i="17"/>
  <c r="AL56" i="17"/>
  <c r="BS110" i="17"/>
  <c r="BM113" i="17"/>
  <c r="BJ9" i="17"/>
  <c r="BJ43" i="17"/>
  <c r="AX72" i="17"/>
  <c r="BM102" i="17"/>
  <c r="BM105" i="17"/>
  <c r="BV110" i="17"/>
  <c r="BG23" i="17"/>
  <c r="BG101" i="17"/>
  <c r="BG106" i="17"/>
  <c r="BP8" i="17"/>
  <c r="BJ23" i="17"/>
  <c r="AX24" i="17"/>
  <c r="AR32" i="17"/>
  <c r="AR40" i="17"/>
  <c r="BP42" i="17"/>
  <c r="BJ57" i="17"/>
  <c r="BG67" i="17"/>
  <c r="AO71" i="17"/>
  <c r="BG76" i="17"/>
  <c r="AX84" i="17"/>
  <c r="AO87" i="17"/>
  <c r="AO90" i="17"/>
  <c r="AU95" i="17"/>
  <c r="BJ101" i="17"/>
  <c r="BJ106" i="17"/>
  <c r="BJ109" i="17"/>
  <c r="BS112" i="17"/>
  <c r="BP109" i="17"/>
  <c r="AL29" i="17"/>
  <c r="BG40" i="17"/>
  <c r="BP41" i="17"/>
  <c r="BG56" i="17"/>
  <c r="BP84" i="17"/>
  <c r="BJ87" i="17"/>
  <c r="BJ90" i="17"/>
  <c r="AL94" i="17"/>
  <c r="AR111" i="17"/>
  <c r="BP114" i="17"/>
  <c r="BG21" i="17"/>
  <c r="AR28" i="17"/>
  <c r="AX30" i="17"/>
  <c r="AX31" i="17"/>
  <c r="AR39" i="17"/>
  <c r="BJ40" i="17"/>
  <c r="AX55" i="17"/>
  <c r="BJ56" i="17"/>
  <c r="BG66" i="17"/>
  <c r="AX71" i="17"/>
  <c r="AR75" i="17"/>
  <c r="BP79" i="17"/>
  <c r="BJ83" i="17"/>
  <c r="AR100" i="17"/>
  <c r="AR103" i="17"/>
  <c r="AR108" i="17"/>
  <c r="BG13" i="17"/>
  <c r="BP14" i="17"/>
  <c r="BG20" i="17"/>
  <c r="BJ21" i="17"/>
  <c r="AR29" i="17"/>
  <c r="BG30" i="17"/>
  <c r="BG31" i="17"/>
  <c r="BG55" i="17"/>
  <c r="AR59" i="17"/>
  <c r="AR63" i="17"/>
  <c r="BJ66" i="17"/>
  <c r="AR70" i="17"/>
  <c r="BG71" i="17"/>
  <c r="BJ75" i="17"/>
  <c r="AR82" i="17"/>
  <c r="AO93" i="17"/>
  <c r="AR94" i="17"/>
  <c r="AX103" i="17"/>
  <c r="AX12" i="17"/>
  <c r="AX19" i="17"/>
  <c r="BJ20" i="17"/>
  <c r="AX28" i="17"/>
  <c r="BJ30" i="17"/>
  <c r="AR38" i="17"/>
  <c r="BJ55" i="17"/>
  <c r="BJ71" i="17"/>
  <c r="AR86" i="17"/>
  <c r="AR93" i="17"/>
  <c r="BG94" i="17"/>
  <c r="BS97" i="17"/>
  <c r="BJ100" i="17"/>
  <c r="BP103" i="17"/>
  <c r="BG105" i="17"/>
  <c r="BP108" i="17"/>
  <c r="BP111" i="17"/>
  <c r="BP15" i="17"/>
  <c r="AR18" i="17"/>
  <c r="BG28" i="17"/>
  <c r="BP39" i="17"/>
  <c r="AR45" i="17"/>
  <c r="AR54" i="17"/>
  <c r="BP63" i="17"/>
  <c r="BP70" i="17"/>
  <c r="BG86" i="17"/>
  <c r="AR92" i="17"/>
  <c r="AU93" i="17"/>
  <c r="BJ94" i="17"/>
  <c r="AO96" i="17"/>
  <c r="BJ105" i="17"/>
  <c r="AU113" i="17"/>
  <c r="BP19" i="17"/>
  <c r="BJ38" i="17"/>
  <c r="BP49" i="17"/>
  <c r="AL53" i="17"/>
  <c r="BP55" i="17"/>
  <c r="BP71" i="17"/>
  <c r="BP82" i="17"/>
  <c r="BJ86" i="17"/>
  <c r="BG93" i="17"/>
  <c r="BP12" i="17"/>
  <c r="BJ54" i="17"/>
  <c r="BJ18" i="17"/>
  <c r="AR26" i="17"/>
  <c r="AR35" i="17"/>
  <c r="AR37" i="17"/>
  <c r="AR62" i="17"/>
  <c r="BG65" i="17"/>
  <c r="AO69" i="17"/>
  <c r="AR74" i="17"/>
  <c r="BP89" i="17"/>
  <c r="BG92" i="17"/>
  <c r="BJ93" i="17"/>
  <c r="AU96" i="17"/>
  <c r="AU99" i="17"/>
  <c r="BS100" i="17"/>
  <c r="BS103" i="17"/>
  <c r="AR107" i="17"/>
  <c r="BS108" i="17"/>
  <c r="AO110" i="17"/>
  <c r="BP113" i="17"/>
  <c r="BG62" i="17"/>
  <c r="BP78" i="17"/>
  <c r="BG107" i="17"/>
  <c r="BJ11" i="17"/>
  <c r="AX26" i="17"/>
  <c r="AR34" i="17"/>
  <c r="AX35" i="17"/>
  <c r="AR36" i="17"/>
  <c r="AR48" i="17"/>
  <c r="AR58" i="17"/>
  <c r="BJ62" i="17"/>
  <c r="BJ69" i="17"/>
  <c r="AX73" i="17"/>
  <c r="BJ102" i="17"/>
  <c r="BJ107" i="17"/>
  <c r="BP110" i="17"/>
  <c r="BP27" i="17"/>
  <c r="BG35" i="17"/>
  <c r="BJ44" i="17"/>
  <c r="BG53" i="17"/>
  <c r="BG73" i="17"/>
  <c r="BP92" i="17"/>
  <c r="BG11" i="17"/>
  <c r="BG26" i="17"/>
  <c r="BG7" i="17"/>
  <c r="AX8" i="17"/>
  <c r="AR9" i="17"/>
  <c r="BJ26" i="17"/>
  <c r="BJ35" i="17"/>
  <c r="BG36" i="17"/>
  <c r="AR42" i="17"/>
  <c r="AR51" i="17"/>
  <c r="BG52" i="17"/>
  <c r="BJ53" i="17"/>
  <c r="AX58" i="17"/>
  <c r="AR68" i="17"/>
  <c r="BJ73" i="17"/>
  <c r="AR77" i="17"/>
  <c r="AR85" i="17"/>
  <c r="BJ88" i="17"/>
  <c r="AR98" i="17"/>
  <c r="AR104" i="17"/>
  <c r="AR112" i="17"/>
  <c r="BG8" i="17"/>
  <c r="BP10" i="17"/>
  <c r="BP34" i="17"/>
  <c r="BJ36" i="17"/>
  <c r="BG43" i="17"/>
  <c r="BJ52" i="17"/>
  <c r="BG61" i="17"/>
  <c r="BJ91" i="17"/>
  <c r="BG112" i="17"/>
  <c r="AI110" i="17"/>
  <c r="AI93" i="17"/>
  <c r="AI56" i="17"/>
  <c r="AI74" i="17"/>
  <c r="AI40" i="17"/>
  <c r="AI16" i="17"/>
  <c r="AI87" i="17"/>
  <c r="AI53" i="17"/>
  <c r="AI23" i="17"/>
  <c r="AI97" i="17"/>
  <c r="AI62" i="17"/>
  <c r="AI39" i="17"/>
  <c r="AI34" i="17"/>
  <c r="AI83" i="17"/>
  <c r="AI42" i="17"/>
  <c r="AI15" i="17"/>
  <c r="AI38" i="17"/>
  <c r="AI26" i="17"/>
  <c r="AI99" i="17"/>
  <c r="AI18" i="17"/>
  <c r="AI81" i="17"/>
  <c r="AI30" i="17"/>
  <c r="AI7" i="17"/>
  <c r="AI96" i="17"/>
  <c r="AI10" i="17"/>
  <c r="AL110" i="17"/>
  <c r="AL74" i="17"/>
  <c r="AL40" i="17"/>
  <c r="AL21" i="17"/>
  <c r="AL31" i="17"/>
  <c r="AL72" i="17"/>
  <c r="AL13" i="17"/>
  <c r="AL39" i="17"/>
  <c r="AL103" i="17"/>
  <c r="AL15" i="17"/>
  <c r="AL22" i="17"/>
  <c r="AL30" i="17"/>
  <c r="AL7" i="17"/>
  <c r="AL97" i="17"/>
  <c r="AL47" i="17"/>
  <c r="AL78" i="17"/>
  <c r="AL59" i="17"/>
  <c r="AL14" i="17"/>
  <c r="AL87" i="17"/>
  <c r="AI112" i="17"/>
  <c r="AL90" i="17"/>
  <c r="AL109" i="17"/>
  <c r="AX101" i="17"/>
  <c r="AX112" i="17"/>
  <c r="AX53" i="17"/>
  <c r="AX43" i="17"/>
  <c r="AX23" i="17"/>
  <c r="AX20" i="17"/>
  <c r="AX114" i="17"/>
  <c r="AX108" i="17"/>
  <c r="AX89" i="17"/>
  <c r="AX64" i="17"/>
  <c r="AX109" i="17"/>
  <c r="AX90" i="17"/>
  <c r="AX88" i="17"/>
  <c r="AX87" i="17"/>
  <c r="AX68" i="17"/>
  <c r="AX27" i="17"/>
  <c r="AX34" i="17"/>
  <c r="AX15" i="17"/>
  <c r="AX105" i="17"/>
  <c r="AX11" i="17"/>
  <c r="AX99" i="17"/>
  <c r="AX83" i="17"/>
  <c r="AX38" i="17"/>
  <c r="AX33" i="17"/>
  <c r="AX22" i="17"/>
  <c r="AX18" i="17"/>
  <c r="AX77" i="17"/>
  <c r="AX51" i="17"/>
  <c r="AX48" i="17"/>
  <c r="AX41" i="17"/>
  <c r="AX17" i="17"/>
  <c r="AX96" i="17"/>
  <c r="AX82" i="17"/>
  <c r="AX49" i="17"/>
  <c r="AX25" i="17"/>
  <c r="AX14" i="17"/>
  <c r="AX10" i="17"/>
  <c r="AX95" i="17"/>
  <c r="AX37" i="17"/>
  <c r="AX59" i="17"/>
  <c r="AX32" i="17"/>
  <c r="AX29" i="17"/>
  <c r="AX93" i="17"/>
  <c r="AX56" i="17"/>
  <c r="AX40" i="17"/>
  <c r="AX36" i="17"/>
  <c r="AX21" i="17"/>
  <c r="AX9" i="17"/>
  <c r="AX75" i="17"/>
  <c r="AX74" i="17"/>
  <c r="AX44" i="17"/>
  <c r="BP54" i="17"/>
  <c r="BP68" i="17"/>
  <c r="BP69" i="17"/>
  <c r="BG72" i="17"/>
  <c r="BP87" i="17"/>
  <c r="BP90" i="17"/>
  <c r="BP91" i="17"/>
  <c r="BJ13" i="17"/>
  <c r="BG16" i="17"/>
  <c r="BP20" i="17"/>
  <c r="BP23" i="17"/>
  <c r="BJ28" i="17"/>
  <c r="BJ31" i="17"/>
  <c r="AO32" i="17"/>
  <c r="BP43" i="17"/>
  <c r="BG44" i="17"/>
  <c r="BP53" i="17"/>
  <c r="BG57" i="17"/>
  <c r="BJ72" i="17"/>
  <c r="BG74" i="17"/>
  <c r="BG75" i="17"/>
  <c r="BG58" i="17"/>
  <c r="BP16" i="17"/>
  <c r="BG17" i="17"/>
  <c r="AO18" i="17"/>
  <c r="AO22" i="17"/>
  <c r="BJ24" i="17"/>
  <c r="BG29" i="17"/>
  <c r="AO33" i="17"/>
  <c r="BG37" i="17"/>
  <c r="AO38" i="17"/>
  <c r="BP44" i="17"/>
  <c r="BJ45" i="17"/>
  <c r="AO48" i="17"/>
  <c r="AO50" i="17"/>
  <c r="BP57" i="17"/>
  <c r="BJ58" i="17"/>
  <c r="BP74" i="17"/>
  <c r="BP75" i="17"/>
  <c r="BG77" i="17"/>
  <c r="AO78" i="17"/>
  <c r="AO79" i="17"/>
  <c r="AO83" i="17"/>
  <c r="BM93" i="17"/>
  <c r="BM94" i="17"/>
  <c r="BG95" i="17"/>
  <c r="BP9" i="17"/>
  <c r="AO11" i="17"/>
  <c r="BJ17" i="17"/>
  <c r="BP21" i="17"/>
  <c r="BJ29" i="17"/>
  <c r="BG32" i="17"/>
  <c r="BP36" i="17"/>
  <c r="BJ37" i="17"/>
  <c r="BP40" i="17"/>
  <c r="BG46" i="17"/>
  <c r="AO47" i="17"/>
  <c r="BG59" i="17"/>
  <c r="AO60" i="17"/>
  <c r="BP76" i="17"/>
  <c r="BJ77" i="17"/>
  <c r="BG81" i="17"/>
  <c r="BP93" i="17"/>
  <c r="BP94" i="17"/>
  <c r="BJ95" i="17"/>
  <c r="BG97" i="17"/>
  <c r="BG98" i="17"/>
  <c r="BP13" i="17"/>
  <c r="AO7" i="17"/>
  <c r="BG10" i="17"/>
  <c r="BG14" i="17"/>
  <c r="BP24" i="17"/>
  <c r="BG25" i="17"/>
  <c r="AO26" i="17"/>
  <c r="AO30" i="17"/>
  <c r="BJ32" i="17"/>
  <c r="BP45" i="17"/>
  <c r="BJ46" i="17"/>
  <c r="BG49" i="17"/>
  <c r="BG50" i="17"/>
  <c r="AO52" i="17"/>
  <c r="BP58" i="17"/>
  <c r="BJ59" i="17"/>
  <c r="AO61" i="17"/>
  <c r="BG78" i="17"/>
  <c r="BG79" i="17"/>
  <c r="BG80" i="17"/>
  <c r="BJ81" i="17"/>
  <c r="BG82" i="17"/>
  <c r="BM95" i="17"/>
  <c r="BG96" i="17"/>
  <c r="BJ97" i="17"/>
  <c r="BJ98" i="17"/>
  <c r="AO102" i="17"/>
  <c r="BG24" i="17"/>
  <c r="BP28" i="17"/>
  <c r="BP31" i="17"/>
  <c r="BG45" i="17"/>
  <c r="BJ10" i="17"/>
  <c r="BJ14" i="17"/>
  <c r="BP17" i="17"/>
  <c r="AO19" i="17"/>
  <c r="BJ25" i="17"/>
  <c r="BP29" i="17"/>
  <c r="BP37" i="17"/>
  <c r="BG41" i="17"/>
  <c r="AO42" i="17"/>
  <c r="BG47" i="17"/>
  <c r="BG48" i="17"/>
  <c r="BJ49" i="17"/>
  <c r="BJ50" i="17"/>
  <c r="BG51" i="17"/>
  <c r="AO67" i="17"/>
  <c r="BP77" i="17"/>
  <c r="BJ78" i="17"/>
  <c r="BJ79" i="17"/>
  <c r="BJ80" i="17"/>
  <c r="BJ82" i="17"/>
  <c r="AO84" i="17"/>
  <c r="BP95" i="17"/>
  <c r="BJ96" i="17"/>
  <c r="BM97" i="17"/>
  <c r="BM98" i="17"/>
  <c r="AO100" i="17"/>
  <c r="AO101" i="17"/>
  <c r="AO106" i="17"/>
  <c r="AO107" i="17"/>
  <c r="AO12" i="17"/>
  <c r="AO15" i="17"/>
  <c r="BG18" i="17"/>
  <c r="BG22" i="17"/>
  <c r="BP32" i="17"/>
  <c r="BG33" i="17"/>
  <c r="AO34" i="17"/>
  <c r="BG38" i="17"/>
  <c r="BJ41" i="17"/>
  <c r="BP46" i="17"/>
  <c r="BJ47" i="17"/>
  <c r="BJ48" i="17"/>
  <c r="BJ51" i="17"/>
  <c r="BP59" i="17"/>
  <c r="BG60" i="17"/>
  <c r="AO62" i="17"/>
  <c r="AO64" i="17"/>
  <c r="AO66" i="17"/>
  <c r="BP81" i="17"/>
  <c r="BG83" i="17"/>
  <c r="AO86" i="17"/>
  <c r="BP97" i="17"/>
  <c r="BP98" i="17"/>
  <c r="BG99" i="17"/>
  <c r="BG102" i="17"/>
  <c r="AO103" i="17"/>
  <c r="AO104" i="17"/>
  <c r="AO108" i="17"/>
  <c r="BP18" i="17"/>
  <c r="BP83" i="17"/>
  <c r="BG19" i="17"/>
  <c r="BP22" i="17"/>
  <c r="BP38" i="17"/>
  <c r="BP60" i="17"/>
  <c r="BG63" i="17"/>
  <c r="BG84" i="17"/>
  <c r="BP11" i="17"/>
  <c r="BG12" i="17"/>
  <c r="AO13" i="17"/>
  <c r="BG15" i="17"/>
  <c r="BJ19" i="17"/>
  <c r="AO28" i="17"/>
  <c r="AO31" i="17"/>
  <c r="BG34" i="17"/>
  <c r="BG39" i="17"/>
  <c r="BJ42" i="17"/>
  <c r="BP61" i="17"/>
  <c r="BJ63" i="17"/>
  <c r="BG64" i="17"/>
  <c r="BG70" i="17"/>
  <c r="BJ84" i="17"/>
  <c r="BJ85" i="17"/>
  <c r="BG89" i="17"/>
  <c r="AO92" i="17"/>
  <c r="BP100" i="17"/>
  <c r="BP101" i="17"/>
  <c r="BJ104" i="17"/>
  <c r="BP105" i="17"/>
  <c r="BM106" i="17"/>
  <c r="BP107" i="17"/>
  <c r="BG108" i="17"/>
  <c r="BJ110" i="17"/>
  <c r="BG111" i="17"/>
  <c r="BG113" i="17"/>
  <c r="BG114" i="17"/>
  <c r="BP33" i="17"/>
  <c r="BG42" i="17"/>
  <c r="BG85" i="17"/>
  <c r="BP99" i="17"/>
  <c r="BP102" i="17"/>
  <c r="BG103" i="17"/>
  <c r="BG104" i="17"/>
  <c r="BG110" i="17"/>
  <c r="AO112" i="17"/>
  <c r="BP7" i="17"/>
  <c r="BJ12" i="17"/>
  <c r="BJ15" i="17"/>
  <c r="AO16" i="17"/>
  <c r="BP26" i="17"/>
  <c r="BG27" i="17"/>
  <c r="BP30" i="17"/>
  <c r="BJ34" i="17"/>
  <c r="BJ39" i="17"/>
  <c r="AO44" i="17"/>
  <c r="BP52" i="17"/>
  <c r="BG54" i="17"/>
  <c r="BP62" i="17"/>
  <c r="BJ64" i="17"/>
  <c r="BP65" i="17"/>
  <c r="BP66" i="17"/>
  <c r="BP67" i="17"/>
  <c r="BG68" i="17"/>
  <c r="BG69" i="17"/>
  <c r="BJ70" i="17"/>
  <c r="AO72" i="17"/>
  <c r="BP86" i="17"/>
  <c r="BG87" i="17"/>
  <c r="BG88" i="17"/>
  <c r="BJ89" i="17"/>
  <c r="BG90" i="17"/>
  <c r="BG91" i="17"/>
  <c r="BM103" i="17"/>
  <c r="BP106" i="17"/>
  <c r="BJ108" i="17"/>
  <c r="BJ111" i="17"/>
  <c r="BJ113" i="17"/>
  <c r="AI9" i="17"/>
  <c r="AI17" i="17"/>
  <c r="AI25" i="17"/>
  <c r="AI33" i="17"/>
  <c r="AL41" i="17"/>
  <c r="AI55" i="17"/>
  <c r="AX67" i="17"/>
  <c r="AU76" i="17"/>
  <c r="AI77" i="17"/>
  <c r="AX80" i="17"/>
  <c r="AL81" i="17"/>
  <c r="AX98" i="17"/>
  <c r="AL99" i="17"/>
  <c r="AU107" i="17"/>
  <c r="AX111" i="17"/>
  <c r="AL112" i="17"/>
  <c r="AL9" i="17"/>
  <c r="AL17" i="17"/>
  <c r="AL25" i="17"/>
  <c r="AL33" i="17"/>
  <c r="AI44" i="17"/>
  <c r="AU50" i="17"/>
  <c r="AI51" i="17"/>
  <c r="AL55" i="17"/>
  <c r="AU63" i="17"/>
  <c r="AI64" i="17"/>
  <c r="AX76" i="17"/>
  <c r="AL77" i="17"/>
  <c r="AU81" i="17"/>
  <c r="AI82" i="17"/>
  <c r="AU85" i="17"/>
  <c r="AI86" i="17"/>
  <c r="AI95" i="17"/>
  <c r="AX107" i="17"/>
  <c r="BM112" i="17"/>
  <c r="BM96" i="17"/>
  <c r="BM88" i="17"/>
  <c r="BM80" i="17"/>
  <c r="BM72" i="17"/>
  <c r="BM64" i="17"/>
  <c r="BM56" i="17"/>
  <c r="BM48" i="17"/>
  <c r="AI12" i="17"/>
  <c r="AI20" i="17"/>
  <c r="AI28" i="17"/>
  <c r="AI36" i="17"/>
  <c r="AL44" i="17"/>
  <c r="AX46" i="17"/>
  <c r="AX50" i="17"/>
  <c r="AL51" i="17"/>
  <c r="AU59" i="17"/>
  <c r="AX63" i="17"/>
  <c r="AL64" i="17"/>
  <c r="AU72" i="17"/>
  <c r="AI73" i="17"/>
  <c r="AX81" i="17"/>
  <c r="AL82" i="17"/>
  <c r="AX85" i="17"/>
  <c r="AL86" i="17"/>
  <c r="AU90" i="17"/>
  <c r="AI91" i="17"/>
  <c r="AL95" i="17"/>
  <c r="AU103" i="17"/>
  <c r="AI104" i="17"/>
  <c r="AL12" i="17"/>
  <c r="AL20" i="17"/>
  <c r="AL28" i="17"/>
  <c r="AL36" i="17"/>
  <c r="AI47" i="17"/>
  <c r="AI69" i="17"/>
  <c r="AL73" i="17"/>
  <c r="AL91" i="17"/>
  <c r="AL104" i="17"/>
  <c r="AU112" i="17"/>
  <c r="AI113" i="17"/>
  <c r="AL69" i="17"/>
  <c r="AI109" i="17"/>
  <c r="AL113" i="17"/>
  <c r="AL42" i="17"/>
  <c r="AI61" i="17"/>
  <c r="AL65" i="17"/>
  <c r="AL83" i="17"/>
  <c r="AL96" i="17"/>
  <c r="AI105" i="17"/>
  <c r="AX113" i="17"/>
  <c r="AL114" i="17"/>
  <c r="AL10" i="17"/>
  <c r="AL18" i="17"/>
  <c r="AL26" i="17"/>
  <c r="AL34" i="17"/>
  <c r="AI37" i="17"/>
  <c r="AI45" i="17"/>
  <c r="AU47" i="17"/>
  <c r="AI48" i="17"/>
  <c r="AX60" i="17"/>
  <c r="AL61" i="17"/>
  <c r="AU65" i="17"/>
  <c r="AI66" i="17"/>
  <c r="AU69" i="17"/>
  <c r="AI70" i="17"/>
  <c r="AI79" i="17"/>
  <c r="AX91" i="17"/>
  <c r="AU100" i="17"/>
  <c r="AI101" i="17"/>
  <c r="AX104" i="17"/>
  <c r="AL105" i="17"/>
  <c r="AI13" i="17"/>
  <c r="AI21" i="17"/>
  <c r="AI29" i="17"/>
  <c r="AL37" i="17"/>
  <c r="AX39" i="17"/>
  <c r="AL45" i="17"/>
  <c r="AX47" i="17"/>
  <c r="AL48" i="17"/>
  <c r="AU56" i="17"/>
  <c r="AI57" i="17"/>
  <c r="AX65" i="17"/>
  <c r="AL66" i="17"/>
  <c r="AX69" i="17"/>
  <c r="AL70" i="17"/>
  <c r="AU74" i="17"/>
  <c r="AI75" i="17"/>
  <c r="AL79" i="17"/>
  <c r="AU87" i="17"/>
  <c r="AI88" i="17"/>
  <c r="AL101" i="17"/>
  <c r="AU105" i="17"/>
  <c r="AI106" i="17"/>
  <c r="BM108" i="17"/>
  <c r="AU109" i="17"/>
  <c r="AL75" i="17"/>
  <c r="AL88" i="17"/>
  <c r="AL106" i="17"/>
  <c r="AI108" i="17"/>
  <c r="AI100" i="17"/>
  <c r="AI92" i="17"/>
  <c r="AI84" i="17"/>
  <c r="AI76" i="17"/>
  <c r="AI68" i="17"/>
  <c r="AI60" i="17"/>
  <c r="AI52" i="17"/>
  <c r="AL108" i="17"/>
  <c r="AL100" i="17"/>
  <c r="AL92" i="17"/>
  <c r="AL84" i="17"/>
  <c r="AL76" i="17"/>
  <c r="AL68" i="17"/>
  <c r="AL60" i="17"/>
  <c r="AL52" i="17"/>
  <c r="AL8" i="17"/>
  <c r="AL16" i="17"/>
  <c r="AL24" i="17"/>
  <c r="AL32" i="17"/>
  <c r="AI43" i="17"/>
  <c r="AU45" i="17"/>
  <c r="AU48" i="17"/>
  <c r="AI49" i="17"/>
  <c r="AX57" i="17"/>
  <c r="AL58" i="17"/>
  <c r="AX61" i="17"/>
  <c r="AL62" i="17"/>
  <c r="AU66" i="17"/>
  <c r="AI67" i="17"/>
  <c r="AL71" i="17"/>
  <c r="AU79" i="17"/>
  <c r="AI80" i="17"/>
  <c r="AX92" i="17"/>
  <c r="AL93" i="17"/>
  <c r="AU97" i="17"/>
  <c r="AU101" i="17"/>
  <c r="AI102" i="17"/>
  <c r="AI111" i="17"/>
  <c r="AO113" i="17"/>
  <c r="AO105" i="17"/>
  <c r="AO97" i="17"/>
  <c r="AO89" i="17"/>
  <c r="AO81" i="17"/>
  <c r="AO73" i="17"/>
  <c r="AO65" i="17"/>
  <c r="AO57" i="17"/>
  <c r="AO49" i="17"/>
  <c r="AI11" i="17"/>
  <c r="AI19" i="17"/>
  <c r="AI27" i="17"/>
  <c r="AI35" i="17"/>
  <c r="AL43" i="17"/>
  <c r="AL49" i="17"/>
  <c r="AX66" i="17"/>
  <c r="AL67" i="17"/>
  <c r="AU75" i="17"/>
  <c r="AX79" i="17"/>
  <c r="AL80" i="17"/>
  <c r="AU88" i="17"/>
  <c r="AI89" i="17"/>
  <c r="AX97" i="17"/>
  <c r="AL102" i="17"/>
  <c r="AI107" i="17"/>
  <c r="BM109" i="17"/>
  <c r="AL111" i="17"/>
  <c r="AR113" i="17"/>
  <c r="AR105" i="17"/>
  <c r="AR97" i="17"/>
  <c r="AR89" i="17"/>
  <c r="AR81" i="17"/>
  <c r="AR73" i="17"/>
  <c r="AR65" i="17"/>
  <c r="AR57" i="17"/>
  <c r="AR49" i="17"/>
  <c r="AL11" i="17"/>
  <c r="AL19" i="17"/>
  <c r="AL27" i="17"/>
  <c r="AL35" i="17"/>
  <c r="AI46" i="17"/>
  <c r="AI50" i="17"/>
  <c r="AI54" i="17"/>
  <c r="AI63" i="17"/>
  <c r="AI85" i="17"/>
  <c r="AL89" i="17"/>
  <c r="AL107" i="17"/>
  <c r="AU110" i="17"/>
  <c r="AU102" i="17"/>
  <c r="AU94" i="17"/>
  <c r="AU86" i="17"/>
  <c r="AU78" i="17"/>
  <c r="AU70" i="17"/>
  <c r="AU62" i="17"/>
  <c r="AU54" i="17"/>
  <c r="AL38" i="17"/>
  <c r="AL46" i="17"/>
  <c r="AL50" i="17"/>
  <c r="AL54" i="17"/>
  <c r="AI59" i="17"/>
  <c r="AL63" i="17"/>
  <c r="AI72" i="17"/>
  <c r="AL85" i="17"/>
  <c r="AI90" i="17"/>
  <c r="AI94" i="17"/>
  <c r="AI103" i="17"/>
  <c r="AX110" i="17"/>
  <c r="AX102" i="17"/>
  <c r="AX94" i="17"/>
  <c r="AX86" i="17"/>
  <c r="AX78" i="17"/>
  <c r="AX70" i="17"/>
  <c r="AX62" i="17"/>
  <c r="AX54" i="17"/>
  <c r="BP48" i="17"/>
  <c r="BV50" i="17"/>
  <c r="BP56" i="17"/>
  <c r="BV58" i="17"/>
  <c r="BP64" i="17"/>
  <c r="BV66" i="17"/>
  <c r="BP72" i="17"/>
  <c r="BV74" i="17"/>
  <c r="BP80" i="17"/>
  <c r="BV82" i="17"/>
  <c r="BP88" i="17"/>
  <c r="BV90" i="17"/>
  <c r="BP96" i="17"/>
  <c r="BV98" i="17"/>
  <c r="BV106" i="17"/>
  <c r="BS50" i="17"/>
  <c r="BS58" i="17"/>
  <c r="BS66" i="17"/>
  <c r="BS74" i="17"/>
  <c r="BS82" i="17"/>
  <c r="BS90" i="17"/>
  <c r="BS98" i="17"/>
  <c r="BS106" i="17"/>
  <c r="BG115" i="17" l="1"/>
  <c r="BA115" i="17"/>
  <c r="BV115" i="17"/>
  <c r="BM115" i="17"/>
  <c r="BS115" i="17"/>
  <c r="AX115" i="17"/>
  <c r="BJ115" i="17"/>
  <c r="BP115" i="17"/>
  <c r="N115" i="17"/>
  <c r="K115" i="17"/>
  <c r="AU115" i="17"/>
  <c r="AC115" i="17"/>
  <c r="Z115" i="17"/>
  <c r="AF115" i="17"/>
  <c r="W115" i="17"/>
  <c r="Q115" i="17"/>
  <c r="T115" i="17"/>
  <c r="AO115" i="17"/>
  <c r="AI115" i="17"/>
  <c r="AL115" i="17"/>
  <c r="AR115" i="17"/>
</calcChain>
</file>

<file path=xl/sharedStrings.xml><?xml version="1.0" encoding="utf-8"?>
<sst xmlns="http://schemas.openxmlformats.org/spreadsheetml/2006/main" count="1559" uniqueCount="619">
  <si>
    <t>BT1842</t>
  </si>
  <si>
    <t>BT3665</t>
  </si>
  <si>
    <t>BT1625</t>
  </si>
  <si>
    <t>BT3798</t>
  </si>
  <si>
    <t>BT3956</t>
  </si>
  <si>
    <t>BT4136</t>
  </si>
  <si>
    <t>BT4713</t>
  </si>
  <si>
    <t>BT1777</t>
  </si>
  <si>
    <t>BT3155</t>
  </si>
  <si>
    <t>BT3173</t>
  </si>
  <si>
    <t>Fucosylation</t>
  </si>
  <si>
    <t>Blood group</t>
  </si>
  <si>
    <t>Sulfate</t>
  </si>
  <si>
    <t>RT</t>
  </si>
  <si>
    <t>Intensity</t>
  </si>
  <si>
    <t>Percentage</t>
  </si>
  <si>
    <t>RT2</t>
  </si>
  <si>
    <t>RT3</t>
  </si>
  <si>
    <t>RT4</t>
  </si>
  <si>
    <t>RT5</t>
  </si>
  <si>
    <t>RT6</t>
  </si>
  <si>
    <t>RT7</t>
  </si>
  <si>
    <t>Intensity7</t>
  </si>
  <si>
    <t>RT8</t>
  </si>
  <si>
    <t>Intensity8</t>
  </si>
  <si>
    <t>RT9</t>
  </si>
  <si>
    <t>Intensity9</t>
  </si>
  <si>
    <t>384-1</t>
  </si>
  <si>
    <t>Hex1HexNAc1</t>
  </si>
  <si>
    <t>Galβ1-3GalNAcol</t>
  </si>
  <si>
    <t>10.93*</t>
  </si>
  <si>
    <t>nd</t>
  </si>
  <si>
    <t>425-1</t>
  </si>
  <si>
    <t>HexNAc2</t>
  </si>
  <si>
    <t>HexNAc2Sul1</t>
  </si>
  <si>
    <t>14.34*</t>
  </si>
  <si>
    <t>14.56*</t>
  </si>
  <si>
    <t>14.43*</t>
  </si>
  <si>
    <t>14.50*</t>
  </si>
  <si>
    <t>14.35*</t>
  </si>
  <si>
    <t>14.36*</t>
  </si>
  <si>
    <t>587-1</t>
  </si>
  <si>
    <t>Hex1HexNAc2</t>
  </si>
  <si>
    <t>Galβ1-3(GlcNAcβ1-6)GalNAcol</t>
  </si>
  <si>
    <t>13.88*</t>
  </si>
  <si>
    <t>13.86*</t>
  </si>
  <si>
    <t>13.84*</t>
  </si>
  <si>
    <t>13.85*</t>
  </si>
  <si>
    <t>587-4</t>
  </si>
  <si>
    <t>15.63*</t>
  </si>
  <si>
    <t>15.59*</t>
  </si>
  <si>
    <t>667-2</t>
  </si>
  <si>
    <t>Hex1HexNAc2Sul1</t>
  </si>
  <si>
    <t>Galβ1-3(6SGlcNAcβ1-6)GalNAcol</t>
  </si>
  <si>
    <t>667-3</t>
  </si>
  <si>
    <t>6SGalβ1-4GlcNAcβ1-3GalNAcol</t>
  </si>
  <si>
    <t>16.47*</t>
  </si>
  <si>
    <t>16.38*</t>
  </si>
  <si>
    <t>667-6</t>
  </si>
  <si>
    <t>3SGalβ1-4GlcNAcβ1-3GalNAcol</t>
  </si>
  <si>
    <t>17.87*</t>
  </si>
  <si>
    <t>16.99*</t>
  </si>
  <si>
    <t>17.18*</t>
  </si>
  <si>
    <t>675-1</t>
  </si>
  <si>
    <t>NeuAc1Hex1HexNAc1</t>
  </si>
  <si>
    <t>Galβ1-3(NeuAcα2-6)GalNAcol</t>
  </si>
  <si>
    <t>13.16*</t>
  </si>
  <si>
    <t>13.21*</t>
  </si>
  <si>
    <t>13.19*</t>
  </si>
  <si>
    <t>13.26*</t>
  </si>
  <si>
    <t>675-2</t>
  </si>
  <si>
    <t>NeuAcα2-3Galβ1-3GalNAcol</t>
  </si>
  <si>
    <t>691-1</t>
  </si>
  <si>
    <t>NeuGc1Hex1HexNAc1</t>
  </si>
  <si>
    <t>Galβ1-3(NeuGcα2-6)GalNAcol</t>
  </si>
  <si>
    <t>13.57*</t>
  </si>
  <si>
    <t>13.09*</t>
  </si>
  <si>
    <t>13.34*</t>
  </si>
  <si>
    <t>13.12*</t>
  </si>
  <si>
    <t>13.10*</t>
  </si>
  <si>
    <t>13.37*</t>
  </si>
  <si>
    <t>13.17*</t>
  </si>
  <si>
    <t>13.13*</t>
  </si>
  <si>
    <t>13.11*</t>
  </si>
  <si>
    <t>691-2</t>
  </si>
  <si>
    <t>15.19*</t>
  </si>
  <si>
    <t>708-1</t>
  </si>
  <si>
    <t>HexNAc3Sul1</t>
  </si>
  <si>
    <t>14.52*</t>
  </si>
  <si>
    <t>14.39*</t>
  </si>
  <si>
    <t>708-2</t>
  </si>
  <si>
    <t>716-1</t>
  </si>
  <si>
    <t>NeuAc1HexNAc2</t>
  </si>
  <si>
    <t>GlcNAcβ1-3(NeuAcα2-6)GalNAcol</t>
  </si>
  <si>
    <t>716-2</t>
  </si>
  <si>
    <t>732-1</t>
  </si>
  <si>
    <t>NeuGc1HexNAc2</t>
  </si>
  <si>
    <t>GlcNAcβ1-3(NeuGcα2-6)GalNAcol</t>
  </si>
  <si>
    <t>732-2</t>
  </si>
  <si>
    <t>GalNAcα1-3(NeuGcα2-6)GalNAcol</t>
  </si>
  <si>
    <t>749-1</t>
  </si>
  <si>
    <t>Hex2HexNAc2</t>
  </si>
  <si>
    <t>Galβ1-3(Galβ1-4GlcNAcβ1-6)GalNAcol</t>
  </si>
  <si>
    <t>17.10*</t>
  </si>
  <si>
    <t>17.23*</t>
  </si>
  <si>
    <t>b</t>
  </si>
  <si>
    <t>813-1</t>
  </si>
  <si>
    <t>Hex1HexNAc2deHex1Sul1</t>
  </si>
  <si>
    <t>6SGalβ1-4(Fucα1-3)GlcNAcβ1-3GalNAcol</t>
  </si>
  <si>
    <t>x</t>
  </si>
  <si>
    <t>13.47*</t>
  </si>
  <si>
    <t>813-3</t>
  </si>
  <si>
    <t>Fucα1-2Galβ1-3(6SGlcNAcβ1-6)GalNAcol</t>
  </si>
  <si>
    <t>H</t>
  </si>
  <si>
    <t>829-2</t>
  </si>
  <si>
    <t>Hex2HexNAc2Sul1</t>
  </si>
  <si>
    <t>Galβ1-3[Galβ1-4(6S)GlcNAcβ1-6]GalNAcol</t>
  </si>
  <si>
    <t>17.52*</t>
  </si>
  <si>
    <t>17.06*</t>
  </si>
  <si>
    <t>17.34*</t>
  </si>
  <si>
    <t>17.08*</t>
  </si>
  <si>
    <t>19.26*</t>
  </si>
  <si>
    <t>829-4</t>
  </si>
  <si>
    <t>Hex2HexNAc1deHex1Sul2</t>
  </si>
  <si>
    <t>SGalβ1-4(Fucα1-3)(6S)GlcNAcβ1-3Galol</t>
  </si>
  <si>
    <t>870-2</t>
  </si>
  <si>
    <t>Hex1HexNAc3Sul1</t>
  </si>
  <si>
    <t>GlcNAcβ1-3[Galβ1-4(6S)GlcNAcβ1-6]GalNAcol</t>
  </si>
  <si>
    <t>18.29*</t>
  </si>
  <si>
    <t>18.12*</t>
  </si>
  <si>
    <t>17.77*</t>
  </si>
  <si>
    <t>17.89*</t>
  </si>
  <si>
    <t>17.79*</t>
  </si>
  <si>
    <t>17.83*</t>
  </si>
  <si>
    <t>17.19*</t>
  </si>
  <si>
    <t>17.86*</t>
  </si>
  <si>
    <t>17.33*</t>
  </si>
  <si>
    <t>17.90*</t>
  </si>
  <si>
    <t>870-4</t>
  </si>
  <si>
    <t>18.76*</t>
  </si>
  <si>
    <t>870-6</t>
  </si>
  <si>
    <t>GlcNAcβ1-3[Galβ1-3(6S)GlcNAcβ1-6]GalNAcol</t>
  </si>
  <si>
    <t>20.24*</t>
  </si>
  <si>
    <t>19.42*</t>
  </si>
  <si>
    <t>19.74*</t>
  </si>
  <si>
    <t>19.67*</t>
  </si>
  <si>
    <t>19.62*</t>
  </si>
  <si>
    <t>19.88*</t>
  </si>
  <si>
    <t>19.73*</t>
  </si>
  <si>
    <t>19.78*</t>
  </si>
  <si>
    <t>19.69*</t>
  </si>
  <si>
    <t>16.00*</t>
  </si>
  <si>
    <t>894-1</t>
  </si>
  <si>
    <t>NeuGc1Hex1HexNAc2</t>
  </si>
  <si>
    <t>15.90*</t>
  </si>
  <si>
    <t>894-2</t>
  </si>
  <si>
    <t>17.49*</t>
  </si>
  <si>
    <t>17.53*</t>
  </si>
  <si>
    <t>17.60*</t>
  </si>
  <si>
    <t>Hex2HexNAc2Sul2</t>
  </si>
  <si>
    <t>Galβ1-3[SGalβ-(6S)GlcNAcβ1-6]GalNAcol</t>
  </si>
  <si>
    <t>NeuGc1Hex2HexNAc1Sul1</t>
  </si>
  <si>
    <t>NeuGcα2-3(6S)Galβ1-4GlcNAcβ1-3Galol</t>
  </si>
  <si>
    <t>17.36*</t>
  </si>
  <si>
    <t>17.28*</t>
  </si>
  <si>
    <t>17.39*</t>
  </si>
  <si>
    <t>950-1</t>
  </si>
  <si>
    <t>Hex1HexNAc3Sul2</t>
  </si>
  <si>
    <t>GlcNAcβ1-3[3SGal-(6S)GlcNAcβ1-6]GalNAcol</t>
  </si>
  <si>
    <t>18.20*</t>
  </si>
  <si>
    <t>19.15*</t>
  </si>
  <si>
    <t>18.38*</t>
  </si>
  <si>
    <t>19.58*</t>
  </si>
  <si>
    <t>18.94*</t>
  </si>
  <si>
    <t>18.82*</t>
  </si>
  <si>
    <t>18.40*</t>
  </si>
  <si>
    <t>18.81*</t>
  </si>
  <si>
    <t>15.07*</t>
  </si>
  <si>
    <t>19.04*</t>
  </si>
  <si>
    <t>18.87*</t>
  </si>
  <si>
    <t>18.55*</t>
  </si>
  <si>
    <t>18.41*</t>
  </si>
  <si>
    <t>18.57*</t>
  </si>
  <si>
    <t>18.47*</t>
  </si>
  <si>
    <t>18.50*</t>
  </si>
  <si>
    <t>18.44*</t>
  </si>
  <si>
    <t>18.72*</t>
  </si>
  <si>
    <t>950-2</t>
  </si>
  <si>
    <t>6SGlcNAcβ1-3(3Gal-GlcNAcβ1-6)GalNAcol</t>
  </si>
  <si>
    <t>19.93*</t>
  </si>
  <si>
    <t>18.92*</t>
  </si>
  <si>
    <t>19.65*</t>
  </si>
  <si>
    <t>19.09*</t>
  </si>
  <si>
    <t>19.34*</t>
  </si>
  <si>
    <t>19.33*</t>
  </si>
  <si>
    <t>19.01*</t>
  </si>
  <si>
    <t>19.32*</t>
  </si>
  <si>
    <t>19.25*</t>
  </si>
  <si>
    <t>19.17*</t>
  </si>
  <si>
    <t>19.12*</t>
  </si>
  <si>
    <t>19.48*</t>
  </si>
  <si>
    <t>19.18*</t>
  </si>
  <si>
    <t>19.19*</t>
  </si>
  <si>
    <t>19.16*</t>
  </si>
  <si>
    <t>19.24*</t>
  </si>
  <si>
    <t>950-3</t>
  </si>
  <si>
    <t>20.03*</t>
  </si>
  <si>
    <t>19.86*</t>
  </si>
  <si>
    <t>NeuAc1Hex1HexNAc2Sul1</t>
  </si>
  <si>
    <t>NeuAcα2-3Galβ1-3[(6S)GlcNAcβ1-6]GalNAcol</t>
  </si>
  <si>
    <t>18.84*</t>
  </si>
  <si>
    <t>18.51*</t>
  </si>
  <si>
    <t>NeuAc2Hex1HexNAc1</t>
  </si>
  <si>
    <t>NeuAcα2-3Galβ1-3(NeuAcα2-6)GalNAcol</t>
  </si>
  <si>
    <t>16.29*</t>
  </si>
  <si>
    <t>15.79*</t>
  </si>
  <si>
    <t>16.01*</t>
  </si>
  <si>
    <t>NeuGc1Hex1HexNAc2Sul1</t>
  </si>
  <si>
    <t>NeuGcα2-3Gal-(6S)GlcNAcβ1-3GalNAcol</t>
  </si>
  <si>
    <t>975-1</t>
  </si>
  <si>
    <t>Hex2HexNAc2deHex1Sul1</t>
  </si>
  <si>
    <t>14.83*</t>
  </si>
  <si>
    <t>14.88*</t>
  </si>
  <si>
    <t>975-3</t>
  </si>
  <si>
    <t>Galβ1-3[6SGalβ1-4(Fucα1-3)GlcNAcβ1-6]GalNAcol</t>
  </si>
  <si>
    <t>15.77*</t>
  </si>
  <si>
    <t>15.85*</t>
  </si>
  <si>
    <t>14.87*</t>
  </si>
  <si>
    <t>975-7</t>
  </si>
  <si>
    <t>Galβ1-3[Fucα1-2Galβ1-4(6S)GlcNAcβ1-6]GalNAcol</t>
  </si>
  <si>
    <t>H2</t>
  </si>
  <si>
    <t>975-8</t>
  </si>
  <si>
    <t>Fucα1-2Galβ1-3[Galβ1-4(6S)GlcNAcβ1-6]GalNAcol</t>
  </si>
  <si>
    <t>NeuAc1NeuGc1Hex1HexNAc1</t>
  </si>
  <si>
    <t>NeuGcα2-3Galβ1-3(NeuAcα2-6)GalNAcol</t>
  </si>
  <si>
    <t>16.33*</t>
  </si>
  <si>
    <t>16.08*</t>
  </si>
  <si>
    <t>15.78*</t>
  </si>
  <si>
    <t>16.03*</t>
  </si>
  <si>
    <t>15.92*</t>
  </si>
  <si>
    <t>1016-1</t>
  </si>
  <si>
    <t>Hex1HexNAc3deHex1Sul1</t>
  </si>
  <si>
    <t>GlcNAcβ1-3[Galβ1-4(Fucα1-3)(6S)GlcNAcβ1-6]GalNAcol</t>
  </si>
  <si>
    <t>16.44*</t>
  </si>
  <si>
    <t>16.19*</t>
  </si>
  <si>
    <t>15.83*</t>
  </si>
  <si>
    <t>15.96*</t>
  </si>
  <si>
    <t>15.97*</t>
  </si>
  <si>
    <t>15.89*</t>
  </si>
  <si>
    <t>15.88*</t>
  </si>
  <si>
    <t>16.12*</t>
  </si>
  <si>
    <t>16.04*</t>
  </si>
  <si>
    <t>15.94*</t>
  </si>
  <si>
    <t>15.86*</t>
  </si>
  <si>
    <t>1016-2</t>
  </si>
  <si>
    <t>Galβ1-3(Fucα1-4)GlcNAcβ1-3(6SGlcNAcβ1-6)GalNAcol</t>
  </si>
  <si>
    <t>16.85*</t>
  </si>
  <si>
    <t>16.28*</t>
  </si>
  <si>
    <t>16.60*</t>
  </si>
  <si>
    <t>16.25*</t>
  </si>
  <si>
    <t>16.37*</t>
  </si>
  <si>
    <t>16.26*</t>
  </si>
  <si>
    <t>16.20*</t>
  </si>
  <si>
    <t>16.53*</t>
  </si>
  <si>
    <t>16.22*</t>
  </si>
  <si>
    <t>16.45*</t>
  </si>
  <si>
    <t>16.41*</t>
  </si>
  <si>
    <t>16.27*</t>
  </si>
  <si>
    <t>16.48*</t>
  </si>
  <si>
    <t>1016-3</t>
  </si>
  <si>
    <t>GlcNAcβ1-3[Galβ1-3(Fucα1-4)(6S)GlcNAcβ1-6]GalNAcol</t>
  </si>
  <si>
    <t>1016-5</t>
  </si>
  <si>
    <t>GlcNAcβ1-3[Fucα1-2Galβ1-4(6S)GlcNAcβ1-6]GalNAcol</t>
  </si>
  <si>
    <t>1016-6</t>
  </si>
  <si>
    <t>19.39*</t>
  </si>
  <si>
    <t>19.36*</t>
  </si>
  <si>
    <t>1016-7</t>
  </si>
  <si>
    <t>Fucα1-2Galβ1-4GlcNAcβ-3(6SGlcNAcβ1-6)GalNAcol</t>
  </si>
  <si>
    <t>NeuAc1Hex1HexNAc2deHex1</t>
  </si>
  <si>
    <t>14.20*</t>
  </si>
  <si>
    <t>1032-5</t>
  </si>
  <si>
    <t>Hex2HexNAc3Sul1</t>
  </si>
  <si>
    <t>20.39*</t>
  </si>
  <si>
    <t>1032-6</t>
  </si>
  <si>
    <t>NeuGc1Hex1HexNAc2deHex1</t>
  </si>
  <si>
    <t xml:space="preserve">Gal-(Fuc)GlcNAcβ1-3(NeuGcα2-6)GalNAcol
</t>
  </si>
  <si>
    <t>1055-3</t>
  </si>
  <si>
    <t>Hex2HexNAc2deHex1Sul2</t>
  </si>
  <si>
    <t>Galβ1-3[3SGal-(Fuc)(6S)GlcNAcβ1-6]GalNAcol</t>
  </si>
  <si>
    <t>16.07*</t>
  </si>
  <si>
    <t>16.10*</t>
  </si>
  <si>
    <t>15.98*</t>
  </si>
  <si>
    <t>16.32*</t>
  </si>
  <si>
    <t>16.14*</t>
  </si>
  <si>
    <t>16.05*</t>
  </si>
  <si>
    <t>16.06*</t>
  </si>
  <si>
    <t>1055-4</t>
  </si>
  <si>
    <t>Gal-(Fuc)(6S)GlcNAc-(6S)Galβ1-3GalNAcol</t>
  </si>
  <si>
    <t>17.98*</t>
  </si>
  <si>
    <t>16.89*</t>
  </si>
  <si>
    <t>17.29*</t>
  </si>
  <si>
    <t>17.13*</t>
  </si>
  <si>
    <t>17.00*</t>
  </si>
  <si>
    <t>16.98*</t>
  </si>
  <si>
    <t>17.15*</t>
  </si>
  <si>
    <t>17.16*</t>
  </si>
  <si>
    <t>NeuGc1Hex2HexNAc1deHex1Sul1</t>
  </si>
  <si>
    <t>NeuGcα2-3Gal(Fuc)(6S)GlcNAcβ1-3Galol</t>
  </si>
  <si>
    <t>13.50*</t>
  </si>
  <si>
    <t>13.59*</t>
  </si>
  <si>
    <t>1096-1</t>
  </si>
  <si>
    <t>Hex1HexNAc3deHex1Sul2</t>
  </si>
  <si>
    <t>6SGalβ1-3(Fucα1-4)GlcNAcβ1-3(6SGlcNAcβ1-6)GalNAcol</t>
  </si>
  <si>
    <t>1096-2</t>
  </si>
  <si>
    <t>6SGalβ1-(Fucα1-)(6S)GlcNAcβ1-3(GlcNAcβ1-6)GalNAcol</t>
  </si>
  <si>
    <t>1121-1</t>
  </si>
  <si>
    <t>Hex2HexNAc2deHex2Sul1</t>
  </si>
  <si>
    <t>Galβ1-3[Fucα1-2Galβ1-4(Fucα1-3)(6S)GlcNAcβ1-6]GalNAcol</t>
  </si>
  <si>
    <t>y</t>
  </si>
  <si>
    <t>1121-2</t>
  </si>
  <si>
    <t>Fucα1-2Galβ1-3[Galβ1-4(Fucα1-3)(6S)GlcNAcβ1-6]GalNAcol</t>
  </si>
  <si>
    <t>27.64*</t>
  </si>
  <si>
    <t>27.87*</t>
  </si>
  <si>
    <t>1121-3</t>
  </si>
  <si>
    <t>Fucα1-2Galβ1-3[Fucα1-2Galβ1-4(6S)GlcNAcβ1-6]GalNAcol</t>
  </si>
  <si>
    <t>1136-1</t>
  </si>
  <si>
    <t>NeuGc1Hex2HexNAc2Sul1</t>
  </si>
  <si>
    <t>NeuGcα2-6(3S)Galβ1-4GlcNAcβ1-3Galβ1-3GalNAcol</t>
  </si>
  <si>
    <t>1136-2</t>
  </si>
  <si>
    <t>1178-6</t>
  </si>
  <si>
    <t>Hex2HexNAc3deHex1Sul1</t>
  </si>
  <si>
    <t>Gal-GlcNAcβ1-3[Gal(Fuc)(6S)GlcNAcβ1-6]GalNAcol</t>
  </si>
  <si>
    <t>Hex2HexNAc2deHex2Sul2</t>
  </si>
  <si>
    <t>27.46*</t>
  </si>
  <si>
    <t>1202-1</t>
  </si>
  <si>
    <t>NeuGc1Hex2HexNAc2deHex1</t>
  </si>
  <si>
    <t>NeuGcα2-3Galβ1-3[Galβ1-4(Fucα1-3)GlcNAcβ1-6]GalNAcol</t>
  </si>
  <si>
    <t>18.18*</t>
  </si>
  <si>
    <t>18.10*</t>
  </si>
  <si>
    <t>18.09*</t>
  </si>
  <si>
    <t>17.93*</t>
  </si>
  <si>
    <t>18.25*</t>
  </si>
  <si>
    <t>18.05*</t>
  </si>
  <si>
    <t>18.26*</t>
  </si>
  <si>
    <t>18.19*</t>
  </si>
  <si>
    <t>18.62*</t>
  </si>
  <si>
    <t>1202-2</t>
  </si>
  <si>
    <t>NeuGcα2-3Galβ1-3 (Fucα1-2Galβ1-4GlcNAcβ1-6)GalNAcol</t>
  </si>
  <si>
    <t>Hex1HexNAc4deHex1Sul1</t>
  </si>
  <si>
    <t>GalNAcα1-3(Fucα1-2)Galβ1-3GlcNAcβ1-3(6SGlcNAcβ1-6)GalNAcol</t>
  </si>
  <si>
    <t>NeuGc1Hex1HexNAc3Sul2</t>
  </si>
  <si>
    <t>6SGlcNAcβ1-3[NeuGcα2-(S)Gal-GlcNAcβ1-6]GalNAcol</t>
  </si>
  <si>
    <t>1258-1</t>
  </si>
  <si>
    <t>Hex2HexNAc3deHex1Sul2</t>
  </si>
  <si>
    <t>Not assigned</t>
  </si>
  <si>
    <t>19.79*</t>
  </si>
  <si>
    <t>1258-2</t>
  </si>
  <si>
    <t>20.27*</t>
  </si>
  <si>
    <t>19.56*</t>
  </si>
  <si>
    <t>1258-3</t>
  </si>
  <si>
    <t>20.15*</t>
  </si>
  <si>
    <t>1258-4</t>
  </si>
  <si>
    <t>21.86*</t>
  </si>
  <si>
    <t>21.56*</t>
  </si>
  <si>
    <t>1258-5</t>
  </si>
  <si>
    <t>1258-6</t>
  </si>
  <si>
    <t>NeuAc1Hex2HexNAc2deHex1Sul1</t>
  </si>
  <si>
    <t>NeuAcα2-3Galβ1-3[Fucα1-2(S)Galβ1-4GlcNAcβ1-6]GalNAcol</t>
  </si>
  <si>
    <t>18.95*</t>
  </si>
  <si>
    <t>Hex2HexNAc2deHex3Sul1</t>
  </si>
  <si>
    <t>Fucα1-2Galβ1-3[Fucα1-2Galβ1-4(Fucα1-3)(6S)GlcNAcβ1-6]GalNAcol</t>
  </si>
  <si>
    <t>1274-1</t>
  </si>
  <si>
    <t>Hex3HexNAc3Sul2</t>
  </si>
  <si>
    <t>1274-2</t>
  </si>
  <si>
    <t>SGalβ1-GlcNAcβ1-3[Galβ1-4(6S)GlcNAcβ1-6]Galβ1-3GalNAcol</t>
  </si>
  <si>
    <t>1282-2</t>
  </si>
  <si>
    <t>NeuGc1Hex2HexNAc2deHex1Sul1</t>
  </si>
  <si>
    <t>17.99*</t>
  </si>
  <si>
    <t>17.95*</t>
  </si>
  <si>
    <t>1282-3</t>
  </si>
  <si>
    <t>1323-1</t>
  </si>
  <si>
    <t>NeuAc1Hex2HexNAc3Sul1</t>
  </si>
  <si>
    <t>20.34*</t>
  </si>
  <si>
    <t>20.23*</t>
  </si>
  <si>
    <t>20.01*</t>
  </si>
  <si>
    <t>20.06*</t>
  </si>
  <si>
    <t>20.49*</t>
  </si>
  <si>
    <t>20.12*</t>
  </si>
  <si>
    <t>20.14*</t>
  </si>
  <si>
    <t>1324-1</t>
  </si>
  <si>
    <t>Hex2HexNAc3deHex2Sul1</t>
  </si>
  <si>
    <t>16.23*</t>
  </si>
  <si>
    <t>15.57*</t>
  </si>
  <si>
    <t>15.75*</t>
  </si>
  <si>
    <t>15.65*</t>
  </si>
  <si>
    <t>15.69*</t>
  </si>
  <si>
    <t>15.67*</t>
  </si>
  <si>
    <t>15.72*</t>
  </si>
  <si>
    <t>15.74*</t>
  </si>
  <si>
    <t>15.64*</t>
  </si>
  <si>
    <t>15.70*</t>
  </si>
  <si>
    <t>1324-2</t>
  </si>
  <si>
    <t>Gal(Fuc)GlcNAcβ1-3[Gal(Fuc)(6S)GlcNAcβ1-6]GalNAcol</t>
  </si>
  <si>
    <t>1324-3</t>
  </si>
  <si>
    <t>SGal-(Fuc)GlcNAcβ1-3[SGal-(Fuc)GlcNAcβ1-6]GalNAcol</t>
  </si>
  <si>
    <t>17.65*</t>
  </si>
  <si>
    <t>17.76*</t>
  </si>
  <si>
    <t>1324-4</t>
  </si>
  <si>
    <t>Fucα1-2Gal-(Fuc)(6S)GlcNAcβ1-6(Gal-GlcNAcβ1-3)GalNAcol</t>
  </si>
  <si>
    <t>1324-6</t>
  </si>
  <si>
    <t>Hex2HexNAc3deHex2sul1</t>
  </si>
  <si>
    <t>Fucα1-2Gal-(6S)GlcNAcβ1-3(Fucα1-2Gal-GlcNAcβ1-6)GalNAcol</t>
  </si>
  <si>
    <t>21.66*</t>
  </si>
  <si>
    <t>20.22*</t>
  </si>
  <si>
    <t>21.68*</t>
  </si>
  <si>
    <t>20.30*</t>
  </si>
  <si>
    <t>21.34*</t>
  </si>
  <si>
    <t>1339-1</t>
  </si>
  <si>
    <t>NeuGc1Hex2HexNAc3Sul1</t>
  </si>
  <si>
    <t>3SGal-GlcNAcβ1-3Galβ1-4GlcNAcβ1-3(NeuGcα2-6)GalNAcol</t>
  </si>
  <si>
    <t>NeuGc1Hex2HexNAc2deHex2</t>
  </si>
  <si>
    <t>22.88*</t>
  </si>
  <si>
    <t>22.91*</t>
  </si>
  <si>
    <t>Hex1HexNAc4deHex2Sul1</t>
  </si>
  <si>
    <t>GalNAcα1-3(Fucα1-2)Gal-(Fuc)(6S)GlcNAcβ1-6(GlcNAcβ1-3)GalNAcol</t>
  </si>
  <si>
    <t>16.70*</t>
  </si>
  <si>
    <t>16.88*</t>
  </si>
  <si>
    <t>1378-3</t>
  </si>
  <si>
    <t>NeuGc1Hex3HexNAc2Sul2</t>
  </si>
  <si>
    <t>1381-1</t>
  </si>
  <si>
    <t>Hex2HexNAc4deHex1Sul1</t>
  </si>
  <si>
    <t>19.44*</t>
  </si>
  <si>
    <t>20.85*</t>
  </si>
  <si>
    <t>NeuGc1Hex3HexNAc2deHex1Sul1</t>
  </si>
  <si>
    <t>18.45*</t>
  </si>
  <si>
    <t>18.66*</t>
  </si>
  <si>
    <t>18.46*</t>
  </si>
  <si>
    <t>1470-1</t>
  </si>
  <si>
    <t>Hex2HexNAc3deHex3Sul1</t>
  </si>
  <si>
    <t>Fucα1-2Galβ1-3(Fucα1-4)(6S)GlcNAcβ1-3[Gal-(Fuc-)GlcNAcβ1-6]GalNAcol</t>
  </si>
  <si>
    <t>1470-2</t>
  </si>
  <si>
    <t>1470-5</t>
  </si>
  <si>
    <t>24.24*</t>
  </si>
  <si>
    <t>22.81*</t>
  </si>
  <si>
    <t>NeuGc1Hex2HexNAc3deHex1Sul1</t>
  </si>
  <si>
    <t>SGal-(Fuc)GlcNAcβ1-3Galβ1-4GlcNAcβ1-3(NeuGcα2-6)GalNAcol</t>
  </si>
  <si>
    <t>NeuGc1Hex3HexNAc3Sul1</t>
  </si>
  <si>
    <t>Gal-GlcNAcβ1-3[NeuGcα2-6(3S)Galβ1-GlcNAcβ1-6]Galβ1-3GalNAcol</t>
  </si>
  <si>
    <t>1524-2</t>
  </si>
  <si>
    <t>NeuGc1Hex3HexNAc2deHex1Sul2</t>
  </si>
  <si>
    <t>1527-5</t>
  </si>
  <si>
    <t>Hex2HexNAc4deHex2Sul1</t>
  </si>
  <si>
    <t>Gal-GlcNAcβ1-3[GalNAcα1-3(Fucα1-2)Gal-(6S)(Fuc)GlcNAcβ1-6]GalNAcol</t>
  </si>
  <si>
    <t>18.75*</t>
  </si>
  <si>
    <t>18.30*</t>
  </si>
  <si>
    <t>17.92*</t>
  </si>
  <si>
    <t>18.14*</t>
  </si>
  <si>
    <t>18.27*</t>
  </si>
  <si>
    <t>18.24*</t>
  </si>
  <si>
    <t>18.31*</t>
  </si>
  <si>
    <t>NeuGc1Hex2HexNAc3deHex2</t>
  </si>
  <si>
    <t>NeuGcα2-3Galβ1-3[GalNAcα1-3(Fucα1-2)Gal-(Fuc)GlcNAcβ1-6]GalNAcol</t>
  </si>
  <si>
    <t>17.41*</t>
  </si>
  <si>
    <t>17.40*</t>
  </si>
  <si>
    <t>17.44*</t>
  </si>
  <si>
    <t>17.38*</t>
  </si>
  <si>
    <t>17.22*</t>
  </si>
  <si>
    <t>1607-3</t>
  </si>
  <si>
    <t>Hex2HexNAc4deHex2Sul2</t>
  </si>
  <si>
    <t>Gal-(Fuc)(6S)GlcNAcβ1-3[GalNAcα1-3(Fucα1-2)Gal-(6S)GlcNAcβ1-6]GalNAcol</t>
  </si>
  <si>
    <t>NeuGc1Hex3HexNAc3deHex1Sul1</t>
  </si>
  <si>
    <t>Gal-(Fuc)GlcNAcβ1-3[NeuGcα2-6(3S)Galβ1-GlcNAcβ1-6]Galβ1-3GalNAcol</t>
  </si>
  <si>
    <t>1834-2</t>
  </si>
  <si>
    <t>NeuGc1Hex2HexNAc4deHex2Sul1</t>
  </si>
  <si>
    <t>18.36*</t>
  </si>
  <si>
    <t>18.74*</t>
  </si>
  <si>
    <t>NeuGc1Hex3HexNAc4deHex1Sul1</t>
  </si>
  <si>
    <t>Hex2HexNAc5deHex3Sul1</t>
  </si>
  <si>
    <t>GalNAcα1-3(Fucα1-2)Gal-GlcNAcβ1-3[GalNAcα1-3(Fucα1-2)Gal-(Fuc)(6S)GlcNAcβ1-6]GalNAcol</t>
  </si>
  <si>
    <t>1914-1</t>
  </si>
  <si>
    <t>NeuGc1Hex2HexNAc4deHex2Sul2</t>
  </si>
  <si>
    <t>1930-1</t>
  </si>
  <si>
    <t>NeuGc1Hex3HexNAc4deHex1Sul2</t>
  </si>
  <si>
    <t>2076-1</t>
  </si>
  <si>
    <t>NeuGc1Hex3HexNAc4deHex2Sul2</t>
  </si>
  <si>
    <t>19,33*</t>
  </si>
  <si>
    <t>19,11*</t>
  </si>
  <si>
    <t>19,87*</t>
  </si>
  <si>
    <t>19,02*</t>
  </si>
  <si>
    <t>17.09*</t>
  </si>
  <si>
    <t>Fucα1-2Galβ1-3[SGalβ1-4(Fucα1-3)(6S)GlcNAcβ1-6]GalNAcol</t>
  </si>
  <si>
    <t>GlcNAcα1-4(Fucα1-2)Galβ1-3GlcNAcβ1-3[Galβ1-4(6S)GlcNAcβ1-6]GalNAcol</t>
  </si>
  <si>
    <t>Fucα1-2Galβ1-3GlcNAcβ1-3[Fucα1-2Galβ1-3(Fucα1-4)(6S)GlcNAcβ1-6]GalNAcol</t>
  </si>
  <si>
    <t>24.29*</t>
  </si>
  <si>
    <t>Fucα1-2Galβ1-3(6S)GlcNAcβ1-3[Fucα1-2Galβ1-4(Fucα1-3)GlcNAcβ1-6]GalNAcol</t>
  </si>
  <si>
    <t>a</t>
  </si>
  <si>
    <t>H3/x</t>
  </si>
  <si>
    <t>H3</t>
  </si>
  <si>
    <t>x/H3</t>
  </si>
  <si>
    <t>H3/H2</t>
  </si>
  <si>
    <t>H1/b</t>
  </si>
  <si>
    <t>H1/y</t>
  </si>
  <si>
    <t>Blood A</t>
  </si>
  <si>
    <t>16.54*</t>
  </si>
  <si>
    <t>16,65*</t>
  </si>
  <si>
    <t>15,84*</t>
  </si>
  <si>
    <t>16,00*</t>
  </si>
  <si>
    <t>17.82*</t>
  </si>
  <si>
    <r>
      <t>NeuGcα2-3Galβ1-3(SGal</t>
    </r>
    <r>
      <rPr>
        <sz val="11"/>
        <rFont val="Calibri"/>
        <family val="2"/>
      </rPr>
      <t>β1</t>
    </r>
    <r>
      <rPr>
        <sz val="11"/>
        <rFont val="Calibri"/>
        <family val="2"/>
        <scheme val="minor"/>
      </rPr>
      <t>-3GlcNAcβ1-6)GalNAcol</t>
    </r>
  </si>
  <si>
    <r>
      <t>3SGal</t>
    </r>
    <r>
      <rPr>
        <sz val="11"/>
        <rFont val="Calibri"/>
        <family val="2"/>
      </rPr>
      <t>β</t>
    </r>
    <r>
      <rPr>
        <sz val="8.8000000000000007"/>
        <rFont val="Calibri"/>
        <family val="2"/>
      </rPr>
      <t>1</t>
    </r>
    <r>
      <rPr>
        <sz val="11"/>
        <rFont val="Calibri"/>
        <family val="2"/>
        <scheme val="minor"/>
      </rPr>
      <t>-4GlcNAcβ1-3Galβ1-3[Gal</t>
    </r>
    <r>
      <rPr>
        <sz val="11"/>
        <rFont val="Calibri"/>
        <family val="2"/>
      </rPr>
      <t>β</t>
    </r>
    <r>
      <rPr>
        <sz val="8.8000000000000007"/>
        <rFont val="Calibri"/>
        <family val="2"/>
      </rPr>
      <t>1</t>
    </r>
    <r>
      <rPr>
        <sz val="11"/>
        <rFont val="Calibri"/>
        <family val="2"/>
        <scheme val="minor"/>
      </rPr>
      <t>-4(6S)GlcNAcβ1-6]GalNAcol</t>
    </r>
  </si>
  <si>
    <t>Galβ1-3[GalNAcα1-3(Fucα1-2)Gal-(Fucα1-3/4)(6S)GlcNAcβ1-6]GalNAcol</t>
  </si>
  <si>
    <r>
      <t>GlcNAc</t>
    </r>
    <r>
      <rPr>
        <sz val="11"/>
        <rFont val="Calibri"/>
        <family val="2"/>
      </rPr>
      <t>β</t>
    </r>
    <r>
      <rPr>
        <sz val="11"/>
        <rFont val="Calibri"/>
        <family val="2"/>
        <scheme val="minor"/>
      </rPr>
      <t>1-3GalNAcol</t>
    </r>
  </si>
  <si>
    <r>
      <t>6SGlcNAc</t>
    </r>
    <r>
      <rPr>
        <sz val="11"/>
        <rFont val="Calibri"/>
        <family val="2"/>
      </rPr>
      <t>β1-3GalNAcol</t>
    </r>
  </si>
  <si>
    <r>
      <t>Gal</t>
    </r>
    <r>
      <rPr>
        <sz val="11"/>
        <rFont val="Calibri"/>
        <family val="2"/>
      </rPr>
      <t>β</t>
    </r>
    <r>
      <rPr>
        <sz val="11"/>
        <rFont val="Calibri"/>
        <family val="2"/>
        <scheme val="minor"/>
      </rPr>
      <t>1-4GlcNAc</t>
    </r>
    <r>
      <rPr>
        <sz val="11"/>
        <rFont val="Calibri"/>
        <family val="2"/>
      </rPr>
      <t>β</t>
    </r>
    <r>
      <rPr>
        <sz val="11"/>
        <rFont val="Calibri"/>
        <family val="2"/>
        <scheme val="minor"/>
      </rPr>
      <t>1-3GalNAcol</t>
    </r>
  </si>
  <si>
    <r>
      <t>NeuGc</t>
    </r>
    <r>
      <rPr>
        <sz val="11"/>
        <rFont val="Calibri"/>
        <family val="2"/>
      </rPr>
      <t>α</t>
    </r>
    <r>
      <rPr>
        <sz val="11"/>
        <rFont val="Calibri"/>
        <family val="2"/>
        <scheme val="minor"/>
      </rPr>
      <t>2-3Gal</t>
    </r>
    <r>
      <rPr>
        <sz val="11"/>
        <rFont val="Calibri"/>
        <family val="2"/>
      </rPr>
      <t>β</t>
    </r>
    <r>
      <rPr>
        <sz val="11"/>
        <rFont val="Calibri"/>
        <family val="2"/>
        <scheme val="minor"/>
      </rPr>
      <t>1-3GalNAcol</t>
    </r>
  </si>
  <si>
    <r>
      <t>6SGlcNAc</t>
    </r>
    <r>
      <rPr>
        <sz val="11"/>
        <rFont val="Calibri"/>
        <family val="2"/>
      </rPr>
      <t>β1-3(GlcNAcβ1-6)GalNAcol</t>
    </r>
  </si>
  <si>
    <r>
      <t>GlcNAc</t>
    </r>
    <r>
      <rPr>
        <sz val="11"/>
        <rFont val="Calibri"/>
        <family val="2"/>
      </rPr>
      <t>β1-3(6SGlcNAcβ1-6)GalNAcol</t>
    </r>
  </si>
  <si>
    <r>
      <t>GalNAcα1-3</t>
    </r>
    <r>
      <rPr>
        <sz val="11"/>
        <rFont val="Calibri"/>
        <family val="2"/>
      </rPr>
      <t>(NeuAcα2-6)</t>
    </r>
    <r>
      <rPr>
        <sz val="11"/>
        <rFont val="Calibri"/>
        <family val="2"/>
        <scheme val="minor"/>
      </rPr>
      <t>GalNAcol</t>
    </r>
  </si>
  <si>
    <r>
      <t>Gal</t>
    </r>
    <r>
      <rPr>
        <sz val="11"/>
        <rFont val="Calibri"/>
        <family val="2"/>
      </rPr>
      <t>β1-3(3SGalβ1-4GlcNAcβ1-6)GalNAcol</t>
    </r>
  </si>
  <si>
    <r>
      <t>Gal-GlcNAc</t>
    </r>
    <r>
      <rPr>
        <sz val="11"/>
        <rFont val="Calibri"/>
        <family val="2"/>
      </rPr>
      <t>β</t>
    </r>
    <r>
      <rPr>
        <sz val="11"/>
        <rFont val="Calibri"/>
        <family val="2"/>
        <scheme val="minor"/>
      </rPr>
      <t>1-3(NeuGcα2-6)GalNAcol</t>
    </r>
  </si>
  <si>
    <r>
      <t>NeuGc</t>
    </r>
    <r>
      <rPr>
        <sz val="11"/>
        <rFont val="Calibri"/>
        <family val="2"/>
      </rPr>
      <t>α2-3</t>
    </r>
    <r>
      <rPr>
        <sz val="11"/>
        <rFont val="Calibri"/>
        <family val="2"/>
        <scheme val="minor"/>
      </rPr>
      <t>Galβ1-3(GlcNAcβ1-6)GalNAcol</t>
    </r>
  </si>
  <si>
    <r>
      <t>6SGal</t>
    </r>
    <r>
      <rPr>
        <sz val="11"/>
        <rFont val="Times New Roman"/>
        <family val="1"/>
      </rPr>
      <t>β</t>
    </r>
    <r>
      <rPr>
        <sz val="11"/>
        <rFont val="Calibri"/>
        <family val="2"/>
        <scheme val="minor"/>
      </rPr>
      <t>1-3GlcNAc</t>
    </r>
    <r>
      <rPr>
        <sz val="11"/>
        <rFont val="Times New Roman"/>
        <family val="1"/>
      </rPr>
      <t>β</t>
    </r>
    <r>
      <rPr>
        <sz val="11"/>
        <rFont val="Calibri"/>
        <family val="2"/>
        <scheme val="minor"/>
      </rPr>
      <t>1-3(6SGlcNAc</t>
    </r>
    <r>
      <rPr>
        <sz val="11"/>
        <rFont val="Times New Roman"/>
        <family val="1"/>
      </rPr>
      <t>β</t>
    </r>
    <r>
      <rPr>
        <sz val="11"/>
        <rFont val="Calibri"/>
        <family val="2"/>
        <scheme val="minor"/>
      </rPr>
      <t>1-6)GalNAcol</t>
    </r>
  </si>
  <si>
    <r>
      <t>Galβ1-4GlcNAc</t>
    </r>
    <r>
      <rPr>
        <sz val="11"/>
        <rFont val="Calibri"/>
        <family val="2"/>
      </rPr>
      <t>β1-3[Galβ1-4(6S)GlcNAcβ1-6]GalNAcol</t>
    </r>
  </si>
  <si>
    <r>
      <t>Gal-GlcNAc</t>
    </r>
    <r>
      <rPr>
        <sz val="11"/>
        <rFont val="Calibri"/>
        <family val="2"/>
      </rPr>
      <t>β1-3[(S)Gal-GlcNAcβ1-6]GalNAcol</t>
    </r>
  </si>
  <si>
    <t xml:space="preserve">GalNAcα1-3(Fucα1-2)Galβ1-3(6SGlcNAcβ1-6)GalNAcol </t>
  </si>
  <si>
    <r>
      <t>Galβ1-3</t>
    </r>
    <r>
      <rPr>
        <sz val="11"/>
        <rFont val="Calibri"/>
        <family val="2"/>
      </rPr>
      <t>[Galβ</t>
    </r>
    <r>
      <rPr>
        <sz val="11"/>
        <rFont val="Calibri"/>
        <family val="2"/>
        <scheme val="minor"/>
      </rPr>
      <t>1-4</t>
    </r>
    <r>
      <rPr>
        <sz val="11"/>
        <rFont val="Calibri"/>
        <family val="2"/>
      </rPr>
      <t>(Fucα</t>
    </r>
    <r>
      <rPr>
        <sz val="11"/>
        <rFont val="Calibri"/>
        <family val="2"/>
        <scheme val="minor"/>
      </rPr>
      <t>1-3</t>
    </r>
    <r>
      <rPr>
        <sz val="11"/>
        <rFont val="Calibri"/>
        <family val="2"/>
      </rPr>
      <t>)(6S)GlcNAcβ1-6]</t>
    </r>
    <r>
      <rPr>
        <sz val="11"/>
        <rFont val="Calibri"/>
        <family val="2"/>
        <scheme val="minor"/>
      </rPr>
      <t>GalNAcol</t>
    </r>
  </si>
  <si>
    <r>
      <t>Gal</t>
    </r>
    <r>
      <rPr>
        <sz val="11"/>
        <rFont val="Calibri"/>
        <family val="2"/>
      </rPr>
      <t>β1-4</t>
    </r>
    <r>
      <rPr>
        <sz val="11"/>
        <rFont val="Calibri"/>
        <family val="2"/>
        <scheme val="minor"/>
      </rPr>
      <t>(Fuc</t>
    </r>
    <r>
      <rPr>
        <sz val="11"/>
        <rFont val="Calibri"/>
        <family val="2"/>
      </rPr>
      <t>α1-3</t>
    </r>
    <r>
      <rPr>
        <sz val="11"/>
        <rFont val="Calibri"/>
        <family val="2"/>
        <scheme val="minor"/>
      </rPr>
      <t>)GlcNAcβ1-3(NeuAcα2-6)GalNAcol</t>
    </r>
  </si>
  <si>
    <r>
      <t>NeuGcα2-3Galβ1-3[Fucα1-2Gal</t>
    </r>
    <r>
      <rPr>
        <sz val="11"/>
        <rFont val="Calibri"/>
        <family val="2"/>
      </rPr>
      <t>β</t>
    </r>
    <r>
      <rPr>
        <sz val="8.8000000000000007"/>
        <rFont val="Calibri"/>
        <family val="2"/>
      </rPr>
      <t>1</t>
    </r>
    <r>
      <rPr>
        <sz val="11"/>
        <rFont val="Calibri"/>
        <family val="2"/>
        <scheme val="minor"/>
      </rPr>
      <t>-4(Fucα1-3)GlcNAcβ1-6]GalNAcol</t>
    </r>
  </si>
  <si>
    <t>Footnote:</t>
  </si>
  <si>
    <t>[1]</t>
  </si>
  <si>
    <t>mass of strucutre in negative ion mode; mass with hyphens indicates the isomeric structures;</t>
  </si>
  <si>
    <t>[2]</t>
  </si>
  <si>
    <t>(Hex) hexose; (HexNAc) N-acetylhexosamine; (deHex) fucose; (NeuAc) N-acetylneuraminic acid; (NeuGc) N-acetyl glycolylneuraminic acid; (S) sulfate</t>
  </si>
  <si>
    <t>[3]</t>
  </si>
  <si>
    <t>structures are given in the text according following rules: the structure is described clockwise and left-to-right where reducing end locates rightmost side (as shown in cartoon figure); "-" is used for uncertain location</t>
  </si>
  <si>
    <t>The cartoon figure is described as "NeuAcα2-6Galβ1-4GlcNAcβ1-2(Galβ1-4GlcNAcβ1-4)Manα1-3(GlcNAcβ1-4)(Galβ1-4GlcNAcβ1-2Manα1-6)Manβ1-4GlcNAcβ1-4(Fucα1-6)GlcNAcol"</t>
  </si>
  <si>
    <t>[4]</t>
  </si>
  <si>
    <t>[5]</t>
  </si>
  <si>
    <t>Sample name</t>
  </si>
  <si>
    <t>[6]</t>
  </si>
  <si>
    <t>Retention time (RT) of selected structure on LC</t>
  </si>
  <si>
    <t>[7]</t>
  </si>
  <si>
    <t>The intensity is area-under-the-curves (AUCs) of each glycan. For comparsion of glycan abundances between samples, the intensity is normalised to total AUC (summed AUCs of all glycans in a sample) and expressed as a percentage</t>
  </si>
  <si>
    <t>A/a/x</t>
  </si>
  <si>
    <t>A/A</t>
  </si>
  <si>
    <t>a/x</t>
  </si>
  <si>
    <t>A</t>
  </si>
  <si>
    <t>y/H3</t>
  </si>
  <si>
    <t>a/x/b/y</t>
  </si>
  <si>
    <t>b/y</t>
  </si>
  <si>
    <r>
      <t xml:space="preserve">(Gal) </t>
    </r>
    <r>
      <rPr>
        <sz val="9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-Galactose; (Fuc)</t>
    </r>
    <r>
      <rPr>
        <sz val="9"/>
        <color theme="1"/>
        <rFont val="Calibri"/>
        <family val="2"/>
        <scheme val="minor"/>
      </rPr>
      <t xml:space="preserve"> L</t>
    </r>
    <r>
      <rPr>
        <sz val="11"/>
        <color theme="1"/>
        <rFont val="Calibri"/>
        <family val="2"/>
        <scheme val="minor"/>
      </rPr>
      <t xml:space="preserve">-Fucose; (GlcNAc) </t>
    </r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-acetyl-</t>
    </r>
    <r>
      <rPr>
        <sz val="9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-glucosamine; (GalNAc) </t>
    </r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-acetyl-</t>
    </r>
    <r>
      <rPr>
        <sz val="9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-galactosamine; (NA) not assigned; (nd) not detected; (Neg ctr) negative control: cMO without enzyme; (Fucosylation: a/x/b/y) Lewis antigen a/x/b/y; (Fucosylation: A) Blood goup A; (Fucosylation: H) H type epitope; (Fucosylation: H1/2) H type 1 or type 2</t>
    </r>
  </si>
  <si>
    <t>b/ a/x</t>
  </si>
  <si>
    <r>
      <t>Mass</t>
    </r>
    <r>
      <rPr>
        <vertAlign val="superscript"/>
        <sz val="11"/>
        <color theme="0"/>
        <rFont val="Calibri"/>
        <family val="2"/>
      </rPr>
      <t>[1]</t>
    </r>
  </si>
  <si>
    <r>
      <t>Composition</t>
    </r>
    <r>
      <rPr>
        <vertAlign val="superscript"/>
        <sz val="11"/>
        <color theme="0"/>
        <rFont val="Calibri"/>
        <family val="2"/>
      </rPr>
      <t>[2]</t>
    </r>
  </si>
  <si>
    <r>
      <t xml:space="preserve">Putative structures </t>
    </r>
    <r>
      <rPr>
        <vertAlign val="superscript"/>
        <sz val="11"/>
        <color theme="0"/>
        <rFont val="Calibri"/>
        <family val="2"/>
        <scheme val="minor"/>
      </rPr>
      <t>[3]</t>
    </r>
    <r>
      <rPr>
        <sz val="11"/>
        <color theme="0"/>
        <rFont val="Calibri"/>
        <family val="2"/>
        <scheme val="minor"/>
      </rPr>
      <t xml:space="preserve">           </t>
    </r>
  </si>
  <si>
    <r>
      <t>Fucose</t>
    </r>
    <r>
      <rPr>
        <vertAlign val="superscript"/>
        <sz val="11"/>
        <color theme="0"/>
        <rFont val="Calibri"/>
        <family val="2"/>
      </rPr>
      <t>[4]</t>
    </r>
  </si>
  <si>
    <r>
      <t xml:space="preserve">RT </t>
    </r>
    <r>
      <rPr>
        <vertAlign val="superscript"/>
        <sz val="11"/>
        <color theme="1"/>
        <rFont val="Calibri"/>
        <family val="2"/>
      </rPr>
      <t>[6]</t>
    </r>
  </si>
  <si>
    <r>
      <t>Intensity</t>
    </r>
    <r>
      <rPr>
        <vertAlign val="superscript"/>
        <sz val="11"/>
        <color theme="1"/>
        <rFont val="Calibri"/>
        <family val="2"/>
      </rPr>
      <t xml:space="preserve"> [7]</t>
    </r>
  </si>
  <si>
    <r>
      <t>Control</t>
    </r>
    <r>
      <rPr>
        <vertAlign val="superscript"/>
        <sz val="16"/>
        <rFont val="Calibri"/>
        <family val="2"/>
        <scheme val="minor"/>
      </rPr>
      <t>[5]</t>
    </r>
  </si>
  <si>
    <t>Percentage9</t>
  </si>
  <si>
    <t>RT10</t>
  </si>
  <si>
    <t>Intensity11</t>
  </si>
  <si>
    <t>Percentage912</t>
  </si>
  <si>
    <t>RT11</t>
  </si>
  <si>
    <t>Intensity12</t>
  </si>
  <si>
    <t>Percentage913</t>
  </si>
  <si>
    <t>RT12</t>
  </si>
  <si>
    <t>Intensity13</t>
  </si>
  <si>
    <t>Percentage914</t>
  </si>
  <si>
    <t>Intensity114</t>
  </si>
  <si>
    <t>Percentage9125</t>
  </si>
  <si>
    <t>RT13</t>
  </si>
  <si>
    <t>Intensity14</t>
  </si>
  <si>
    <t>Percentage915</t>
  </si>
  <si>
    <t>Intensity10</t>
  </si>
  <si>
    <t>Percentage911</t>
  </si>
  <si>
    <t>RT14</t>
  </si>
  <si>
    <t>Intensity15</t>
  </si>
  <si>
    <t>Percentage916</t>
  </si>
  <si>
    <t>Percentage910</t>
  </si>
  <si>
    <t>Percentage99</t>
  </si>
  <si>
    <t>RT15</t>
  </si>
  <si>
    <t>Intensity16</t>
  </si>
  <si>
    <t>Percentage917</t>
  </si>
  <si>
    <t>RT16</t>
  </si>
  <si>
    <t>Intensity17</t>
  </si>
  <si>
    <t>Percentage918</t>
  </si>
  <si>
    <t>Intensity18</t>
  </si>
  <si>
    <t>Percentage919</t>
  </si>
  <si>
    <t>RT17</t>
  </si>
  <si>
    <t>Intensity19</t>
  </si>
  <si>
    <t>Percentage920</t>
  </si>
  <si>
    <t>Intensity20</t>
  </si>
  <si>
    <t>Percentage921</t>
  </si>
  <si>
    <t>RT18</t>
  </si>
  <si>
    <t>Intensity21</t>
  </si>
  <si>
    <t>Percentage922</t>
  </si>
  <si>
    <t>Percentage98</t>
  </si>
  <si>
    <t>RT19</t>
  </si>
  <si>
    <t>Intensity22</t>
  </si>
  <si>
    <t>Percentage923</t>
  </si>
  <si>
    <t>Intensity23</t>
  </si>
  <si>
    <t>Percentage924</t>
  </si>
  <si>
    <t>RT20</t>
  </si>
  <si>
    <t>Intensity24</t>
  </si>
  <si>
    <t>Percentage925</t>
  </si>
  <si>
    <t>RT21</t>
  </si>
  <si>
    <t>Intensity25</t>
  </si>
  <si>
    <t>Percentage926</t>
  </si>
  <si>
    <t>Replicate 1</t>
  </si>
  <si>
    <t>Replicate 2</t>
  </si>
  <si>
    <t>Not detected after incubation with fucosidase</t>
  </si>
  <si>
    <t>Only detected after incubation with fucosidase</t>
  </si>
  <si>
    <r>
      <t>GH95 (</t>
    </r>
    <r>
      <rPr>
        <b/>
        <sz val="16"/>
        <color theme="0"/>
        <rFont val="Symbol"/>
        <family val="1"/>
        <charset val="2"/>
      </rPr>
      <t>a</t>
    </r>
    <r>
      <rPr>
        <b/>
        <sz val="16"/>
        <color theme="0"/>
        <rFont val="Calibri"/>
        <family val="2"/>
        <scheme val="minor"/>
      </rPr>
      <t>1,2-fucosidases)</t>
    </r>
  </si>
  <si>
    <r>
      <t>GH29 (</t>
    </r>
    <r>
      <rPr>
        <b/>
        <sz val="16"/>
        <color theme="0"/>
        <rFont val="Symbol"/>
        <family val="1"/>
        <charset val="2"/>
      </rPr>
      <t>a</t>
    </r>
    <r>
      <rPr>
        <b/>
        <sz val="16"/>
        <color theme="0"/>
        <rFont val="Calibri"/>
        <family val="2"/>
        <scheme val="minor"/>
      </rPr>
      <t>1,2/1,3/1,4-fucosidases)</t>
    </r>
  </si>
  <si>
    <t xml:space="preserve">RT*=manual calculation of intensity for glycan with MS2; </t>
  </si>
  <si>
    <t>Relative abundance of the oligosaccharide increased &gt;2% after incubation with fucosidase</t>
  </si>
  <si>
    <t>Supplementary Table 5. LC-MS analysis of activity of fucosidases on colonic mucin oligosaccharides (cMO)</t>
  </si>
  <si>
    <t>Types of fucose and sulfation modifications; Modification present (1) or absent (0)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</si>
</sst>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* #,##0.00\ &quot;kr&quot;_-;\-* #,##0.00\ &quot;kr&quot;_-;_-* &quot;-&quot;??\ &quot;kr&quot;_-;_-@_-"/>
    <numFmt numFmtId="164" formatCode="0.0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8.8000000000000007"/>
      <name val="Calibri"/>
      <family val="2"/>
    </font>
    <font>
      <sz val="11"/>
      <name val="Times New Roman"/>
      <family val="1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Calibri"/>
      <family val="2"/>
    </font>
    <font>
      <u/>
      <sz val="11"/>
      <color theme="10"/>
      <name val="Calibri"/>
      <family val="2"/>
    </font>
    <font>
      <sz val="16"/>
      <name val="Calibri"/>
      <family val="2"/>
      <scheme val="minor"/>
    </font>
    <font>
      <vertAlign val="superscript"/>
      <sz val="16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Arial"/>
      <family val="2"/>
    </font>
    <font>
      <vertAlign val="superscript"/>
      <sz val="11"/>
      <color theme="0"/>
      <name val="Calibri"/>
      <family val="2"/>
    </font>
    <font>
      <vertAlign val="superscript"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theme="0"/>
      <name val="Symbol"/>
      <family val="1"/>
      <charset val="2"/>
    </font>
    <font>
      <b/>
      <sz val="16"/>
      <color theme="1"/>
      <name val="Arial Bold"/>
    </font>
  </fonts>
  <fills count="1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E28700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A50021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</borders>
  <cellStyleXfs count="52">
    <xf numFmtId="0" fontId="0" fillId="0" borderId="0"/>
    <xf numFmtId="0" fontId="4" fillId="0" borderId="0"/>
    <xf numFmtId="0" fontId="9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4" fontId="1" fillId="0" borderId="0" applyFont="0" applyFill="0" applyBorder="0" applyAlignment="0" applyProtection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8" fillId="6" borderId="0" applyNumberFormat="0" applyBorder="0" applyAlignment="0" applyProtection="0"/>
    <xf numFmtId="0" fontId="4" fillId="0" borderId="0"/>
    <xf numFmtId="0" fontId="19" fillId="0" borderId="0" applyNumberFormat="0" applyFill="0" applyBorder="0" applyAlignment="0" applyProtection="0">
      <alignment vertical="top"/>
      <protection locked="0"/>
    </xf>
  </cellStyleXfs>
  <cellXfs count="179">
    <xf numFmtId="0" fontId="0" fillId="0" borderId="0" xfId="0"/>
    <xf numFmtId="0" fontId="0" fillId="0" borderId="0" xfId="0" applyAlignment="1">
      <alignment horizontal="right"/>
    </xf>
    <xf numFmtId="2" fontId="4" fillId="0" borderId="4" xfId="1" applyNumberFormat="1" applyBorder="1" applyAlignment="1">
      <alignment horizontal="right"/>
    </xf>
    <xf numFmtId="164" fontId="4" fillId="0" borderId="4" xfId="1" applyNumberFormat="1" applyBorder="1" applyAlignment="1">
      <alignment horizontal="right"/>
    </xf>
    <xf numFmtId="164" fontId="7" fillId="0" borderId="4" xfId="1" applyNumberFormat="1" applyFont="1" applyBorder="1" applyAlignment="1">
      <alignment horizontal="right"/>
    </xf>
    <xf numFmtId="2" fontId="10" fillId="0" borderId="4" xfId="1" applyNumberFormat="1" applyFont="1" applyBorder="1" applyAlignment="1">
      <alignment horizontal="right"/>
    </xf>
    <xf numFmtId="2" fontId="4" fillId="2" borderId="4" xfId="1" applyNumberFormat="1" applyFill="1" applyBorder="1" applyAlignment="1">
      <alignment horizontal="right"/>
    </xf>
    <xf numFmtId="164" fontId="10" fillId="0" borderId="4" xfId="1" applyNumberFormat="1" applyFont="1" applyBorder="1" applyAlignment="1">
      <alignment horizontal="right"/>
    </xf>
    <xf numFmtId="164" fontId="11" fillId="0" borderId="4" xfId="1" applyNumberFormat="1" applyFont="1" applyBorder="1" applyAlignment="1">
      <alignment horizontal="right"/>
    </xf>
    <xf numFmtId="0" fontId="11" fillId="0" borderId="0" xfId="0" applyFont="1"/>
    <xf numFmtId="0" fontId="0" fillId="0" borderId="0" xfId="0" applyAlignment="1">
      <alignment horizontal="left"/>
    </xf>
    <xf numFmtId="2" fontId="0" fillId="0" borderId="0" xfId="0" applyNumberFormat="1" applyAlignment="1">
      <alignment horizontal="right"/>
    </xf>
    <xf numFmtId="2" fontId="0" fillId="0" borderId="0" xfId="0" applyNumberFormat="1"/>
    <xf numFmtId="0" fontId="1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quotePrefix="1" applyFont="1" applyAlignment="1">
      <alignment horizontal="left"/>
    </xf>
    <xf numFmtId="0" fontId="10" fillId="0" borderId="0" xfId="1" applyFont="1" applyAlignment="1">
      <alignment horizontal="center"/>
    </xf>
    <xf numFmtId="0" fontId="10" fillId="0" borderId="3" xfId="1" applyFont="1" applyBorder="1" applyAlignment="1">
      <alignment horizontal="right"/>
    </xf>
    <xf numFmtId="0" fontId="17" fillId="0" borderId="0" xfId="0" applyFont="1" applyAlignment="1">
      <alignment horizontal="right"/>
    </xf>
    <xf numFmtId="0" fontId="24" fillId="0" borderId="0" xfId="0" applyFont="1"/>
    <xf numFmtId="0" fontId="17" fillId="0" borderId="0" xfId="0" applyFont="1"/>
    <xf numFmtId="2" fontId="4" fillId="0" borderId="0" xfId="1" applyNumberFormat="1" applyAlignment="1">
      <alignment horizontal="right"/>
    </xf>
    <xf numFmtId="164" fontId="7" fillId="0" borderId="0" xfId="1" applyNumberFormat="1" applyFont="1" applyAlignment="1">
      <alignment horizontal="right"/>
    </xf>
    <xf numFmtId="2" fontId="7" fillId="0" borderId="0" xfId="1" applyNumberFormat="1" applyFont="1" applyAlignment="1">
      <alignment horizontal="right"/>
    </xf>
    <xf numFmtId="164" fontId="11" fillId="0" borderId="0" xfId="1" applyNumberFormat="1" applyFont="1" applyAlignment="1">
      <alignment horizontal="right"/>
    </xf>
    <xf numFmtId="2" fontId="10" fillId="0" borderId="0" xfId="1" applyNumberFormat="1" applyFont="1" applyAlignment="1">
      <alignment horizontal="right"/>
    </xf>
    <xf numFmtId="0" fontId="18" fillId="0" borderId="0" xfId="1" applyFont="1" applyAlignment="1">
      <alignment horizontal="left" vertical="center"/>
    </xf>
    <xf numFmtId="0" fontId="4" fillId="0" borderId="0" xfId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4" fillId="5" borderId="4" xfId="1" applyNumberFormat="1" applyFill="1" applyBorder="1" applyAlignment="1">
      <alignment horizontal="right"/>
    </xf>
    <xf numFmtId="2" fontId="4" fillId="5" borderId="0" xfId="1" applyNumberFormat="1" applyFill="1" applyAlignment="1">
      <alignment horizontal="right"/>
    </xf>
    <xf numFmtId="164" fontId="7" fillId="5" borderId="4" xfId="1" applyNumberFormat="1" applyFont="1" applyFill="1" applyBorder="1" applyAlignment="1">
      <alignment horizontal="right"/>
    </xf>
    <xf numFmtId="2" fontId="10" fillId="5" borderId="4" xfId="1" applyNumberFormat="1" applyFont="1" applyFill="1" applyBorder="1" applyAlignment="1">
      <alignment horizontal="right"/>
    </xf>
    <xf numFmtId="2" fontId="4" fillId="5" borderId="4" xfId="1" applyNumberFormat="1" applyFill="1" applyBorder="1" applyAlignment="1">
      <alignment horizontal="right"/>
    </xf>
    <xf numFmtId="164" fontId="4" fillId="3" borderId="4" xfId="1" applyNumberFormat="1" applyFill="1" applyBorder="1" applyAlignment="1">
      <alignment horizontal="right"/>
    </xf>
    <xf numFmtId="2" fontId="4" fillId="3" borderId="4" xfId="1" applyNumberFormat="1" applyFill="1" applyBorder="1" applyAlignment="1">
      <alignment horizontal="right"/>
    </xf>
    <xf numFmtId="2" fontId="4" fillId="3" borderId="0" xfId="1" applyNumberFormat="1" applyFill="1" applyAlignment="1">
      <alignment horizontal="right"/>
    </xf>
    <xf numFmtId="2" fontId="4" fillId="0" borderId="2" xfId="1" applyNumberFormat="1" applyBorder="1" applyAlignment="1">
      <alignment horizontal="left" vertical="center"/>
    </xf>
    <xf numFmtId="0" fontId="4" fillId="0" borderId="1" xfId="1" applyBorder="1" applyAlignment="1">
      <alignment horizontal="left" vertical="center"/>
    </xf>
    <xf numFmtId="0" fontId="0" fillId="5" borderId="8" xfId="0" applyFill="1" applyBorder="1"/>
    <xf numFmtId="0" fontId="25" fillId="0" borderId="0" xfId="0" applyFont="1"/>
    <xf numFmtId="164" fontId="7" fillId="3" borderId="4" xfId="1" applyNumberFormat="1" applyFont="1" applyFill="1" applyBorder="1" applyAlignment="1">
      <alignment horizontal="right"/>
    </xf>
    <xf numFmtId="0" fontId="0" fillId="3" borderId="8" xfId="0" applyFill="1" applyBorder="1"/>
    <xf numFmtId="0" fontId="0" fillId="2" borderId="8" xfId="0" applyFill="1" applyBorder="1"/>
    <xf numFmtId="0" fontId="18" fillId="0" borderId="5" xfId="1" applyFont="1" applyBorder="1" applyAlignment="1">
      <alignment horizontal="right" vertical="center"/>
    </xf>
    <xf numFmtId="0" fontId="4" fillId="0" borderId="4" xfId="1" applyBorder="1" applyAlignment="1">
      <alignment horizontal="left" vertical="center"/>
    </xf>
    <xf numFmtId="0" fontId="10" fillId="0" borderId="9" xfId="1" applyFont="1" applyBorder="1" applyAlignment="1">
      <alignment horizontal="right"/>
    </xf>
    <xf numFmtId="164" fontId="4" fillId="0" borderId="0" xfId="1" applyNumberFormat="1" applyAlignment="1">
      <alignment horizontal="right"/>
    </xf>
    <xf numFmtId="164" fontId="4" fillId="5" borderId="0" xfId="1" applyNumberFormat="1" applyFill="1" applyAlignment="1">
      <alignment horizontal="right"/>
    </xf>
    <xf numFmtId="0" fontId="10" fillId="0" borderId="0" xfId="1" applyFont="1" applyAlignment="1">
      <alignment horizontal="right"/>
    </xf>
    <xf numFmtId="164" fontId="8" fillId="0" borderId="0" xfId="1" applyNumberFormat="1" applyFont="1" applyAlignment="1">
      <alignment horizontal="right"/>
    </xf>
    <xf numFmtId="164" fontId="8" fillId="5" borderId="0" xfId="1" applyNumberFormat="1" applyFont="1" applyFill="1" applyAlignment="1">
      <alignment horizontal="right"/>
    </xf>
    <xf numFmtId="164" fontId="7" fillId="5" borderId="0" xfId="1" applyNumberFormat="1" applyFont="1" applyFill="1" applyAlignment="1">
      <alignment horizontal="right"/>
    </xf>
    <xf numFmtId="164" fontId="4" fillId="3" borderId="0" xfId="1" applyNumberFormat="1" applyFill="1" applyAlignment="1">
      <alignment horizontal="right"/>
    </xf>
    <xf numFmtId="164" fontId="7" fillId="3" borderId="0" xfId="1" applyNumberFormat="1" applyFont="1" applyFill="1" applyAlignment="1">
      <alignment horizontal="right"/>
    </xf>
    <xf numFmtId="164" fontId="4" fillId="2" borderId="0" xfId="1" applyNumberFormat="1" applyFill="1" applyAlignment="1">
      <alignment horizontal="right"/>
    </xf>
    <xf numFmtId="164" fontId="7" fillId="2" borderId="0" xfId="1" applyNumberFormat="1" applyFont="1" applyFill="1" applyAlignment="1">
      <alignment horizontal="right"/>
    </xf>
    <xf numFmtId="164" fontId="10" fillId="0" borderId="0" xfId="1" applyNumberFormat="1" applyFont="1" applyAlignment="1">
      <alignment horizontal="right"/>
    </xf>
    <xf numFmtId="164" fontId="10" fillId="3" borderId="0" xfId="1" applyNumberFormat="1" applyFont="1" applyFill="1" applyAlignment="1">
      <alignment horizontal="right"/>
    </xf>
    <xf numFmtId="164" fontId="12" fillId="0" borderId="0" xfId="1" applyNumberFormat="1" applyFont="1" applyAlignment="1">
      <alignment horizontal="right"/>
    </xf>
    <xf numFmtId="164" fontId="13" fillId="3" borderId="0" xfId="1" applyNumberFormat="1" applyFont="1" applyFill="1" applyAlignment="1">
      <alignment horizontal="right"/>
    </xf>
    <xf numFmtId="164" fontId="12" fillId="3" borderId="0" xfId="1" applyNumberFormat="1" applyFont="1" applyFill="1" applyAlignment="1">
      <alignment horizontal="right"/>
    </xf>
    <xf numFmtId="164" fontId="8" fillId="3" borderId="0" xfId="1" applyNumberFormat="1" applyFont="1" applyFill="1" applyAlignment="1">
      <alignment horizontal="right"/>
    </xf>
    <xf numFmtId="164" fontId="10" fillId="5" borderId="0" xfId="1" applyNumberFormat="1" applyFont="1" applyFill="1" applyAlignment="1">
      <alignment horizontal="right"/>
    </xf>
    <xf numFmtId="164" fontId="0" fillId="0" borderId="0" xfId="3" applyNumberFormat="1" applyFont="1" applyAlignment="1">
      <alignment horizontal="right"/>
    </xf>
    <xf numFmtId="164" fontId="0" fillId="3" borderId="0" xfId="3" applyNumberFormat="1" applyFont="1" applyFill="1" applyAlignment="1">
      <alignment horizontal="right"/>
    </xf>
    <xf numFmtId="164" fontId="0" fillId="5" borderId="0" xfId="3" applyNumberFormat="1" applyFont="1" applyFill="1" applyAlignment="1">
      <alignment horizontal="right"/>
    </xf>
    <xf numFmtId="164" fontId="7" fillId="0" borderId="0" xfId="3" applyNumberFormat="1" applyFont="1" applyAlignment="1">
      <alignment horizontal="right"/>
    </xf>
    <xf numFmtId="164" fontId="7" fillId="3" borderId="0" xfId="3" applyNumberFormat="1" applyFont="1" applyFill="1" applyAlignment="1">
      <alignment horizontal="right"/>
    </xf>
    <xf numFmtId="164" fontId="1" fillId="5" borderId="0" xfId="1" applyNumberFormat="1" applyFont="1" applyFill="1" applyAlignment="1">
      <alignment horizontal="right"/>
    </xf>
    <xf numFmtId="0" fontId="10" fillId="0" borderId="0" xfId="0" applyFont="1" applyAlignment="1">
      <alignment horizontal="right"/>
    </xf>
    <xf numFmtId="0" fontId="0" fillId="0" borderId="7" xfId="0" applyBorder="1"/>
    <xf numFmtId="0" fontId="18" fillId="0" borderId="6" xfId="1" applyFont="1" applyBorder="1" applyAlignment="1">
      <alignment horizontal="left" vertical="center"/>
    </xf>
    <xf numFmtId="0" fontId="4" fillId="0" borderId="15" xfId="1" applyBorder="1" applyAlignment="1">
      <alignment horizontal="left" vertical="center"/>
    </xf>
    <xf numFmtId="2" fontId="4" fillId="5" borderId="6" xfId="1" applyNumberFormat="1" applyFill="1" applyBorder="1" applyAlignment="1">
      <alignment horizontal="right"/>
    </xf>
    <xf numFmtId="164" fontId="4" fillId="0" borderId="12" xfId="1" applyNumberFormat="1" applyBorder="1" applyAlignment="1">
      <alignment horizontal="right"/>
    </xf>
    <xf numFmtId="2" fontId="4" fillId="0" borderId="6" xfId="1" applyNumberFormat="1" applyBorder="1" applyAlignment="1">
      <alignment horizontal="right"/>
    </xf>
    <xf numFmtId="164" fontId="7" fillId="0" borderId="12" xfId="1" applyNumberFormat="1" applyFont="1" applyBorder="1" applyAlignment="1">
      <alignment horizontal="right"/>
    </xf>
    <xf numFmtId="2" fontId="4" fillId="3" borderId="6" xfId="1" applyNumberFormat="1" applyFill="1" applyBorder="1" applyAlignment="1">
      <alignment horizontal="right"/>
    </xf>
    <xf numFmtId="164" fontId="7" fillId="0" borderId="6" xfId="1" applyNumberFormat="1" applyFont="1" applyBorder="1" applyAlignment="1">
      <alignment horizontal="right"/>
    </xf>
    <xf numFmtId="2" fontId="7" fillId="0" borderId="6" xfId="1" applyNumberFormat="1" applyFont="1" applyBorder="1" applyAlignment="1">
      <alignment horizontal="right"/>
    </xf>
    <xf numFmtId="164" fontId="7" fillId="3" borderId="12" xfId="1" applyNumberFormat="1" applyFont="1" applyFill="1" applyBorder="1" applyAlignment="1">
      <alignment horizontal="right"/>
    </xf>
    <xf numFmtId="164" fontId="11" fillId="0" borderId="12" xfId="1" applyNumberFormat="1" applyFont="1" applyBorder="1" applyAlignment="1">
      <alignment horizontal="right"/>
    </xf>
    <xf numFmtId="164" fontId="10" fillId="0" borderId="12" xfId="1" applyNumberFormat="1" applyFont="1" applyBorder="1" applyAlignment="1">
      <alignment horizontal="right"/>
    </xf>
    <xf numFmtId="164" fontId="11" fillId="0" borderId="6" xfId="1" applyNumberFormat="1" applyFont="1" applyBorder="1" applyAlignment="1">
      <alignment horizontal="right"/>
    </xf>
    <xf numFmtId="164" fontId="12" fillId="0" borderId="12" xfId="1" applyNumberFormat="1" applyFont="1" applyBorder="1" applyAlignment="1">
      <alignment horizontal="right"/>
    </xf>
    <xf numFmtId="2" fontId="10" fillId="0" borderId="6" xfId="1" applyNumberFormat="1" applyFont="1" applyBorder="1" applyAlignment="1">
      <alignment horizontal="right"/>
    </xf>
    <xf numFmtId="164" fontId="0" fillId="0" borderId="12" xfId="3" applyNumberFormat="1" applyFont="1" applyBorder="1" applyAlignment="1">
      <alignment horizontal="right"/>
    </xf>
    <xf numFmtId="164" fontId="7" fillId="0" borderId="12" xfId="3" applyNumberFormat="1" applyFont="1" applyBorder="1" applyAlignment="1">
      <alignment horizontal="right"/>
    </xf>
    <xf numFmtId="0" fontId="4" fillId="0" borderId="16" xfId="0" applyFont="1" applyBorder="1" applyAlignment="1">
      <alignment horizontal="right"/>
    </xf>
    <xf numFmtId="0" fontId="4" fillId="0" borderId="7" xfId="0" applyFont="1" applyBorder="1" applyAlignment="1">
      <alignment horizontal="right"/>
    </xf>
    <xf numFmtId="164" fontId="4" fillId="0" borderId="17" xfId="0" applyNumberFormat="1" applyFont="1" applyBorder="1" applyAlignment="1">
      <alignment horizontal="right"/>
    </xf>
    <xf numFmtId="0" fontId="4" fillId="0" borderId="17" xfId="0" applyFont="1" applyBorder="1" applyAlignment="1">
      <alignment horizontal="right"/>
    </xf>
    <xf numFmtId="0" fontId="0" fillId="0" borderId="18" xfId="0" applyBorder="1"/>
    <xf numFmtId="2" fontId="10" fillId="5" borderId="0" xfId="1" applyNumberFormat="1" applyFont="1" applyFill="1" applyAlignment="1">
      <alignment horizontal="right"/>
    </xf>
    <xf numFmtId="0" fontId="4" fillId="0" borderId="19" xfId="1" applyBorder="1" applyAlignment="1">
      <alignment horizontal="left" vertical="center"/>
    </xf>
    <xf numFmtId="164" fontId="0" fillId="0" borderId="13" xfId="0" applyNumberFormat="1" applyBorder="1"/>
    <xf numFmtId="2" fontId="4" fillId="0" borderId="7" xfId="0" applyNumberFormat="1" applyFont="1" applyBorder="1" applyAlignment="1">
      <alignment horizontal="right"/>
    </xf>
    <xf numFmtId="164" fontId="4" fillId="0" borderId="13" xfId="0" applyNumberFormat="1" applyFont="1" applyBorder="1" applyAlignment="1">
      <alignment horizontal="right"/>
    </xf>
    <xf numFmtId="164" fontId="6" fillId="0" borderId="0" xfId="1" applyNumberFormat="1" applyFont="1" applyAlignment="1">
      <alignment horizontal="right"/>
    </xf>
    <xf numFmtId="164" fontId="0" fillId="0" borderId="7" xfId="0" applyNumberFormat="1" applyBorder="1"/>
    <xf numFmtId="164" fontId="4" fillId="3" borderId="12" xfId="1" applyNumberFormat="1" applyFill="1" applyBorder="1" applyAlignment="1">
      <alignment horizontal="right"/>
    </xf>
    <xf numFmtId="164" fontId="4" fillId="5" borderId="12" xfId="1" applyNumberFormat="1" applyFill="1" applyBorder="1" applyAlignment="1">
      <alignment horizontal="right"/>
    </xf>
    <xf numFmtId="2" fontId="10" fillId="5" borderId="6" xfId="1" applyNumberFormat="1" applyFont="1" applyFill="1" applyBorder="1" applyAlignment="1">
      <alignment horizontal="right"/>
    </xf>
    <xf numFmtId="164" fontId="10" fillId="5" borderId="12" xfId="1" applyNumberFormat="1" applyFont="1" applyFill="1" applyBorder="1" applyAlignment="1">
      <alignment horizontal="right"/>
    </xf>
    <xf numFmtId="164" fontId="0" fillId="3" borderId="12" xfId="3" applyNumberFormat="1" applyFont="1" applyFill="1" applyBorder="1" applyAlignment="1">
      <alignment horizontal="right"/>
    </xf>
    <xf numFmtId="164" fontId="7" fillId="5" borderId="12" xfId="1" applyNumberFormat="1" applyFont="1" applyFill="1" applyBorder="1" applyAlignment="1">
      <alignment horizontal="right"/>
    </xf>
    <xf numFmtId="164" fontId="7" fillId="3" borderId="12" xfId="3" applyNumberFormat="1" applyFont="1" applyFill="1" applyBorder="1" applyAlignment="1">
      <alignment horizontal="right"/>
    </xf>
    <xf numFmtId="164" fontId="4" fillId="0" borderId="7" xfId="0" applyNumberFormat="1" applyFont="1" applyBorder="1" applyAlignment="1">
      <alignment horizontal="right"/>
    </xf>
    <xf numFmtId="2" fontId="10" fillId="3" borderId="0" xfId="1" applyNumberFormat="1" applyFont="1" applyFill="1" applyAlignment="1">
      <alignment horizontal="right"/>
    </xf>
    <xf numFmtId="2" fontId="4" fillId="2" borderId="0" xfId="1" applyNumberFormat="1" applyFill="1" applyAlignment="1">
      <alignment horizontal="right"/>
    </xf>
    <xf numFmtId="164" fontId="7" fillId="5" borderId="6" xfId="1" applyNumberFormat="1" applyFont="1" applyFill="1" applyBorder="1" applyAlignment="1">
      <alignment horizontal="right"/>
    </xf>
    <xf numFmtId="164" fontId="7" fillId="3" borderId="6" xfId="1" applyNumberFormat="1" applyFont="1" applyFill="1" applyBorder="1" applyAlignment="1">
      <alignment horizontal="right"/>
    </xf>
    <xf numFmtId="2" fontId="4" fillId="2" borderId="6" xfId="1" applyNumberFormat="1" applyFill="1" applyBorder="1" applyAlignment="1">
      <alignment horizontal="right"/>
    </xf>
    <xf numFmtId="164" fontId="7" fillId="2" borderId="12" xfId="1" applyNumberFormat="1" applyFont="1" applyFill="1" applyBorder="1" applyAlignment="1">
      <alignment horizontal="right"/>
    </xf>
    <xf numFmtId="164" fontId="4" fillId="2" borderId="12" xfId="1" applyNumberFormat="1" applyFill="1" applyBorder="1" applyAlignment="1">
      <alignment horizontal="right"/>
    </xf>
    <xf numFmtId="164" fontId="12" fillId="3" borderId="12" xfId="1" applyNumberFormat="1" applyFont="1" applyFill="1" applyBorder="1" applyAlignment="1">
      <alignment horizontal="right"/>
    </xf>
    <xf numFmtId="164" fontId="0" fillId="5" borderId="12" xfId="3" applyNumberFormat="1" applyFont="1" applyFill="1" applyBorder="1" applyAlignment="1">
      <alignment horizontal="right"/>
    </xf>
    <xf numFmtId="164" fontId="1" fillId="5" borderId="6" xfId="1" applyNumberFormat="1" applyFont="1" applyFill="1" applyBorder="1" applyAlignment="1">
      <alignment horizontal="right"/>
    </xf>
    <xf numFmtId="164" fontId="1" fillId="5" borderId="12" xfId="1" applyNumberFormat="1" applyFont="1" applyFill="1" applyBorder="1" applyAlignment="1">
      <alignment horizontal="right"/>
    </xf>
    <xf numFmtId="0" fontId="11" fillId="0" borderId="0" xfId="0" quotePrefix="1" applyFont="1" applyAlignment="1">
      <alignment horizontal="right"/>
    </xf>
    <xf numFmtId="0" fontId="10" fillId="0" borderId="0" xfId="1" quotePrefix="1" applyFont="1" applyAlignment="1">
      <alignment horizontal="right"/>
    </xf>
    <xf numFmtId="17" fontId="10" fillId="0" borderId="0" xfId="1" quotePrefix="1" applyNumberFormat="1" applyFont="1" applyAlignment="1">
      <alignment horizontal="right"/>
    </xf>
    <xf numFmtId="0" fontId="10" fillId="0" borderId="4" xfId="1" applyFont="1" applyBorder="1" applyAlignment="1">
      <alignment horizontal="right"/>
    </xf>
    <xf numFmtId="0" fontId="10" fillId="0" borderId="4" xfId="0" applyFont="1" applyBorder="1" applyAlignment="1">
      <alignment horizontal="right"/>
    </xf>
    <xf numFmtId="0" fontId="18" fillId="0" borderId="20" xfId="1" applyFont="1" applyBorder="1" applyAlignment="1">
      <alignment horizontal="center" vertical="center"/>
    </xf>
    <xf numFmtId="0" fontId="17" fillId="0" borderId="1" xfId="0" applyFont="1" applyBorder="1" applyAlignment="1">
      <alignment horizontal="right"/>
    </xf>
    <xf numFmtId="0" fontId="11" fillId="0" borderId="1" xfId="0" applyFont="1" applyBorder="1" applyAlignment="1">
      <alignment horizontal="right"/>
    </xf>
    <xf numFmtId="0" fontId="11" fillId="0" borderId="1" xfId="2" applyFont="1" applyBorder="1" applyAlignment="1">
      <alignment horizontal="right"/>
    </xf>
    <xf numFmtId="0" fontId="11" fillId="0" borderId="1" xfId="0" applyFont="1" applyBorder="1" applyAlignment="1">
      <alignment horizontal="right" wrapText="1"/>
    </xf>
    <xf numFmtId="0" fontId="11" fillId="0" borderId="21" xfId="0" applyFont="1" applyBorder="1" applyAlignment="1">
      <alignment horizontal="right"/>
    </xf>
    <xf numFmtId="0" fontId="11" fillId="0" borderId="1" xfId="0" applyFont="1" applyBorder="1" applyAlignment="1">
      <alignment horizontal="right" vertical="center"/>
    </xf>
    <xf numFmtId="0" fontId="18" fillId="0" borderId="1" xfId="1" applyFont="1" applyBorder="1" applyAlignment="1">
      <alignment horizontal="left" vertical="center"/>
    </xf>
    <xf numFmtId="0" fontId="10" fillId="0" borderId="1" xfId="1" applyFont="1" applyBorder="1" applyAlignment="1">
      <alignment horizontal="center"/>
    </xf>
    <xf numFmtId="0" fontId="11" fillId="0" borderId="1" xfId="3" applyFont="1" applyBorder="1" applyAlignment="1">
      <alignment horizontal="center"/>
    </xf>
    <xf numFmtId="0" fontId="11" fillId="0" borderId="1" xfId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8" fillId="0" borderId="15" xfId="1" applyFont="1" applyBorder="1" applyAlignment="1">
      <alignment horizontal="left" vertical="center"/>
    </xf>
    <xf numFmtId="0" fontId="4" fillId="0" borderId="15" xfId="1" applyBorder="1" applyAlignment="1">
      <alignment horizontal="center"/>
    </xf>
    <xf numFmtId="0" fontId="10" fillId="0" borderId="15" xfId="1" applyFont="1" applyBorder="1" applyAlignment="1">
      <alignment horizontal="center"/>
    </xf>
    <xf numFmtId="0" fontId="0" fillId="0" borderId="15" xfId="3" applyFont="1" applyBorder="1" applyAlignment="1">
      <alignment horizontal="center"/>
    </xf>
    <xf numFmtId="0" fontId="7" fillId="0" borderId="15" xfId="3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28" fillId="0" borderId="0" xfId="0" quotePrefix="1" applyFont="1" applyAlignment="1">
      <alignment horizontal="center"/>
    </xf>
    <xf numFmtId="0" fontId="28" fillId="0" borderId="6" xfId="0" quotePrefix="1" applyFont="1" applyBorder="1" applyAlignment="1">
      <alignment horizontal="center"/>
    </xf>
    <xf numFmtId="0" fontId="28" fillId="0" borderId="12" xfId="0" quotePrefix="1" applyFont="1" applyBorder="1" applyAlignment="1">
      <alignment horizontal="center"/>
    </xf>
    <xf numFmtId="0" fontId="29" fillId="13" borderId="0" xfId="0" quotePrefix="1" applyFont="1" applyFill="1" applyAlignment="1">
      <alignment horizontal="center"/>
    </xf>
    <xf numFmtId="0" fontId="3" fillId="14" borderId="14" xfId="0" quotePrefix="1" applyFont="1" applyFill="1" applyBorder="1" applyAlignment="1">
      <alignment horizontal="center"/>
    </xf>
    <xf numFmtId="0" fontId="3" fillId="14" borderId="10" xfId="0" quotePrefix="1" applyFont="1" applyFill="1" applyBorder="1" applyAlignment="1">
      <alignment horizontal="center"/>
    </xf>
    <xf numFmtId="0" fontId="3" fillId="14" borderId="11" xfId="0" quotePrefix="1" applyFont="1" applyFill="1" applyBorder="1" applyAlignment="1">
      <alignment horizontal="center"/>
    </xf>
    <xf numFmtId="0" fontId="3" fillId="14" borderId="0" xfId="0" quotePrefix="1" applyFont="1" applyFill="1" applyAlignment="1">
      <alignment horizontal="center"/>
    </xf>
    <xf numFmtId="0" fontId="20" fillId="9" borderId="14" xfId="0" applyFont="1" applyFill="1" applyBorder="1" applyAlignment="1">
      <alignment horizontal="center"/>
    </xf>
    <xf numFmtId="0" fontId="20" fillId="9" borderId="10" xfId="0" applyFont="1" applyFill="1" applyBorder="1" applyAlignment="1">
      <alignment horizontal="center"/>
    </xf>
    <xf numFmtId="0" fontId="20" fillId="9" borderId="11" xfId="0" applyFont="1" applyFill="1" applyBorder="1" applyAlignment="1">
      <alignment horizontal="center"/>
    </xf>
    <xf numFmtId="0" fontId="3" fillId="10" borderId="14" xfId="0" quotePrefix="1" applyFont="1" applyFill="1" applyBorder="1" applyAlignment="1">
      <alignment horizontal="center"/>
    </xf>
    <xf numFmtId="0" fontId="3" fillId="10" borderId="10" xfId="0" quotePrefix="1" applyFont="1" applyFill="1" applyBorder="1" applyAlignment="1">
      <alignment horizontal="center"/>
    </xf>
    <xf numFmtId="0" fontId="3" fillId="10" borderId="11" xfId="0" quotePrefix="1" applyFont="1" applyFill="1" applyBorder="1" applyAlignment="1">
      <alignment horizontal="center"/>
    </xf>
    <xf numFmtId="0" fontId="20" fillId="4" borderId="14" xfId="0" applyFont="1" applyFill="1" applyBorder="1" applyAlignment="1">
      <alignment horizontal="center"/>
    </xf>
    <xf numFmtId="0" fontId="20" fillId="4" borderId="10" xfId="0" applyFont="1" applyFill="1" applyBorder="1" applyAlignment="1">
      <alignment horizontal="center"/>
    </xf>
    <xf numFmtId="0" fontId="20" fillId="4" borderId="11" xfId="0" applyFont="1" applyFill="1" applyBorder="1" applyAlignment="1">
      <alignment horizontal="center"/>
    </xf>
    <xf numFmtId="0" fontId="3" fillId="11" borderId="0" xfId="0" quotePrefix="1" applyFont="1" applyFill="1" applyAlignment="1">
      <alignment horizontal="center"/>
    </xf>
    <xf numFmtId="0" fontId="29" fillId="12" borderId="14" xfId="0" quotePrefix="1" applyFont="1" applyFill="1" applyBorder="1" applyAlignment="1">
      <alignment horizontal="center"/>
    </xf>
    <xf numFmtId="0" fontId="29" fillId="12" borderId="10" xfId="0" quotePrefix="1" applyFont="1" applyFill="1" applyBorder="1" applyAlignment="1">
      <alignment horizontal="center"/>
    </xf>
    <xf numFmtId="0" fontId="29" fillId="12" borderId="11" xfId="0" quotePrefix="1" applyFont="1" applyFill="1" applyBorder="1" applyAlignment="1">
      <alignment horizontal="center"/>
    </xf>
    <xf numFmtId="0" fontId="30" fillId="15" borderId="14" xfId="0" applyFont="1" applyFill="1" applyBorder="1" applyAlignment="1">
      <alignment horizontal="center"/>
    </xf>
    <xf numFmtId="0" fontId="30" fillId="15" borderId="10" xfId="0" applyFont="1" applyFill="1" applyBorder="1" applyAlignment="1">
      <alignment horizontal="center"/>
    </xf>
    <xf numFmtId="0" fontId="30" fillId="15" borderId="11" xfId="0" applyFont="1" applyFill="1" applyBorder="1" applyAlignment="1">
      <alignment horizontal="center"/>
    </xf>
    <xf numFmtId="0" fontId="30" fillId="16" borderId="14" xfId="0" applyFont="1" applyFill="1" applyBorder="1" applyAlignment="1">
      <alignment horizontal="center"/>
    </xf>
    <xf numFmtId="0" fontId="30" fillId="16" borderId="10" xfId="0" applyFont="1" applyFill="1" applyBorder="1" applyAlignment="1">
      <alignment horizontal="center"/>
    </xf>
    <xf numFmtId="0" fontId="30" fillId="16" borderId="11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0" xfId="0" applyAlignment="1">
      <alignment horizontal="left"/>
    </xf>
    <xf numFmtId="0" fontId="20" fillId="7" borderId="14" xfId="0" applyFont="1" applyFill="1" applyBorder="1" applyAlignment="1">
      <alignment horizontal="center"/>
    </xf>
    <xf numFmtId="0" fontId="20" fillId="7" borderId="10" xfId="0" applyFont="1" applyFill="1" applyBorder="1" applyAlignment="1">
      <alignment horizontal="center"/>
    </xf>
    <xf numFmtId="0" fontId="20" fillId="8" borderId="14" xfId="0" applyFont="1" applyFill="1" applyBorder="1" applyAlignment="1">
      <alignment horizontal="center"/>
    </xf>
    <xf numFmtId="0" fontId="20" fillId="8" borderId="10" xfId="0" applyFont="1" applyFill="1" applyBorder="1" applyAlignment="1">
      <alignment horizontal="center"/>
    </xf>
    <xf numFmtId="0" fontId="20" fillId="8" borderId="11" xfId="0" applyFont="1" applyFill="1" applyBorder="1" applyAlignment="1">
      <alignment horizontal="center"/>
    </xf>
    <xf numFmtId="0" fontId="32" fillId="17" borderId="0" xfId="0" applyFont="1" applyFill="1" applyAlignment="1">
      <alignment horizontal="left"/>
    </xf>
  </cellXfs>
  <cellStyles count="52">
    <cellStyle name="Accent3 2" xfId="49" xr:uid="{428E8264-6AA5-4918-A3E3-FD8DED3069F6}"/>
    <cellStyle name="Currency 2" xfId="28" xr:uid="{0B9A5610-124B-482D-B951-78860F042986}"/>
    <cellStyle name="Hyperlink 2" xfId="51" xr:uid="{C2E6EEEC-B4D6-4B8A-8CE0-3DA5F34C7384}"/>
    <cellStyle name="Normal" xfId="0" builtinId="0"/>
    <cellStyle name="Normal 10" xfId="13" xr:uid="{83A0962D-6FED-4849-B1C3-68F13C4B67C0}"/>
    <cellStyle name="Normal 10 2" xfId="14" xr:uid="{28E8CDD9-26FA-43A2-8D56-8110130048B8}"/>
    <cellStyle name="Normal 10 3" xfId="46" xr:uid="{ADB71F64-95E0-447F-AA06-3B85B2D803FC}"/>
    <cellStyle name="Normal 11" xfId="15" xr:uid="{D791D78D-CA8B-4272-AB90-B38A7C14F912}"/>
    <cellStyle name="Normal 11 2" xfId="16" xr:uid="{65088B84-7185-4D8E-B171-3EFAB7B2762E}"/>
    <cellStyle name="Normal 11 3" xfId="47" xr:uid="{F4866ED5-9E37-4350-BBD4-FD32929E45E4}"/>
    <cellStyle name="Normal 12" xfId="17" xr:uid="{B4318646-B02D-40F3-8E1E-2A9A95B27BBA}"/>
    <cellStyle name="Normal 13" xfId="29" xr:uid="{E55C7C09-3CBC-4271-8F90-6842240A2BA6}"/>
    <cellStyle name="Normal 13 2" xfId="36" xr:uid="{04F5AB72-DF2D-4746-8421-433602409DE8}"/>
    <cellStyle name="Normal 14" xfId="1" xr:uid="{00000000-0005-0000-0000-000001000000}"/>
    <cellStyle name="Normal 15" xfId="48" xr:uid="{B96E28E2-A638-41A0-905F-F3E7C2D0FDC3}"/>
    <cellStyle name="Normal 2" xfId="6" xr:uid="{C3E39B9A-22BA-4B37-A4C8-6B07F37D154A}"/>
    <cellStyle name="Normal 2 2" xfId="2" xr:uid="{00000000-0005-0000-0000-000002000000}"/>
    <cellStyle name="Normal 2 3" xfId="18" xr:uid="{D03872BF-C249-4C6A-9E15-942B5F0571FA}"/>
    <cellStyle name="Normal 2 4" xfId="19" xr:uid="{8663CB42-89E4-4EFF-B7A1-6B509D208D0F}"/>
    <cellStyle name="Normal 2 5" xfId="30" xr:uid="{23E2CB7A-3C5D-4759-9B86-41656A9AA08E}"/>
    <cellStyle name="Normal 2 6" xfId="38" xr:uid="{2559A023-B2A0-409E-BBC2-B6D36220559C}"/>
    <cellStyle name="Normal 3" xfId="7" xr:uid="{BC5FBB13-40D7-468F-B0A7-8EBC37168B36}"/>
    <cellStyle name="Normal 3 2" xfId="20" xr:uid="{9AC34D98-A6B7-4F8B-8D58-DB1E7DCEF54D}"/>
    <cellStyle name="Normal 3 3" xfId="21" xr:uid="{8945B6CA-8426-4961-8117-B7B7877CDDE3}"/>
    <cellStyle name="Normal 3 4" xfId="32" xr:uid="{144EB7BF-E73D-4CDE-88DA-0FE1B1916630}"/>
    <cellStyle name="Normal 3 5" xfId="39" xr:uid="{5A505EC2-88E2-4C49-BCE1-B4B1247D3BCC}"/>
    <cellStyle name="Normal 32" xfId="4" xr:uid="{3AC9B2C7-57AF-4855-ACBE-2193982E6858}"/>
    <cellStyle name="Normal 4" xfId="8" xr:uid="{A1A5D48B-8999-4C82-AC48-2D9AB87A5FF3}"/>
    <cellStyle name="Normal 4 2" xfId="22" xr:uid="{32C5A582-A4DD-45A9-85CE-5B39A2AC14EA}"/>
    <cellStyle name="Normal 4 3" xfId="31" xr:uid="{39D54F96-2FB4-454A-98F1-2430C244FC64}"/>
    <cellStyle name="Normal 4 4" xfId="40" xr:uid="{CF5B1A79-DD18-42D1-9187-96331D213A5C}"/>
    <cellStyle name="Normal 5" xfId="9" xr:uid="{FC44A600-0BE0-4739-B9EC-BC335F7149FC}"/>
    <cellStyle name="Normal 5 2" xfId="3" xr:uid="{00000000-0005-0000-0000-000003000000}"/>
    <cellStyle name="Normal 5 2 2" xfId="50" xr:uid="{5637879C-6F05-4C5F-BC2F-68ADB8C055AE}"/>
    <cellStyle name="Normal 5 3" xfId="41" xr:uid="{61D02110-381B-49E8-9DB2-69A167257FEF}"/>
    <cellStyle name="Normal 6" xfId="10" xr:uid="{637C996B-DA28-4785-BADA-3C17A2AB2FE2}"/>
    <cellStyle name="Normal 6 2" xfId="23" xr:uid="{19D7BBAC-44DD-4659-ACAF-5A85DAB74AC9}"/>
    <cellStyle name="Normal 6 2 2" xfId="42" xr:uid="{8EED70A3-8C28-45B9-B7BC-20A8FC223E35}"/>
    <cellStyle name="Normal 6 3" xfId="33" xr:uid="{14CA5B83-D500-41A1-BF51-D9A77F470869}"/>
    <cellStyle name="Normal 6 4" xfId="37" xr:uid="{7F1B2933-EBDE-4E46-93AE-E3F27BFCB967}"/>
    <cellStyle name="Normal 7" xfId="11" xr:uid="{85FC8203-FAF6-4975-853B-8F99AFDD48A6}"/>
    <cellStyle name="Normal 7 2" xfId="24" xr:uid="{2FBD9EF9-4151-4C0B-B3A7-5052CBC6D60E}"/>
    <cellStyle name="Normal 7 3" xfId="34" xr:uid="{9CBD32F9-2847-46A8-99C1-5CEDE954C604}"/>
    <cellStyle name="Normal 7 4" xfId="43" xr:uid="{7ED461E0-A104-4236-8E9F-733D7AC056B2}"/>
    <cellStyle name="Normal 8" xfId="12" xr:uid="{31223EBD-A918-40A2-872B-CF1A1A990FDB}"/>
    <cellStyle name="Normal 8 2" xfId="25" xr:uid="{58D6CABF-0A0A-4DBE-A0C1-5133026E5E8A}"/>
    <cellStyle name="Normal 8 3" xfId="35" xr:uid="{E10D7DA1-C797-4B02-8947-AF3084E7396B}"/>
    <cellStyle name="Normal 8 4" xfId="44" xr:uid="{279CB94E-FB6C-4622-B9CC-9931A0F3C534}"/>
    <cellStyle name="Normal 9" xfId="5" xr:uid="{8DF0EF80-583A-4320-AE2B-A11FDC16446D}"/>
    <cellStyle name="Normal 9 2" xfId="27" xr:uid="{21839F8A-2A62-4BAE-8878-1F075DD780B0}"/>
    <cellStyle name="Normal 9 3" xfId="26" xr:uid="{011AC84E-BAD0-4997-A2A1-ADB4000C4C07}"/>
    <cellStyle name="Normal 9 4" xfId="45" xr:uid="{C12731DA-1115-4E22-9608-91CCA235207C}"/>
  </cellStyles>
  <dxfs count="15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64" formatCode="0.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2" formatCode="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2" formatCode="0.00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2" formatCode="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2" formatCode="0.00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0.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"/>
      <alignment horizontal="right" vertical="bottom" textRotation="0" wrapText="0" indent="0" justifyLastLine="0" shrinkToFit="0" readingOrder="0"/>
    </dxf>
    <dxf>
      <numFmt numFmtId="164" formatCode="0.0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</dxf>
    <dxf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164" formatCode="0.0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"/>
      <alignment horizontal="right" vertical="bottom" textRotation="0" wrapText="0" indent="0" justifyLastLine="0" shrinkToFit="0" readingOrder="0"/>
    </dxf>
    <dxf>
      <numFmt numFmtId="164" formatCode="0.0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0.0"/>
      <border diagonalUp="0" diagonalDown="0" outline="0">
        <left/>
        <right/>
        <top/>
        <bottom style="medium">
          <color indexed="64"/>
        </bottom>
      </border>
    </dxf>
    <dxf>
      <numFmt numFmtId="164" formatCode="0.0"/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0.0"/>
      <alignment horizontal="right" vertical="bottom" textRotation="0" wrapText="0" indent="0" justifyLastLine="0" shrinkToFit="0" readingOrder="0"/>
    </dxf>
    <dxf>
      <border diagonalUp="0" diagonalDown="0" outline="0">
        <left/>
        <right/>
        <top/>
        <bottom style="medium">
          <color indexed="64"/>
        </bottom>
      </border>
    </dxf>
    <dxf>
      <numFmt numFmtId="2" formatCode="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medium">
          <color indexed="64"/>
        </bottom>
      </border>
    </dxf>
    <dxf>
      <font>
        <color rgb="FF000000"/>
      </font>
      <numFmt numFmtId="164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/>
        <bottom style="medium">
          <color indexed="64"/>
        </bottom>
      </border>
    </dxf>
    <dxf>
      <numFmt numFmtId="2" formatCode="0.00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color auto="1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color auto="1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color auto="1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</border>
    </dxf>
    <dxf>
      <fill>
        <patternFill patternType="none">
          <fgColor rgb="FF000000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Table Style 1" pivot="0" count="0" xr9:uid="{D090D7AB-93DB-453E-AE31-7204B7626F8C}"/>
  </tableStyles>
  <colors>
    <mruColors>
      <color rgb="FF000066"/>
      <color rgb="FFA50021"/>
      <color rgb="FF0000CC"/>
      <color rgb="FF0000FF"/>
      <color rgb="FF6699FF"/>
      <color rgb="FFCC0000"/>
      <color rgb="FFE28700"/>
      <color rgb="FFFFCC66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257913</xdr:colOff>
      <xdr:row>121</xdr:row>
      <xdr:rowOff>13053</xdr:rowOff>
    </xdr:from>
    <xdr:to>
      <xdr:col>17</xdr:col>
      <xdr:colOff>620779</xdr:colOff>
      <xdr:row>131</xdr:row>
      <xdr:rowOff>40096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B6D219-F2C5-491A-8974-28E3F38EE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5522103" y="21778434"/>
          <a:ext cx="3571281" cy="184556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6CFED63-7208-4410-9943-AC38EB280659}" name="Table14314" displayName="Table14314" ref="B6:BV115" totalsRowCount="1" headerRowDxfId="150" dataDxfId="148" totalsRowDxfId="146" headerRowBorderDxfId="149" tableBorderDxfId="147" headerRowCellStyle="Normal 14" dataCellStyle="Normal 14">
  <autoFilter ref="B6:BV114" xr:uid="{00000000-0009-0000-0100-000001000000}"/>
  <tableColumns count="73">
    <tableColumn id="1" xr3:uid="{9C5DCF67-A168-4393-9861-F6A85EE63B40}" name="Mass[1]" dataDxfId="145" totalsRowDxfId="144" dataCellStyle="Normal 14"/>
    <tableColumn id="2" xr3:uid="{6585E4DE-52AC-4A31-9AA0-1DF87F1E15E3}" name="Composition[2]" dataDxfId="143" totalsRowDxfId="142" dataCellStyle="Normal 14"/>
    <tableColumn id="3" xr3:uid="{69DACD0E-7C6B-41E7-B2A3-064E7E749571}" name="Putative structures [3]           " dataDxfId="141" totalsRowDxfId="140" dataCellStyle="Normal"/>
    <tableColumn id="226" xr3:uid="{2CEF4C15-7BDA-4CDF-85A2-56020AA290B3}" name="Fucose[4]" dataDxfId="139" totalsRowDxfId="138" dataCellStyle="Normal 14"/>
    <tableColumn id="10" xr3:uid="{2ED8E721-17A3-434E-8384-88FCB1503974}" name="Fucosylation" dataDxfId="137" totalsRowDxfId="136" dataCellStyle="Normal 14"/>
    <tableColumn id="7" xr3:uid="{49F41825-2C44-4A65-AA1B-C18A31A262E6}" name="Blood group" dataDxfId="135" totalsRowDxfId="134" dataCellStyle="Normal 14"/>
    <tableColumn id="4" xr3:uid="{F370F908-474A-4190-B7D3-2ADDD0B45022}" name="Sulfate" dataDxfId="133" totalsRowDxfId="132"/>
    <tableColumn id="45" xr3:uid="{A1D9912C-58DF-44D3-9388-CA7B1C431FB5}" name="RT [6]" dataDxfId="131" totalsRowDxfId="130" dataCellStyle="Normal 14"/>
    <tableColumn id="44" xr3:uid="{46610D02-9EE8-4979-8D59-0A529593CFBD}" name="Intensity [7]" totalsRowFunction="custom" dataDxfId="129" totalsRowDxfId="128" dataCellStyle="Normal 14">
      <totalsRowFormula>SUM(J6:J114)</totalsRowFormula>
    </tableColumn>
    <tableColumn id="43" xr3:uid="{0E1FB5D2-FF1A-4DD3-BD11-9FB30396E96A}" name="Percentage" totalsRowFunction="sum" dataDxfId="127" totalsRowDxfId="126" dataCellStyle="Normal 14">
      <calculatedColumnFormula>J7/$J$115*100</calculatedColumnFormula>
    </tableColumn>
    <tableColumn id="42" xr3:uid="{4B338F87-2411-4559-992C-850471211524}" name="RT" dataDxfId="125" totalsRowDxfId="124" dataCellStyle="Normal 14"/>
    <tableColumn id="41" xr3:uid="{400523F6-791F-4118-8EEF-9BBA4FC5390D}" name="Intensity" totalsRowFunction="custom" dataDxfId="123" totalsRowDxfId="122" dataCellStyle="Normal 14">
      <totalsRowFormula>SUM(M6:M114)</totalsRowFormula>
    </tableColumn>
    <tableColumn id="40" xr3:uid="{CBC4C844-84E6-4B28-B121-E924907B748A}" name="Percentage9" totalsRowFunction="sum" dataDxfId="121" totalsRowDxfId="120" dataCellStyle="Normal 14">
      <calculatedColumnFormula>M7/$M$115*100</calculatedColumnFormula>
    </tableColumn>
    <tableColumn id="51" xr3:uid="{0A0D7A2C-2929-4225-8207-2258639BBC3D}" name="RT3" dataDxfId="119" totalsRowDxfId="118" dataCellStyle="Normal 14"/>
    <tableColumn id="50" xr3:uid="{7C6C0572-8DAF-4832-975F-9C0EC10878E4}" name="Intensity11" totalsRowFunction="sum" dataDxfId="117" totalsRowDxfId="116" dataCellStyle="Normal 14"/>
    <tableColumn id="49" xr3:uid="{19221DC2-9283-49E9-A188-A99268480FCD}" name="Percentage912" totalsRowFunction="sum" dataDxfId="115" totalsRowDxfId="114" dataCellStyle="Normal 14">
      <calculatedColumnFormula>P7/$P$115*100</calculatedColumnFormula>
    </tableColumn>
    <tableColumn id="48" xr3:uid="{3552760B-BABB-4883-8157-4FD676910E7F}" name="RT10" dataDxfId="113" totalsRowDxfId="112" dataCellStyle="Normal 14"/>
    <tableColumn id="47" xr3:uid="{4666B049-449A-4104-98A0-24AE7515956D}" name="Intensity114" totalsRowFunction="sum" dataDxfId="111" totalsRowDxfId="110" dataCellStyle="Normal 14"/>
    <tableColumn id="46" xr3:uid="{58F5482E-6788-4C21-BB03-C636A5F82558}" name="Percentage9125" totalsRowFunction="sum" dataDxfId="109" totalsRowDxfId="108" dataCellStyle="Normal 14">
      <calculatedColumnFormula>S7/$S$115*100</calculatedColumnFormula>
    </tableColumn>
    <tableColumn id="63" xr3:uid="{02B96640-F6D7-4017-866B-BF828910E742}" name="RT11" dataDxfId="107" totalsRowDxfId="106" dataCellStyle="Normal 14"/>
    <tableColumn id="62" xr3:uid="{1067354C-F781-4DED-9A84-8105B8FA9C86}" name="Intensity12" totalsRowFunction="sum" dataDxfId="105" totalsRowDxfId="104" dataCellStyle="Normal 14"/>
    <tableColumn id="61" xr3:uid="{7681F2B0-947B-4741-8F5B-DAA5A0F5AD2A}" name="Percentage913" totalsRowFunction="sum" dataDxfId="103" totalsRowDxfId="102" dataCellStyle="Normal 14"/>
    <tableColumn id="60" xr3:uid="{1D54CB6F-0AB9-434E-A8EC-1B82CDF85D95}" name="RT12" dataDxfId="101" totalsRowDxfId="100" dataCellStyle="Normal 14"/>
    <tableColumn id="59" xr3:uid="{13012D5A-4AE1-412C-B3E2-C7E5E1246BC4}" name="Intensity13" totalsRowFunction="custom" dataDxfId="99" totalsRowDxfId="98" dataCellStyle="Normal 14">
      <totalsRowFormula>SUM(Y6:Y114)</totalsRowFormula>
    </tableColumn>
    <tableColumn id="58" xr3:uid="{E6E7AFF8-5AFD-4B8C-88C3-EB4CFF495F19}" name="Percentage914" totalsRowFunction="sum" dataDxfId="97" totalsRowDxfId="96" dataCellStyle="Normal 14">
      <calculatedColumnFormula>Y7/$Y$115*100</calculatedColumnFormula>
    </tableColumn>
    <tableColumn id="69" xr3:uid="{B57803B1-C54C-4C50-8457-AF8DFE2ECFE2}" name="RT13" dataDxfId="95" totalsRowDxfId="94" dataCellStyle="Normal 14"/>
    <tableColumn id="68" xr3:uid="{7D04D011-D3A1-4B8E-8CE2-3F9DC3693371}" name="Intensity14" totalsRowFunction="custom" dataDxfId="93" totalsRowDxfId="92" dataCellStyle="Normal 14">
      <totalsRowFormula>SUM(AB6:AB114)</totalsRowFormula>
    </tableColumn>
    <tableColumn id="67" xr3:uid="{27728E62-917A-48B9-AEF4-91F80C111201}" name="Percentage915" totalsRowFunction="sum" dataDxfId="91" totalsRowDxfId="90" dataCellStyle="Normal 14">
      <calculatedColumnFormula>AB7/$AB$115*100</calculatedColumnFormula>
    </tableColumn>
    <tableColumn id="66" xr3:uid="{953CBA85-589F-4E23-81AA-F602B3061294}" name="RT9" dataDxfId="89" totalsRowDxfId="88" dataCellStyle="Normal 14"/>
    <tableColumn id="65" xr3:uid="{9EBC6E02-442A-416E-A1DD-4FFB7BFAEA46}" name="Intensity10" totalsRowFunction="custom" dataDxfId="87" totalsRowDxfId="86" dataCellStyle="Normal 14">
      <totalsRowFormula>SUM(AE6:AE114)</totalsRowFormula>
    </tableColumn>
    <tableColumn id="64" xr3:uid="{25ED002C-B0E4-48E2-BF40-00764F553DD7}" name="Percentage911" totalsRowFunction="sum" dataDxfId="85" totalsRowDxfId="84" dataCellStyle="Normal 14">
      <calculatedColumnFormula>AE7/$AE$115*100</calculatedColumnFormula>
    </tableColumn>
    <tableColumn id="249" xr3:uid="{3D07A18C-3CB3-42FC-8DEF-239786F3AE9E}" name="RT14" dataDxfId="83" totalsRowDxfId="82" dataCellStyle="Normal 14"/>
    <tableColumn id="250" xr3:uid="{CF6FAA08-1C86-4D3F-9EC5-24E036D935AF}" name="Intensity15" totalsRowFunction="custom" dataDxfId="81" totalsRowDxfId="80" dataCellStyle="Normal 14">
      <totalsRowFormula>SUM(AH6:AH114)</totalsRowFormula>
    </tableColumn>
    <tableColumn id="251" xr3:uid="{370376AF-D045-4CCC-A0F5-01C7294CADD7}" name="Percentage916" totalsRowFunction="sum" dataDxfId="79" totalsRowDxfId="78" dataCellStyle="Normal 14">
      <calculatedColumnFormula>AH7/$AH$115*100</calculatedColumnFormula>
    </tableColumn>
    <tableColumn id="5" xr3:uid="{05E3CD23-618E-4BEE-AA8F-A5894D833CE0}" name="RT8" dataDxfId="77" totalsRowDxfId="76" dataCellStyle="Normal 14"/>
    <tableColumn id="6" xr3:uid="{BF82B691-246D-4BC4-9F31-1F3FA301D9F4}" name="Intensity9" totalsRowFunction="custom" dataDxfId="75" totalsRowDxfId="74" dataCellStyle="Normal 14">
      <totalsRowFormula>SUM(AK6:AK114)</totalsRowFormula>
    </tableColumn>
    <tableColumn id="8" xr3:uid="{CD04B4B5-AE2D-41C0-85E3-2A7D34AC62F6}" name="Percentage910" totalsRowFunction="sum" dataDxfId="73" totalsRowDxfId="72" dataCellStyle="Normal 14">
      <calculatedColumnFormula>AK7/$AK$115*100</calculatedColumnFormula>
    </tableColumn>
    <tableColumn id="246" xr3:uid="{37CA18EF-8661-4A2B-B43E-A8F115ABEB4E}" name="RT2" dataDxfId="71" totalsRowDxfId="70" dataCellStyle="Normal 14"/>
    <tableColumn id="247" xr3:uid="{5856F5D5-4D6C-4BF7-8085-239AFE6957CC}" name="Intensity8" totalsRowFunction="custom" dataDxfId="69" totalsRowDxfId="68" dataCellStyle="Normal 14">
      <totalsRowFormula>SUM(AN6:AN114)</totalsRowFormula>
    </tableColumn>
    <tableColumn id="248" xr3:uid="{E3E9C05D-21BF-402E-9132-0F0267FCB90C}" name="Percentage99" totalsRowFunction="sum" dataDxfId="67" totalsRowDxfId="66" dataCellStyle="Normal 14">
      <calculatedColumnFormula>AN7/$AN$115*100</calculatedColumnFormula>
    </tableColumn>
    <tableColumn id="9" xr3:uid="{A72BBA49-E9F6-428B-A964-835D58CEE74C}" name="RT15" dataDxfId="65" totalsRowDxfId="64" dataCellStyle="Normal 14"/>
    <tableColumn id="11" xr3:uid="{572360EC-781D-4D46-B839-8B5A40969699}" name="Intensity16" totalsRowFunction="custom" dataDxfId="63" totalsRowDxfId="62" dataCellStyle="Normal 14">
      <totalsRowFormula>SUM(AQ6:AQ114)</totalsRowFormula>
    </tableColumn>
    <tableColumn id="12" xr3:uid="{CF07D432-1583-4728-AB3B-59659D315B9B}" name="Percentage917" totalsRowFunction="sum" dataDxfId="61" totalsRowDxfId="60" dataCellStyle="Normal 14">
      <calculatedColumnFormula>AQ7/$AQ$115*100</calculatedColumnFormula>
    </tableColumn>
    <tableColumn id="264" xr3:uid="{F61E5DE2-22F4-400E-A129-76D4734F03B6}" name="RT16" dataDxfId="59" totalsRowDxfId="58" dataCellStyle="Normal 14"/>
    <tableColumn id="265" xr3:uid="{29532A69-A71D-43B8-8B0D-948F0F1A6F7C}" name="Intensity17" totalsRowFunction="custom" dataDxfId="57" totalsRowDxfId="56" dataCellStyle="Normal 14">
      <totalsRowFormula>SUM(AT6:AT114)</totalsRowFormula>
    </tableColumn>
    <tableColumn id="266" xr3:uid="{699B950A-1FCD-422D-9C8C-5C51EDDDB1B1}" name="Percentage918" totalsRowFunction="sum" dataDxfId="55" totalsRowDxfId="54" dataCellStyle="Normal 14">
      <calculatedColumnFormula>AT7/$AT$115*100</calculatedColumnFormula>
    </tableColumn>
    <tableColumn id="13" xr3:uid="{DBF88A88-3F34-4742-82CC-59148D9791B0}" name="RT4" dataDxfId="53" totalsRowDxfId="52"/>
    <tableColumn id="14" xr3:uid="{58ACC162-37B7-47F1-A539-297BD5332B9A}" name="Intensity18" totalsRowFunction="custom" dataDxfId="51" totalsRowDxfId="50" dataCellStyle="Normal 14">
      <totalsRowFormula>SUM(AW6:AW114)</totalsRowFormula>
    </tableColumn>
    <tableColumn id="15" xr3:uid="{F012CCC5-A636-4AB6-BBC1-233B8388CAF0}" name="Percentage919" totalsRowFunction="sum" dataDxfId="49" totalsRowDxfId="48">
      <calculatedColumnFormula>AW7/$AW$115*100</calculatedColumnFormula>
    </tableColumn>
    <tableColumn id="75" xr3:uid="{4479DCAB-54C5-4386-9D2C-16C9F27F1C27}" name="RT17" dataDxfId="47" totalsRowDxfId="46" dataCellStyle="Normal 14"/>
    <tableColumn id="74" xr3:uid="{BEFAA023-3F9D-4E3B-B78E-35F73519A096}" name="Intensity19" totalsRowFunction="custom" dataDxfId="45" totalsRowDxfId="44" dataCellStyle="Normal 14">
      <totalsRowFormula>SUM(AZ6:AZ114)</totalsRowFormula>
    </tableColumn>
    <tableColumn id="73" xr3:uid="{E186D5DE-B8EA-42E9-BD7E-D6DFEA7857FE}" name="Percentage920" totalsRowFunction="sum" dataDxfId="43" totalsRowDxfId="42" dataCellStyle="Normal 14">
      <calculatedColumnFormula>AZ7/$AZ$115*100</calculatedColumnFormula>
    </tableColumn>
    <tableColumn id="72" xr3:uid="{892DFFDE-1B20-4264-B028-26DD8E061513}" name="RT7" dataDxfId="41" totalsRowDxfId="40" dataCellStyle="Normal 14"/>
    <tableColumn id="71" xr3:uid="{D63EAAB0-27FA-44B8-ABE6-E431AD444AFA}" name="Intensity20" totalsRowFunction="custom" dataDxfId="39" totalsRowDxfId="38" dataCellStyle="Normal 14">
      <totalsRowFormula>SUM(BC6:BC114)</totalsRowFormula>
    </tableColumn>
    <tableColumn id="70" xr3:uid="{B88C5920-7D5F-445F-AB34-E8B047E0F01F}" name="Percentage921" totalsRowFunction="sum" dataDxfId="37" totalsRowDxfId="36" dataCellStyle="Normal 14">
      <calculatedColumnFormula>BC7/$BC$115*100</calculatedColumnFormula>
    </tableColumn>
    <tableColumn id="267" xr3:uid="{37A380D8-3C37-4729-8CB6-A16A08A4781F}" name="RT18" dataDxfId="35" totalsRowDxfId="34" dataCellStyle="Normal 14"/>
    <tableColumn id="268" xr3:uid="{695E9F56-8305-4615-A7CF-C5583C51731D}" name="Intensity21" totalsRowFunction="custom" dataDxfId="33" totalsRowDxfId="32" dataCellStyle="Normal 14">
      <totalsRowFormula>SUM(BF6:BF114)</totalsRowFormula>
    </tableColumn>
    <tableColumn id="269" xr3:uid="{39B83039-D34F-4464-BAA1-DE40BBEEB060}" name="Percentage922" totalsRowFunction="sum" dataDxfId="31" totalsRowDxfId="30" dataCellStyle="Normal 14">
      <calculatedColumnFormula>BF7/$BF$115*100</calculatedColumnFormula>
    </tableColumn>
    <tableColumn id="16" xr3:uid="{E2B912D2-5E70-4351-BA1C-B4891035B2D0}" name="RT5" dataDxfId="29" totalsRowDxfId="28" dataCellStyle="Normal 14"/>
    <tableColumn id="17" xr3:uid="{5AE44B8B-430B-4BF6-99A7-DBB7CF8DF501}" name="Intensity7" totalsRowFunction="custom" dataDxfId="27" totalsRowDxfId="26" dataCellStyle="Normal 14">
      <totalsRowFormula>SUM(BI6:BI114)</totalsRowFormula>
    </tableColumn>
    <tableColumn id="18" xr3:uid="{FBE3E69C-223B-4131-B8D9-B12B824B808E}" name="Percentage98" totalsRowFunction="sum" dataDxfId="25" totalsRowDxfId="24" dataCellStyle="Normal 14">
      <calculatedColumnFormula>BI7/$BI$115*100</calculatedColumnFormula>
    </tableColumn>
    <tableColumn id="270" xr3:uid="{4BE45806-3734-4B8A-9885-11BC69BA894E}" name="RT19" dataDxfId="23" totalsRowDxfId="22" dataCellStyle="Normal 14"/>
    <tableColumn id="271" xr3:uid="{FAA2AA91-F3CD-45CA-B591-BF22229B5929}" name="Intensity22" totalsRowFunction="custom" dataDxfId="21" totalsRowDxfId="20" dataCellStyle="Normal 14">
      <totalsRowFormula>SUM(BL6:BL114)</totalsRowFormula>
    </tableColumn>
    <tableColumn id="272" xr3:uid="{1F1ABEE5-2461-4E56-8DED-16D03DE7A5F1}" name="Percentage923" totalsRowFunction="sum" dataDxfId="19" totalsRowDxfId="18" dataCellStyle="Normal 14">
      <calculatedColumnFormula>BL7/$BL$115*100</calculatedColumnFormula>
    </tableColumn>
    <tableColumn id="19" xr3:uid="{1AF0483C-7691-48EF-B0CC-C5C05C2E1CFD}" name="RT6" dataDxfId="17" totalsRowDxfId="16" dataCellStyle="Normal 14"/>
    <tableColumn id="20" xr3:uid="{9C25244D-834B-46C5-B37F-E03CC5F8C6BB}" name="Intensity23" totalsRowFunction="custom" dataDxfId="15" totalsRowDxfId="14" dataCellStyle="Normal 14">
      <totalsRowFormula>SUM(BO6:BO114)</totalsRowFormula>
    </tableColumn>
    <tableColumn id="21" xr3:uid="{9CF4FCE1-80DB-4D80-8FE8-038CCBEC57F4}" name="Percentage924" totalsRowFunction="sum" dataDxfId="13" totalsRowDxfId="12" dataCellStyle="Normal 14">
      <calculatedColumnFormula>BO7/$BO$115*100</calculatedColumnFormula>
    </tableColumn>
    <tableColumn id="276" xr3:uid="{283EEA8A-82A0-4BB8-99EB-19F9CFC9D8D1}" name="RT20" dataDxfId="11" totalsRowDxfId="10" dataCellStyle="Normal 14"/>
    <tableColumn id="277" xr3:uid="{636F1230-A7A8-4B16-B698-9CA4B40482E2}" name="Intensity24" totalsRowFunction="custom" dataDxfId="9" totalsRowDxfId="8" dataCellStyle="Normal 14">
      <totalsRowFormula>SUM(BR6:BR114)</totalsRowFormula>
    </tableColumn>
    <tableColumn id="278" xr3:uid="{B6F7BF91-5DAA-44F9-93D7-25D15926BD8D}" name="Percentage925" totalsRowFunction="sum" dataDxfId="7" totalsRowDxfId="6" dataCellStyle="Normal 14">
      <calculatedColumnFormula>BR7/$BR$115*100</calculatedColumnFormula>
    </tableColumn>
    <tableColumn id="25" xr3:uid="{9D40EC02-A3CC-4798-9101-1BE963C9B1D6}" name="RT21" dataDxfId="5" totalsRowDxfId="4" dataCellStyle="Normal 14"/>
    <tableColumn id="26" xr3:uid="{D53C02DB-4390-4531-AE02-50A8A98BB5EE}" name="Intensity25" totalsRowFunction="custom" dataDxfId="3" totalsRowDxfId="2" dataCellStyle="Normal 14">
      <totalsRowFormula>SUM(BU6:BU114)</totalsRowFormula>
    </tableColumn>
    <tableColumn id="27" xr3:uid="{552D35C2-8D11-4A36-B4AD-2C4AFFF0689B}" name="Percentage926" totalsRowFunction="sum" dataDxfId="1" totalsRowDxfId="0" dataCellStyle="Normal 14">
      <calculatedColumnFormula>BU7/$BU$115*100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B930D-628C-4C42-99AE-EB8CAEF4EBE2}">
  <dimension ref="A1:BY131"/>
  <sheetViews>
    <sheetView tabSelected="1" zoomScale="85" zoomScaleNormal="85" workbookViewId="0">
      <selection activeCell="B1" sqref="B1:F1"/>
    </sheetView>
  </sheetViews>
  <sheetFormatPr defaultColWidth="8.87890625" defaultRowHeight="14.35"/>
  <cols>
    <col min="1" max="1" width="10.234375" style="1" customWidth="1"/>
    <col min="2" max="2" width="12.87890625" style="13" customWidth="1"/>
    <col min="3" max="3" width="33.3515625" style="9" customWidth="1"/>
    <col min="4" max="4" width="79.64453125" style="13" customWidth="1"/>
    <col min="5" max="5" width="10.3515625" style="9" customWidth="1"/>
    <col min="6" max="6" width="10" style="9" customWidth="1"/>
    <col min="7" max="7" width="11.1171875" customWidth="1"/>
    <col min="8" max="9" width="8.87890625" customWidth="1"/>
    <col min="10" max="10" width="10.703125" customWidth="1"/>
    <col min="11" max="32" width="8.87890625" customWidth="1"/>
    <col min="33" max="33" width="8.87890625" style="1" customWidth="1"/>
    <col min="34" max="35" width="8.87890625" customWidth="1"/>
    <col min="36" max="46" width="8.41015625" style="1" customWidth="1"/>
    <col min="47" max="56" width="11.41015625" style="1" customWidth="1"/>
    <col min="57" max="74" width="8.41015625" style="1" customWidth="1"/>
    <col min="76" max="76" width="8.87890625" style="11"/>
    <col min="77" max="77" width="8.87890625" style="12"/>
  </cols>
  <sheetData>
    <row r="1" spans="1:77" ht="20">
      <c r="B1" s="178" t="s">
        <v>617</v>
      </c>
      <c r="C1" s="178"/>
      <c r="D1" s="178"/>
      <c r="E1" s="178"/>
      <c r="F1" s="178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77" ht="21" thickBot="1">
      <c r="B2" s="41"/>
      <c r="C2"/>
      <c r="D2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5"/>
      <c r="AS2" s="15"/>
      <c r="AY2" s="15"/>
      <c r="BE2" s="15"/>
      <c r="BK2" s="15"/>
    </row>
    <row r="3" spans="1:77" ht="21" thickBot="1">
      <c r="O3" s="165" t="s">
        <v>613</v>
      </c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  <c r="AA3" s="166"/>
      <c r="AB3" s="166"/>
      <c r="AC3" s="166"/>
      <c r="AD3" s="166"/>
      <c r="AE3" s="166"/>
      <c r="AF3" s="167"/>
      <c r="AG3" s="168" t="s">
        <v>614</v>
      </c>
      <c r="AH3" s="169"/>
      <c r="AI3" s="169"/>
      <c r="AJ3" s="169"/>
      <c r="AK3" s="169"/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69"/>
      <c r="AX3" s="169"/>
      <c r="AY3" s="169"/>
      <c r="AZ3" s="169"/>
      <c r="BA3" s="169"/>
      <c r="BB3" s="169"/>
      <c r="BC3" s="169"/>
      <c r="BD3" s="169"/>
      <c r="BE3" s="169"/>
      <c r="BF3" s="169"/>
      <c r="BG3" s="169"/>
      <c r="BH3" s="169"/>
      <c r="BI3" s="169"/>
      <c r="BJ3" s="169"/>
      <c r="BK3" s="169"/>
      <c r="BL3" s="169"/>
      <c r="BM3" s="169"/>
      <c r="BN3" s="169"/>
      <c r="BO3" s="169"/>
      <c r="BP3" s="169"/>
      <c r="BQ3" s="169"/>
      <c r="BR3" s="169"/>
      <c r="BS3" s="169"/>
      <c r="BT3" s="169"/>
      <c r="BU3" s="169"/>
      <c r="BV3" s="170"/>
    </row>
    <row r="4" spans="1:77" ht="23.35">
      <c r="I4" s="173" t="s">
        <v>558</v>
      </c>
      <c r="J4" s="174"/>
      <c r="K4" s="174"/>
      <c r="L4" s="174"/>
      <c r="M4" s="174"/>
      <c r="N4" s="174"/>
      <c r="O4" s="175" t="s">
        <v>7</v>
      </c>
      <c r="P4" s="176"/>
      <c r="Q4" s="176"/>
      <c r="R4" s="176"/>
      <c r="S4" s="176"/>
      <c r="T4" s="177"/>
      <c r="U4" s="152" t="s">
        <v>8</v>
      </c>
      <c r="V4" s="153"/>
      <c r="W4" s="153"/>
      <c r="X4" s="153"/>
      <c r="Y4" s="153"/>
      <c r="Z4" s="154"/>
      <c r="AA4" s="155" t="s">
        <v>9</v>
      </c>
      <c r="AB4" s="156"/>
      <c r="AC4" s="156"/>
      <c r="AD4" s="156"/>
      <c r="AE4" s="156"/>
      <c r="AF4" s="157"/>
      <c r="AG4" s="158" t="s">
        <v>0</v>
      </c>
      <c r="AH4" s="159"/>
      <c r="AI4" s="159"/>
      <c r="AJ4" s="159"/>
      <c r="AK4" s="159"/>
      <c r="AL4" s="160"/>
      <c r="AM4" s="161" t="s">
        <v>1</v>
      </c>
      <c r="AN4" s="161"/>
      <c r="AO4" s="161"/>
      <c r="AP4" s="161"/>
      <c r="AQ4" s="161"/>
      <c r="AR4" s="161"/>
      <c r="AS4" s="162" t="s">
        <v>2</v>
      </c>
      <c r="AT4" s="163"/>
      <c r="AU4" s="163"/>
      <c r="AV4" s="163"/>
      <c r="AW4" s="163"/>
      <c r="AX4" s="164"/>
      <c r="AY4" s="147" t="s">
        <v>5</v>
      </c>
      <c r="AZ4" s="147"/>
      <c r="BA4" s="147"/>
      <c r="BB4" s="147"/>
      <c r="BC4" s="147"/>
      <c r="BD4" s="147"/>
      <c r="BE4" s="148" t="s">
        <v>3</v>
      </c>
      <c r="BF4" s="149"/>
      <c r="BG4" s="149"/>
      <c r="BH4" s="149"/>
      <c r="BI4" s="149"/>
      <c r="BJ4" s="150"/>
      <c r="BK4" s="151" t="s">
        <v>4</v>
      </c>
      <c r="BL4" s="151"/>
      <c r="BM4" s="151"/>
      <c r="BN4" s="151"/>
      <c r="BO4" s="151"/>
      <c r="BP4" s="151"/>
      <c r="BQ4" s="148" t="s">
        <v>6</v>
      </c>
      <c r="BR4" s="149"/>
      <c r="BS4" s="149"/>
      <c r="BT4" s="149"/>
      <c r="BU4" s="149"/>
      <c r="BV4" s="150"/>
      <c r="BX4"/>
      <c r="BY4"/>
    </row>
    <row r="5" spans="1:77" ht="15.7">
      <c r="I5" s="145" t="s">
        <v>609</v>
      </c>
      <c r="J5" s="144"/>
      <c r="K5" s="144"/>
      <c r="L5" s="144" t="s">
        <v>610</v>
      </c>
      <c r="M5" s="144"/>
      <c r="N5" s="144"/>
      <c r="O5" s="145" t="s">
        <v>609</v>
      </c>
      <c r="P5" s="144"/>
      <c r="Q5" s="144"/>
      <c r="R5" s="144" t="s">
        <v>610</v>
      </c>
      <c r="S5" s="144"/>
      <c r="T5" s="146"/>
      <c r="U5" s="145" t="s">
        <v>609</v>
      </c>
      <c r="V5" s="144"/>
      <c r="W5" s="144"/>
      <c r="X5" s="144" t="s">
        <v>610</v>
      </c>
      <c r="Y5" s="144"/>
      <c r="Z5" s="146"/>
      <c r="AA5" s="145" t="s">
        <v>609</v>
      </c>
      <c r="AB5" s="144"/>
      <c r="AC5" s="144"/>
      <c r="AD5" s="144" t="s">
        <v>610</v>
      </c>
      <c r="AE5" s="144"/>
      <c r="AF5" s="146"/>
      <c r="AG5" s="145" t="s">
        <v>609</v>
      </c>
      <c r="AH5" s="144"/>
      <c r="AI5" s="144"/>
      <c r="AJ5" s="144" t="s">
        <v>610</v>
      </c>
      <c r="AK5" s="144"/>
      <c r="AL5" s="146"/>
      <c r="AM5" s="144" t="s">
        <v>609</v>
      </c>
      <c r="AN5" s="144"/>
      <c r="AO5" s="144"/>
      <c r="AP5" s="144" t="s">
        <v>610</v>
      </c>
      <c r="AQ5" s="144"/>
      <c r="AR5" s="144"/>
      <c r="AS5" s="145" t="s">
        <v>609</v>
      </c>
      <c r="AT5" s="144"/>
      <c r="AU5" s="144"/>
      <c r="AV5" s="144" t="s">
        <v>610</v>
      </c>
      <c r="AW5" s="144"/>
      <c r="AX5" s="146"/>
      <c r="AY5" s="144" t="s">
        <v>609</v>
      </c>
      <c r="AZ5" s="144"/>
      <c r="BA5" s="144"/>
      <c r="BB5" s="144" t="s">
        <v>610</v>
      </c>
      <c r="BC5" s="144"/>
      <c r="BD5" s="144"/>
      <c r="BE5" s="145" t="s">
        <v>609</v>
      </c>
      <c r="BF5" s="144"/>
      <c r="BG5" s="144"/>
      <c r="BH5" s="144" t="s">
        <v>610</v>
      </c>
      <c r="BI5" s="144"/>
      <c r="BJ5" s="146"/>
      <c r="BK5" s="144" t="s">
        <v>609</v>
      </c>
      <c r="BL5" s="144"/>
      <c r="BM5" s="144"/>
      <c r="BN5" s="144" t="s">
        <v>610</v>
      </c>
      <c r="BO5" s="144"/>
      <c r="BP5" s="144"/>
      <c r="BQ5" s="145" t="s">
        <v>609</v>
      </c>
      <c r="BR5" s="144"/>
      <c r="BS5" s="144"/>
      <c r="BT5" s="144" t="s">
        <v>610</v>
      </c>
      <c r="BU5" s="144"/>
      <c r="BV5" s="146"/>
      <c r="BX5"/>
      <c r="BY5"/>
    </row>
    <row r="6" spans="1:77" s="20" customFormat="1" ht="16.7" thickBot="1">
      <c r="A6" s="18"/>
      <c r="B6" s="45" t="s">
        <v>552</v>
      </c>
      <c r="C6" s="126" t="s">
        <v>553</v>
      </c>
      <c r="D6" s="127" t="s">
        <v>554</v>
      </c>
      <c r="E6" s="26" t="s">
        <v>555</v>
      </c>
      <c r="F6" s="133" t="s">
        <v>10</v>
      </c>
      <c r="G6" s="26" t="s">
        <v>11</v>
      </c>
      <c r="H6" s="138" t="s">
        <v>12</v>
      </c>
      <c r="I6" s="96" t="s">
        <v>556</v>
      </c>
      <c r="J6" s="38" t="s">
        <v>557</v>
      </c>
      <c r="K6" s="39" t="s">
        <v>15</v>
      </c>
      <c r="L6" s="26" t="s">
        <v>13</v>
      </c>
      <c r="M6" s="26" t="s">
        <v>14</v>
      </c>
      <c r="N6" s="46" t="s">
        <v>559</v>
      </c>
      <c r="O6" s="73" t="s">
        <v>17</v>
      </c>
      <c r="P6" s="26" t="s">
        <v>561</v>
      </c>
      <c r="Q6" s="39" t="s">
        <v>562</v>
      </c>
      <c r="R6" s="26" t="s">
        <v>560</v>
      </c>
      <c r="S6" s="26" t="s">
        <v>569</v>
      </c>
      <c r="T6" s="74" t="s">
        <v>570</v>
      </c>
      <c r="U6" s="73" t="s">
        <v>563</v>
      </c>
      <c r="V6" s="26" t="s">
        <v>564</v>
      </c>
      <c r="W6" s="39" t="s">
        <v>565</v>
      </c>
      <c r="X6" s="26" t="s">
        <v>566</v>
      </c>
      <c r="Y6" s="26" t="s">
        <v>567</v>
      </c>
      <c r="Z6" s="74" t="s">
        <v>568</v>
      </c>
      <c r="AA6" s="73" t="s">
        <v>571</v>
      </c>
      <c r="AB6" s="26" t="s">
        <v>572</v>
      </c>
      <c r="AC6" s="39" t="s">
        <v>573</v>
      </c>
      <c r="AD6" s="26" t="s">
        <v>25</v>
      </c>
      <c r="AE6" s="26" t="s">
        <v>574</v>
      </c>
      <c r="AF6" s="74" t="s">
        <v>575</v>
      </c>
      <c r="AG6" s="73" t="s">
        <v>576</v>
      </c>
      <c r="AH6" s="26" t="s">
        <v>577</v>
      </c>
      <c r="AI6" s="39" t="s">
        <v>578</v>
      </c>
      <c r="AJ6" s="26" t="s">
        <v>23</v>
      </c>
      <c r="AK6" s="26" t="s">
        <v>26</v>
      </c>
      <c r="AL6" s="74" t="s">
        <v>579</v>
      </c>
      <c r="AM6" s="26" t="s">
        <v>16</v>
      </c>
      <c r="AN6" s="26" t="s">
        <v>24</v>
      </c>
      <c r="AO6" s="39" t="s">
        <v>580</v>
      </c>
      <c r="AP6" s="26" t="s">
        <v>581</v>
      </c>
      <c r="AQ6" s="26" t="s">
        <v>582</v>
      </c>
      <c r="AR6" s="46" t="s">
        <v>583</v>
      </c>
      <c r="AS6" s="73" t="s">
        <v>584</v>
      </c>
      <c r="AT6" s="26" t="s">
        <v>585</v>
      </c>
      <c r="AU6" s="39" t="s">
        <v>586</v>
      </c>
      <c r="AV6" s="26" t="s">
        <v>18</v>
      </c>
      <c r="AW6" s="26" t="s">
        <v>587</v>
      </c>
      <c r="AX6" s="74" t="s">
        <v>588</v>
      </c>
      <c r="AY6" s="26" t="s">
        <v>589</v>
      </c>
      <c r="AZ6" s="26" t="s">
        <v>590</v>
      </c>
      <c r="BA6" s="39" t="s">
        <v>591</v>
      </c>
      <c r="BB6" s="26" t="s">
        <v>21</v>
      </c>
      <c r="BC6" s="26" t="s">
        <v>592</v>
      </c>
      <c r="BD6" s="46" t="s">
        <v>593</v>
      </c>
      <c r="BE6" s="73" t="s">
        <v>594</v>
      </c>
      <c r="BF6" s="26" t="s">
        <v>595</v>
      </c>
      <c r="BG6" s="39" t="s">
        <v>596</v>
      </c>
      <c r="BH6" s="26" t="s">
        <v>19</v>
      </c>
      <c r="BI6" s="26" t="s">
        <v>22</v>
      </c>
      <c r="BJ6" s="74" t="s">
        <v>597</v>
      </c>
      <c r="BK6" s="26" t="s">
        <v>598</v>
      </c>
      <c r="BL6" s="26" t="s">
        <v>599</v>
      </c>
      <c r="BM6" s="39" t="s">
        <v>600</v>
      </c>
      <c r="BN6" s="26" t="s">
        <v>20</v>
      </c>
      <c r="BO6" s="26" t="s">
        <v>601</v>
      </c>
      <c r="BP6" s="46" t="s">
        <v>602</v>
      </c>
      <c r="BQ6" s="73" t="s">
        <v>603</v>
      </c>
      <c r="BR6" s="26" t="s">
        <v>604</v>
      </c>
      <c r="BS6" s="39" t="s">
        <v>605</v>
      </c>
      <c r="BT6" s="26" t="s">
        <v>606</v>
      </c>
      <c r="BU6" s="26" t="s">
        <v>607</v>
      </c>
      <c r="BV6" s="74" t="s">
        <v>608</v>
      </c>
    </row>
    <row r="7" spans="1:77">
      <c r="B7" s="47" t="s">
        <v>27</v>
      </c>
      <c r="C7" s="17" t="s">
        <v>28</v>
      </c>
      <c r="D7" s="128" t="s">
        <v>29</v>
      </c>
      <c r="E7" s="16">
        <v>0</v>
      </c>
      <c r="F7" s="134">
        <v>0</v>
      </c>
      <c r="G7" s="27">
        <v>0</v>
      </c>
      <c r="H7" s="139">
        <v>0</v>
      </c>
      <c r="I7" s="77" t="s">
        <v>31</v>
      </c>
      <c r="J7" s="48">
        <v>0</v>
      </c>
      <c r="K7" s="48">
        <f t="shared" ref="K7:K38" si="0">J7/$J$115*100</f>
        <v>0</v>
      </c>
      <c r="L7" s="2" t="s">
        <v>31</v>
      </c>
      <c r="M7" s="48">
        <v>0</v>
      </c>
      <c r="N7" s="48">
        <f t="shared" ref="N7:N38" si="1">M7/$M$115*100</f>
        <v>0</v>
      </c>
      <c r="O7" s="77" t="s">
        <v>31</v>
      </c>
      <c r="P7" s="48">
        <v>0</v>
      </c>
      <c r="Q7" s="48">
        <f>P7/$P$115*100</f>
        <v>0</v>
      </c>
      <c r="R7" s="2" t="s">
        <v>31</v>
      </c>
      <c r="S7" s="48">
        <v>0</v>
      </c>
      <c r="T7" s="76">
        <f t="shared" ref="T7:T38" si="2">S7/$S$115*100</f>
        <v>0</v>
      </c>
      <c r="U7" s="77" t="s">
        <v>31</v>
      </c>
      <c r="V7" s="48">
        <v>0</v>
      </c>
      <c r="W7" s="48">
        <f>V7/$V$115*100</f>
        <v>0</v>
      </c>
      <c r="X7" s="2" t="s">
        <v>31</v>
      </c>
      <c r="Y7" s="48">
        <v>0</v>
      </c>
      <c r="Z7" s="76">
        <f t="shared" ref="Z7:Z38" si="3">Y7/$Y$115*100</f>
        <v>0</v>
      </c>
      <c r="AA7" s="77" t="s">
        <v>31</v>
      </c>
      <c r="AB7" s="48">
        <v>0</v>
      </c>
      <c r="AC7" s="48">
        <f t="shared" ref="AC7:AC38" si="4">AB7/$AB$115*100</f>
        <v>0</v>
      </c>
      <c r="AD7" s="2" t="s">
        <v>31</v>
      </c>
      <c r="AE7" s="48">
        <v>0</v>
      </c>
      <c r="AF7" s="76">
        <f t="shared" ref="AF7:AF38" si="5">AE7/$AE$115*100</f>
        <v>0</v>
      </c>
      <c r="AG7" s="75" t="s">
        <v>30</v>
      </c>
      <c r="AH7" s="49">
        <v>658.3</v>
      </c>
      <c r="AI7" s="49">
        <f t="shared" ref="AI7:AI38" si="6">AH7/$AH$115*100</f>
        <v>0.31591255321696432</v>
      </c>
      <c r="AJ7" s="34">
        <v>10.73</v>
      </c>
      <c r="AK7" s="49">
        <v>426.3</v>
      </c>
      <c r="AL7" s="103">
        <f t="shared" ref="AL7:AL70" si="7">AK7/$AK$115*100</f>
        <v>0.13305267946654456</v>
      </c>
      <c r="AM7" s="21" t="s">
        <v>31</v>
      </c>
      <c r="AN7" s="48">
        <v>0</v>
      </c>
      <c r="AO7" s="48">
        <f t="shared" ref="AO7:AO70" si="8">AN7/$AN$115*100</f>
        <v>0</v>
      </c>
      <c r="AP7" s="2" t="s">
        <v>31</v>
      </c>
      <c r="AQ7" s="48">
        <v>0</v>
      </c>
      <c r="AR7" s="48">
        <f t="shared" ref="AR7:AR70" si="9">AQ7/$AQ$115*100</f>
        <v>0</v>
      </c>
      <c r="AS7" s="77" t="s">
        <v>31</v>
      </c>
      <c r="AT7" s="48">
        <v>0</v>
      </c>
      <c r="AU7" s="48">
        <f t="shared" ref="AU7:AU70" si="10">AT7/$AT$115*100</f>
        <v>0</v>
      </c>
      <c r="AV7" s="2" t="s">
        <v>31</v>
      </c>
      <c r="AW7" s="48">
        <v>0</v>
      </c>
      <c r="AX7" s="76">
        <f t="shared" ref="AX7:AX70" si="11">AW7/$AW$115*100</f>
        <v>0</v>
      </c>
      <c r="AY7" s="21" t="s">
        <v>31</v>
      </c>
      <c r="AZ7" s="48">
        <v>0</v>
      </c>
      <c r="BA7" s="48">
        <f t="shared" ref="BA7:BA38" si="12">AZ7/$AZ$115*100</f>
        <v>0</v>
      </c>
      <c r="BB7" s="2" t="s">
        <v>31</v>
      </c>
      <c r="BC7" s="48">
        <v>0</v>
      </c>
      <c r="BD7" s="48">
        <f t="shared" ref="BD7:BD38" si="13">BC7/$BC$115*100</f>
        <v>0</v>
      </c>
      <c r="BE7" s="77" t="s">
        <v>31</v>
      </c>
      <c r="BF7" s="48">
        <v>0</v>
      </c>
      <c r="BG7" s="48">
        <f t="shared" ref="BG7:BG70" si="14">BF7/$BF$115*100</f>
        <v>0</v>
      </c>
      <c r="BH7" s="2" t="s">
        <v>31</v>
      </c>
      <c r="BI7" s="48">
        <v>0</v>
      </c>
      <c r="BJ7" s="76">
        <f t="shared" ref="BJ7:BJ70" si="15">BI7/$BI$115*100</f>
        <v>0</v>
      </c>
      <c r="BK7" s="21" t="s">
        <v>31</v>
      </c>
      <c r="BL7" s="48">
        <v>0</v>
      </c>
      <c r="BM7" s="48">
        <f t="shared" ref="BM7:BM70" si="16">BL7/$BL$115*100</f>
        <v>0</v>
      </c>
      <c r="BN7" s="3" t="s">
        <v>31</v>
      </c>
      <c r="BO7" s="48">
        <v>0</v>
      </c>
      <c r="BP7" s="48">
        <f t="shared" ref="BP7:BP70" si="17">BO7/$BO$115*100</f>
        <v>0</v>
      </c>
      <c r="BQ7" s="77" t="s">
        <v>31</v>
      </c>
      <c r="BR7" s="48">
        <v>0</v>
      </c>
      <c r="BS7" s="48">
        <f t="shared" ref="BS7:BS70" si="18">BR7/$BR$115*100</f>
        <v>0</v>
      </c>
      <c r="BT7" s="2" t="s">
        <v>31</v>
      </c>
      <c r="BU7" s="48">
        <v>0</v>
      </c>
      <c r="BV7" s="76">
        <f t="shared" ref="BV7:BV70" si="19">BU7/$BU$115*100</f>
        <v>0</v>
      </c>
      <c r="BX7"/>
      <c r="BY7"/>
    </row>
    <row r="8" spans="1:77">
      <c r="B8" s="50" t="s">
        <v>32</v>
      </c>
      <c r="C8" s="124" t="s">
        <v>33</v>
      </c>
      <c r="D8" s="128" t="s">
        <v>511</v>
      </c>
      <c r="E8" s="16">
        <v>0</v>
      </c>
      <c r="F8" s="134">
        <v>0</v>
      </c>
      <c r="G8" s="27">
        <v>0</v>
      </c>
      <c r="H8" s="139">
        <v>0</v>
      </c>
      <c r="I8" s="77">
        <v>11.11</v>
      </c>
      <c r="J8" s="48">
        <v>962.11</v>
      </c>
      <c r="K8" s="48">
        <f t="shared" si="0"/>
        <v>0.4512076161890915</v>
      </c>
      <c r="L8" s="2">
        <v>11.21</v>
      </c>
      <c r="M8" s="48">
        <v>745.13</v>
      </c>
      <c r="N8" s="100">
        <f t="shared" si="1"/>
        <v>0.33118185649846993</v>
      </c>
      <c r="O8" s="77">
        <v>11.16</v>
      </c>
      <c r="P8" s="48">
        <v>1131.8</v>
      </c>
      <c r="Q8" s="48">
        <f t="shared" ref="Q8:Q71" si="20">P8/$P$115*100</f>
        <v>0.51218382502844761</v>
      </c>
      <c r="R8" s="2">
        <v>11.1</v>
      </c>
      <c r="S8" s="48">
        <v>755.69</v>
      </c>
      <c r="T8" s="76">
        <f t="shared" si="2"/>
        <v>0.33771190786514493</v>
      </c>
      <c r="U8" s="77">
        <v>11.09</v>
      </c>
      <c r="V8" s="48">
        <v>1025.99</v>
      </c>
      <c r="W8" s="48">
        <f>V8/$V$115*100</f>
        <v>0.4443647525230181</v>
      </c>
      <c r="X8" s="2">
        <v>11.2</v>
      </c>
      <c r="Y8" s="48">
        <v>971.2</v>
      </c>
      <c r="Z8" s="76">
        <f t="shared" si="3"/>
        <v>0.33263437416633773</v>
      </c>
      <c r="AA8" s="77">
        <v>11.1</v>
      </c>
      <c r="AB8" s="48">
        <v>1235.42</v>
      </c>
      <c r="AC8" s="48">
        <f t="shared" si="4"/>
        <v>0.51196010870087272</v>
      </c>
      <c r="AD8" s="2">
        <v>11.2</v>
      </c>
      <c r="AE8" s="48">
        <v>845.45</v>
      </c>
      <c r="AF8" s="76">
        <f t="shared" si="5"/>
        <v>0.30160957376461545</v>
      </c>
      <c r="AG8" s="77">
        <v>11.34</v>
      </c>
      <c r="AH8" s="48">
        <v>689.86</v>
      </c>
      <c r="AI8" s="48">
        <f t="shared" si="6"/>
        <v>0.33105792793901728</v>
      </c>
      <c r="AJ8" s="2">
        <v>11.09</v>
      </c>
      <c r="AK8" s="48">
        <v>895.42</v>
      </c>
      <c r="AL8" s="76">
        <f t="shared" si="7"/>
        <v>0.27946992786285091</v>
      </c>
      <c r="AM8" s="21">
        <v>11.22</v>
      </c>
      <c r="AN8" s="48">
        <v>749.82</v>
      </c>
      <c r="AO8" s="48">
        <f t="shared" si="8"/>
        <v>0.30980208645189566</v>
      </c>
      <c r="AP8" s="4">
        <v>11.12</v>
      </c>
      <c r="AQ8" s="51">
        <v>989.33</v>
      </c>
      <c r="AR8" s="48">
        <f t="shared" si="9"/>
        <v>0.38362886233197946</v>
      </c>
      <c r="AS8" s="77">
        <v>11.08</v>
      </c>
      <c r="AT8" s="48">
        <v>538.66999999999996</v>
      </c>
      <c r="AU8" s="48">
        <f t="shared" si="10"/>
        <v>0.16600306427844383</v>
      </c>
      <c r="AV8" s="2">
        <v>11.13</v>
      </c>
      <c r="AW8" s="48">
        <v>730.7</v>
      </c>
      <c r="AX8" s="76">
        <f t="shared" si="11"/>
        <v>0.22075280604097139</v>
      </c>
      <c r="AY8" s="21">
        <v>11.09</v>
      </c>
      <c r="AZ8" s="48">
        <v>615.42999999999995</v>
      </c>
      <c r="BA8" s="48">
        <f t="shared" si="12"/>
        <v>0.22585668781569165</v>
      </c>
      <c r="BB8" s="2">
        <v>11.19</v>
      </c>
      <c r="BC8" s="48">
        <v>839.88</v>
      </c>
      <c r="BD8" s="48">
        <f t="shared" si="13"/>
        <v>0.2854157797123576</v>
      </c>
      <c r="BE8" s="77">
        <v>11.08</v>
      </c>
      <c r="BF8" s="48">
        <v>656.08</v>
      </c>
      <c r="BG8" s="48">
        <f t="shared" si="14"/>
        <v>0.28305227929176702</v>
      </c>
      <c r="BH8" s="2">
        <v>11.2</v>
      </c>
      <c r="BI8" s="48">
        <v>1187.04</v>
      </c>
      <c r="BJ8" s="76">
        <f t="shared" si="15"/>
        <v>0.47715181080245744</v>
      </c>
      <c r="BK8" s="21">
        <v>11.14</v>
      </c>
      <c r="BL8" s="48">
        <v>405.35</v>
      </c>
      <c r="BM8" s="48">
        <f t="shared" si="16"/>
        <v>0.18491857310104681</v>
      </c>
      <c r="BN8" s="2">
        <v>11.16</v>
      </c>
      <c r="BO8" s="48">
        <v>676.78</v>
      </c>
      <c r="BP8" s="48">
        <f t="shared" si="17"/>
        <v>0.25232821414052115</v>
      </c>
      <c r="BQ8" s="77">
        <v>11.09</v>
      </c>
      <c r="BR8" s="48">
        <v>598.95000000000005</v>
      </c>
      <c r="BS8" s="48">
        <f t="shared" si="18"/>
        <v>0.24032265468039962</v>
      </c>
      <c r="BT8" s="2">
        <v>11.08</v>
      </c>
      <c r="BU8" s="48">
        <v>769.53</v>
      </c>
      <c r="BV8" s="76">
        <f t="shared" si="19"/>
        <v>0.3016666497316553</v>
      </c>
      <c r="BX8"/>
      <c r="BY8"/>
    </row>
    <row r="9" spans="1:77">
      <c r="B9" s="13">
        <v>505</v>
      </c>
      <c r="C9" s="124" t="s">
        <v>34</v>
      </c>
      <c r="D9" s="128" t="s">
        <v>512</v>
      </c>
      <c r="E9" s="16">
        <v>0</v>
      </c>
      <c r="F9" s="134">
        <v>0</v>
      </c>
      <c r="G9" s="27">
        <v>0</v>
      </c>
      <c r="H9" s="139">
        <v>1</v>
      </c>
      <c r="I9" s="77" t="s">
        <v>40</v>
      </c>
      <c r="J9" s="48">
        <v>352.8</v>
      </c>
      <c r="K9" s="48">
        <f t="shared" si="0"/>
        <v>0.16545514233456826</v>
      </c>
      <c r="L9" s="2" t="s">
        <v>38</v>
      </c>
      <c r="M9" s="48">
        <v>374.5</v>
      </c>
      <c r="N9" s="100">
        <f t="shared" si="1"/>
        <v>0.16645096192433134</v>
      </c>
      <c r="O9" s="77">
        <v>14.62</v>
      </c>
      <c r="P9" s="48">
        <v>410.73</v>
      </c>
      <c r="Q9" s="48">
        <f t="shared" si="20"/>
        <v>0.18587141054420775</v>
      </c>
      <c r="R9" s="2" t="s">
        <v>39</v>
      </c>
      <c r="S9" s="48">
        <v>324</v>
      </c>
      <c r="T9" s="76">
        <f t="shared" si="2"/>
        <v>0.14479304760987571</v>
      </c>
      <c r="U9" s="77" t="s">
        <v>37</v>
      </c>
      <c r="V9" s="48">
        <v>353.9</v>
      </c>
      <c r="W9" s="48">
        <f t="shared" ref="W9:W72" si="21">V9/$V$115*100</f>
        <v>0.15327701626516443</v>
      </c>
      <c r="X9" s="2">
        <v>14.45</v>
      </c>
      <c r="Y9" s="48">
        <v>410.26</v>
      </c>
      <c r="Z9" s="76">
        <f t="shared" si="3"/>
        <v>0.14051336320580898</v>
      </c>
      <c r="AA9" s="77">
        <v>14.43</v>
      </c>
      <c r="AB9" s="48">
        <v>323.02</v>
      </c>
      <c r="AC9" s="48">
        <f t="shared" si="4"/>
        <v>0.13386002680267106</v>
      </c>
      <c r="AD9" s="2">
        <v>14.49</v>
      </c>
      <c r="AE9" s="48">
        <v>430.94</v>
      </c>
      <c r="AF9" s="76">
        <f t="shared" si="5"/>
        <v>0.15373544233026598</v>
      </c>
      <c r="AG9" s="77">
        <v>14.89</v>
      </c>
      <c r="AH9" s="48">
        <v>196.14</v>
      </c>
      <c r="AI9" s="48">
        <f t="shared" si="6"/>
        <v>9.4125912483632682E-2</v>
      </c>
      <c r="AJ9" s="2">
        <v>14.36</v>
      </c>
      <c r="AK9" s="48">
        <v>450.91</v>
      </c>
      <c r="AL9" s="76">
        <f t="shared" si="7"/>
        <v>0.14073371733112741</v>
      </c>
      <c r="AM9" s="21">
        <v>14.69</v>
      </c>
      <c r="AN9" s="48">
        <v>183.27</v>
      </c>
      <c r="AO9" s="48">
        <f t="shared" si="8"/>
        <v>7.5721410984021367E-2</v>
      </c>
      <c r="AP9" s="2" t="s">
        <v>35</v>
      </c>
      <c r="AQ9" s="48">
        <v>239</v>
      </c>
      <c r="AR9" s="48">
        <f t="shared" si="9"/>
        <v>9.2676152646076718E-2</v>
      </c>
      <c r="AS9" s="77">
        <v>14.59</v>
      </c>
      <c r="AT9" s="48">
        <v>237.87</v>
      </c>
      <c r="AU9" s="48">
        <f t="shared" si="10"/>
        <v>7.3304897061119867E-2</v>
      </c>
      <c r="AV9" s="2">
        <v>14.35</v>
      </c>
      <c r="AW9" s="48">
        <v>442.12</v>
      </c>
      <c r="AX9" s="76">
        <f t="shared" si="11"/>
        <v>0.13356949583527339</v>
      </c>
      <c r="AY9" s="21" t="s">
        <v>37</v>
      </c>
      <c r="AZ9" s="48">
        <v>174.4</v>
      </c>
      <c r="BA9" s="48">
        <f t="shared" si="12"/>
        <v>6.4003065100915829E-2</v>
      </c>
      <c r="BB9" s="2">
        <v>14.47</v>
      </c>
      <c r="BC9" s="48">
        <v>530.25</v>
      </c>
      <c r="BD9" s="48">
        <f t="shared" si="13"/>
        <v>0.18019445300814119</v>
      </c>
      <c r="BE9" s="77" t="s">
        <v>36</v>
      </c>
      <c r="BF9" s="48">
        <v>149.6</v>
      </c>
      <c r="BG9" s="48">
        <f t="shared" si="14"/>
        <v>6.4541856148714105E-2</v>
      </c>
      <c r="BH9" s="2">
        <v>14.37</v>
      </c>
      <c r="BI9" s="48">
        <v>381.5</v>
      </c>
      <c r="BJ9" s="76">
        <f t="shared" si="15"/>
        <v>0.15335070075240725</v>
      </c>
      <c r="BK9" s="21">
        <v>14.57</v>
      </c>
      <c r="BL9" s="48">
        <v>198.97</v>
      </c>
      <c r="BM9" s="48">
        <f t="shared" si="16"/>
        <v>9.0769084716702322E-2</v>
      </c>
      <c r="BN9" s="2">
        <v>14.39</v>
      </c>
      <c r="BO9" s="48">
        <v>424.83</v>
      </c>
      <c r="BP9" s="48">
        <f t="shared" si="17"/>
        <v>0.1583920848921623</v>
      </c>
      <c r="BQ9" s="77" t="s">
        <v>38</v>
      </c>
      <c r="BR9" s="48">
        <v>148.30000000000001</v>
      </c>
      <c r="BS9" s="48">
        <f t="shared" si="18"/>
        <v>5.9503881274068401E-2</v>
      </c>
      <c r="BT9" s="2">
        <v>14.39</v>
      </c>
      <c r="BU9" s="48">
        <v>271.76</v>
      </c>
      <c r="BV9" s="76">
        <f t="shared" si="19"/>
        <v>0.10653376571553369</v>
      </c>
      <c r="BX9"/>
      <c r="BY9"/>
    </row>
    <row r="10" spans="1:77">
      <c r="B10" s="50" t="s">
        <v>41</v>
      </c>
      <c r="C10" s="124" t="s">
        <v>42</v>
      </c>
      <c r="D10" s="128" t="s">
        <v>43</v>
      </c>
      <c r="E10" s="16">
        <v>0</v>
      </c>
      <c r="F10" s="134">
        <v>0</v>
      </c>
      <c r="G10" s="27">
        <v>0</v>
      </c>
      <c r="H10" s="139">
        <v>0</v>
      </c>
      <c r="I10" s="77" t="s">
        <v>31</v>
      </c>
      <c r="J10" s="48">
        <v>0</v>
      </c>
      <c r="K10" s="48">
        <f t="shared" si="0"/>
        <v>0</v>
      </c>
      <c r="L10" s="2" t="s">
        <v>31</v>
      </c>
      <c r="M10" s="48">
        <v>0</v>
      </c>
      <c r="N10" s="100">
        <f t="shared" si="1"/>
        <v>0</v>
      </c>
      <c r="O10" s="77" t="s">
        <v>31</v>
      </c>
      <c r="P10" s="48">
        <v>0</v>
      </c>
      <c r="Q10" s="48">
        <f t="shared" si="20"/>
        <v>0</v>
      </c>
      <c r="R10" s="2" t="s">
        <v>31</v>
      </c>
      <c r="S10" s="48">
        <v>0</v>
      </c>
      <c r="T10" s="76">
        <f t="shared" si="2"/>
        <v>0</v>
      </c>
      <c r="U10" s="77" t="s">
        <v>31</v>
      </c>
      <c r="V10" s="48">
        <v>0</v>
      </c>
      <c r="W10" s="48">
        <f t="shared" si="21"/>
        <v>0</v>
      </c>
      <c r="X10" s="2" t="s">
        <v>31</v>
      </c>
      <c r="Y10" s="48">
        <v>0</v>
      </c>
      <c r="Z10" s="76">
        <f t="shared" si="3"/>
        <v>0</v>
      </c>
      <c r="AA10" s="77" t="s">
        <v>31</v>
      </c>
      <c r="AB10" s="48">
        <v>0</v>
      </c>
      <c r="AC10" s="48">
        <f t="shared" si="4"/>
        <v>0</v>
      </c>
      <c r="AD10" s="2" t="s">
        <v>31</v>
      </c>
      <c r="AE10" s="48">
        <v>0</v>
      </c>
      <c r="AF10" s="76">
        <f t="shared" si="5"/>
        <v>0</v>
      </c>
      <c r="AG10" s="75">
        <v>14.15</v>
      </c>
      <c r="AH10" s="49">
        <v>698.83</v>
      </c>
      <c r="AI10" s="49">
        <f t="shared" si="6"/>
        <v>0.33536255440469581</v>
      </c>
      <c r="AJ10" s="34" t="s">
        <v>44</v>
      </c>
      <c r="AK10" s="49">
        <v>612.20000000000005</v>
      </c>
      <c r="AL10" s="103">
        <f t="shared" si="7"/>
        <v>0.19107400978047995</v>
      </c>
      <c r="AM10" s="31">
        <v>13.93</v>
      </c>
      <c r="AN10" s="49">
        <v>596.03</v>
      </c>
      <c r="AO10" s="49">
        <f t="shared" si="8"/>
        <v>0.24626088606321961</v>
      </c>
      <c r="AP10" s="32" t="s">
        <v>45</v>
      </c>
      <c r="AQ10" s="52">
        <v>342.6</v>
      </c>
      <c r="AR10" s="49">
        <f t="shared" si="9"/>
        <v>0.13284874433701208</v>
      </c>
      <c r="AS10" s="75" t="s">
        <v>46</v>
      </c>
      <c r="AT10" s="49">
        <v>443</v>
      </c>
      <c r="AU10" s="49">
        <f t="shared" si="10"/>
        <v>0.13652023961859883</v>
      </c>
      <c r="AV10" s="34">
        <v>13.9</v>
      </c>
      <c r="AW10" s="49">
        <v>1180.1400000000001</v>
      </c>
      <c r="AX10" s="103">
        <f t="shared" si="11"/>
        <v>0.35653375738496235</v>
      </c>
      <c r="AY10" s="31" t="s">
        <v>47</v>
      </c>
      <c r="AZ10" s="49">
        <v>503.2</v>
      </c>
      <c r="BA10" s="49">
        <f t="shared" si="12"/>
        <v>0.18466939425906445</v>
      </c>
      <c r="BB10" s="34">
        <v>13.9</v>
      </c>
      <c r="BC10" s="49">
        <v>1065.97</v>
      </c>
      <c r="BD10" s="49">
        <f t="shared" si="13"/>
        <v>0.36224777194358937</v>
      </c>
      <c r="BE10" s="77" t="s">
        <v>31</v>
      </c>
      <c r="BF10" s="48">
        <v>0</v>
      </c>
      <c r="BG10" s="48">
        <f t="shared" si="14"/>
        <v>0</v>
      </c>
      <c r="BH10" s="2" t="s">
        <v>31</v>
      </c>
      <c r="BI10" s="48">
        <v>0</v>
      </c>
      <c r="BJ10" s="76">
        <f t="shared" si="15"/>
        <v>0</v>
      </c>
      <c r="BK10" s="21" t="s">
        <v>31</v>
      </c>
      <c r="BL10" s="48">
        <v>0</v>
      </c>
      <c r="BM10" s="48">
        <f t="shared" si="16"/>
        <v>0</v>
      </c>
      <c r="BN10" s="3" t="s">
        <v>31</v>
      </c>
      <c r="BO10" s="48">
        <v>0</v>
      </c>
      <c r="BP10" s="48">
        <f t="shared" si="17"/>
        <v>0</v>
      </c>
      <c r="BQ10" s="77" t="s">
        <v>31</v>
      </c>
      <c r="BR10" s="48">
        <v>0</v>
      </c>
      <c r="BS10" s="48">
        <f t="shared" si="18"/>
        <v>0</v>
      </c>
      <c r="BT10" s="2" t="s">
        <v>31</v>
      </c>
      <c r="BU10" s="48">
        <v>0</v>
      </c>
      <c r="BV10" s="76">
        <f t="shared" si="19"/>
        <v>0</v>
      </c>
      <c r="BX10"/>
      <c r="BY10"/>
    </row>
    <row r="11" spans="1:77">
      <c r="B11" s="50" t="s">
        <v>48</v>
      </c>
      <c r="C11" s="124" t="s">
        <v>42</v>
      </c>
      <c r="D11" s="128" t="s">
        <v>513</v>
      </c>
      <c r="E11" s="16">
        <v>0</v>
      </c>
      <c r="F11" s="134">
        <v>0</v>
      </c>
      <c r="G11" s="27">
        <v>0</v>
      </c>
      <c r="H11" s="139">
        <v>0</v>
      </c>
      <c r="I11" s="77" t="s">
        <v>31</v>
      </c>
      <c r="J11" s="48">
        <v>0</v>
      </c>
      <c r="K11" s="22">
        <f t="shared" si="0"/>
        <v>0</v>
      </c>
      <c r="L11" s="2" t="s">
        <v>31</v>
      </c>
      <c r="M11" s="48">
        <v>0</v>
      </c>
      <c r="N11" s="100">
        <f t="shared" si="1"/>
        <v>0</v>
      </c>
      <c r="O11" s="77" t="s">
        <v>31</v>
      </c>
      <c r="P11" s="48">
        <v>0</v>
      </c>
      <c r="Q11" s="48">
        <f t="shared" si="20"/>
        <v>0</v>
      </c>
      <c r="R11" s="2" t="s">
        <v>31</v>
      </c>
      <c r="S11" s="48">
        <v>0</v>
      </c>
      <c r="T11" s="78">
        <f t="shared" si="2"/>
        <v>0</v>
      </c>
      <c r="U11" s="77" t="s">
        <v>31</v>
      </c>
      <c r="V11" s="48">
        <v>0</v>
      </c>
      <c r="W11" s="48">
        <f t="shared" si="21"/>
        <v>0</v>
      </c>
      <c r="X11" s="2" t="s">
        <v>31</v>
      </c>
      <c r="Y11" s="48">
        <v>0</v>
      </c>
      <c r="Z11" s="78">
        <f t="shared" si="3"/>
        <v>0</v>
      </c>
      <c r="AA11" s="77" t="s">
        <v>31</v>
      </c>
      <c r="AB11" s="48">
        <v>0</v>
      </c>
      <c r="AC11" s="22">
        <f t="shared" si="4"/>
        <v>0</v>
      </c>
      <c r="AD11" s="2" t="s">
        <v>31</v>
      </c>
      <c r="AE11" s="48">
        <v>0</v>
      </c>
      <c r="AF11" s="78">
        <f t="shared" si="5"/>
        <v>0</v>
      </c>
      <c r="AG11" s="77" t="s">
        <v>31</v>
      </c>
      <c r="AH11" s="48">
        <v>0</v>
      </c>
      <c r="AI11" s="22">
        <f t="shared" si="6"/>
        <v>0</v>
      </c>
      <c r="AJ11" s="2" t="s">
        <v>31</v>
      </c>
      <c r="AK11" s="48">
        <v>0</v>
      </c>
      <c r="AL11" s="78">
        <f t="shared" si="7"/>
        <v>0</v>
      </c>
      <c r="AM11" s="21" t="s">
        <v>31</v>
      </c>
      <c r="AN11" s="48">
        <v>0</v>
      </c>
      <c r="AO11" s="22">
        <f t="shared" si="8"/>
        <v>0</v>
      </c>
      <c r="AP11" s="2" t="s">
        <v>31</v>
      </c>
      <c r="AQ11" s="48">
        <v>0</v>
      </c>
      <c r="AR11" s="22">
        <f t="shared" si="9"/>
        <v>0</v>
      </c>
      <c r="AS11" s="75" t="s">
        <v>49</v>
      </c>
      <c r="AT11" s="49">
        <v>704.3</v>
      </c>
      <c r="AU11" s="53">
        <f t="shared" si="10"/>
        <v>0.21704560894667976</v>
      </c>
      <c r="AV11" s="34">
        <v>15.6</v>
      </c>
      <c r="AW11" s="49">
        <v>3013.78</v>
      </c>
      <c r="AX11" s="107">
        <f t="shared" si="11"/>
        <v>0.91049732009054163</v>
      </c>
      <c r="AY11" s="31" t="s">
        <v>50</v>
      </c>
      <c r="AZ11" s="49">
        <v>642.1</v>
      </c>
      <c r="BA11" s="53">
        <f t="shared" si="12"/>
        <v>0.23564431250744297</v>
      </c>
      <c r="BB11" s="34">
        <v>15.73</v>
      </c>
      <c r="BC11" s="49">
        <v>2477.4299999999998</v>
      </c>
      <c r="BD11" s="53">
        <f t="shared" si="13"/>
        <v>0.84190314703622671</v>
      </c>
      <c r="BE11" s="77" t="s">
        <v>31</v>
      </c>
      <c r="BF11" s="48">
        <v>0</v>
      </c>
      <c r="BG11" s="22">
        <f t="shared" si="14"/>
        <v>0</v>
      </c>
      <c r="BH11" s="2" t="s">
        <v>31</v>
      </c>
      <c r="BI11" s="48">
        <v>0</v>
      </c>
      <c r="BJ11" s="78">
        <f t="shared" si="15"/>
        <v>0</v>
      </c>
      <c r="BK11" s="21" t="s">
        <v>31</v>
      </c>
      <c r="BL11" s="48">
        <v>0</v>
      </c>
      <c r="BM11" s="22">
        <f t="shared" si="16"/>
        <v>0</v>
      </c>
      <c r="BN11" s="3" t="s">
        <v>31</v>
      </c>
      <c r="BO11" s="48">
        <v>0</v>
      </c>
      <c r="BP11" s="22">
        <f t="shared" si="17"/>
        <v>0</v>
      </c>
      <c r="BQ11" s="77" t="s">
        <v>31</v>
      </c>
      <c r="BR11" s="48">
        <v>0</v>
      </c>
      <c r="BS11" s="22">
        <f t="shared" si="18"/>
        <v>0</v>
      </c>
      <c r="BT11" s="2" t="s">
        <v>31</v>
      </c>
      <c r="BU11" s="48">
        <v>0</v>
      </c>
      <c r="BV11" s="78">
        <f t="shared" si="19"/>
        <v>0</v>
      </c>
      <c r="BX11"/>
      <c r="BY11"/>
    </row>
    <row r="12" spans="1:77">
      <c r="B12" s="13" t="s">
        <v>51</v>
      </c>
      <c r="C12" s="124" t="s">
        <v>52</v>
      </c>
      <c r="D12" s="128" t="s">
        <v>53</v>
      </c>
      <c r="E12" s="16">
        <v>0</v>
      </c>
      <c r="F12" s="134">
        <v>0</v>
      </c>
      <c r="G12" s="27">
        <v>0</v>
      </c>
      <c r="H12" s="139">
        <v>1</v>
      </c>
      <c r="I12" s="77">
        <v>14.72</v>
      </c>
      <c r="J12" s="48">
        <v>1949.52</v>
      </c>
      <c r="K12" s="48">
        <f t="shared" si="0"/>
        <v>0.91428035454673329</v>
      </c>
      <c r="L12" s="2">
        <v>14.87</v>
      </c>
      <c r="M12" s="48">
        <v>3233.39</v>
      </c>
      <c r="N12" s="100">
        <f t="shared" si="1"/>
        <v>1.4371184933952299</v>
      </c>
      <c r="O12" s="77">
        <v>14.91</v>
      </c>
      <c r="P12" s="48">
        <v>7368.1</v>
      </c>
      <c r="Q12" s="48">
        <f t="shared" si="20"/>
        <v>3.3343538091465854</v>
      </c>
      <c r="R12" s="2">
        <v>14.74</v>
      </c>
      <c r="S12" s="48">
        <v>8205.4699999999993</v>
      </c>
      <c r="T12" s="76">
        <f t="shared" si="2"/>
        <v>3.666959902380885</v>
      </c>
      <c r="U12" s="77">
        <v>14.72</v>
      </c>
      <c r="V12" s="48">
        <v>3525.47</v>
      </c>
      <c r="W12" s="48">
        <f t="shared" si="21"/>
        <v>1.526910207777195</v>
      </c>
      <c r="X12" s="2">
        <v>14.84</v>
      </c>
      <c r="Y12" s="48">
        <v>4253.75</v>
      </c>
      <c r="Z12" s="76">
        <f t="shared" si="3"/>
        <v>1.4569022540260079</v>
      </c>
      <c r="AA12" s="77">
        <v>14.73</v>
      </c>
      <c r="AB12" s="48">
        <v>7189.74</v>
      </c>
      <c r="AC12" s="48">
        <f t="shared" si="4"/>
        <v>2.9794402486045328</v>
      </c>
      <c r="AD12" s="2">
        <v>14.78</v>
      </c>
      <c r="AE12" s="48">
        <v>8869.7000000000007</v>
      </c>
      <c r="AF12" s="76">
        <f t="shared" si="5"/>
        <v>3.1642160227334668</v>
      </c>
      <c r="AG12" s="77">
        <v>15.22</v>
      </c>
      <c r="AH12" s="48">
        <v>7042.79</v>
      </c>
      <c r="AI12" s="48">
        <f t="shared" si="6"/>
        <v>3.3797748301244184</v>
      </c>
      <c r="AJ12" s="2">
        <v>14.65</v>
      </c>
      <c r="AK12" s="48">
        <v>9578.5</v>
      </c>
      <c r="AL12" s="76">
        <f t="shared" si="7"/>
        <v>2.9895498247016117</v>
      </c>
      <c r="AM12" s="21">
        <v>14.97</v>
      </c>
      <c r="AN12" s="48">
        <v>7641.84</v>
      </c>
      <c r="AO12" s="48">
        <f t="shared" si="8"/>
        <v>3.1573684035255845</v>
      </c>
      <c r="AP12" s="4">
        <v>14.63</v>
      </c>
      <c r="AQ12" s="51">
        <v>7246.8</v>
      </c>
      <c r="AR12" s="48">
        <f t="shared" si="9"/>
        <v>2.8100650334543462</v>
      </c>
      <c r="AS12" s="77">
        <v>14.95</v>
      </c>
      <c r="AT12" s="48">
        <v>3719.05</v>
      </c>
      <c r="AU12" s="48">
        <f t="shared" si="10"/>
        <v>1.146107442784537</v>
      </c>
      <c r="AV12" s="2">
        <v>14.73</v>
      </c>
      <c r="AW12" s="48">
        <v>4083.19</v>
      </c>
      <c r="AX12" s="76">
        <f t="shared" si="11"/>
        <v>1.2335782812350264</v>
      </c>
      <c r="AY12" s="21">
        <v>14.81</v>
      </c>
      <c r="AZ12" s="48">
        <v>4007.01</v>
      </c>
      <c r="BA12" s="48">
        <f t="shared" si="12"/>
        <v>1.4705328090024126</v>
      </c>
      <c r="BB12" s="2">
        <v>14.75</v>
      </c>
      <c r="BC12" s="48">
        <v>3777.15</v>
      </c>
      <c r="BD12" s="48">
        <f t="shared" si="13"/>
        <v>1.283586003167752</v>
      </c>
      <c r="BE12" s="77">
        <v>14.75</v>
      </c>
      <c r="BF12" s="48">
        <v>4142.92</v>
      </c>
      <c r="BG12" s="48">
        <f t="shared" si="14"/>
        <v>1.7873779857996697</v>
      </c>
      <c r="BH12" s="2">
        <v>14.75</v>
      </c>
      <c r="BI12" s="48">
        <v>3780.02</v>
      </c>
      <c r="BJ12" s="76">
        <f t="shared" si="15"/>
        <v>1.5194461752506276</v>
      </c>
      <c r="BK12" s="21">
        <v>14.76</v>
      </c>
      <c r="BL12" s="48">
        <v>4961.71</v>
      </c>
      <c r="BM12" s="48">
        <f t="shared" si="16"/>
        <v>2.2635064347877019</v>
      </c>
      <c r="BN12" s="2">
        <v>14.77</v>
      </c>
      <c r="BO12" s="48">
        <v>5163.1099999999997</v>
      </c>
      <c r="BP12" s="48">
        <f t="shared" si="17"/>
        <v>1.9249953097181745</v>
      </c>
      <c r="BQ12" s="77">
        <v>14.69</v>
      </c>
      <c r="BR12" s="48">
        <v>4351.6499999999996</v>
      </c>
      <c r="BS12" s="48">
        <f t="shared" si="18"/>
        <v>1.7460557312629785</v>
      </c>
      <c r="BT12" s="2">
        <v>14.68</v>
      </c>
      <c r="BU12" s="48">
        <v>3840.6</v>
      </c>
      <c r="BV12" s="76">
        <f t="shared" si="19"/>
        <v>1.5055695488926946</v>
      </c>
      <c r="BX12"/>
      <c r="BY12"/>
    </row>
    <row r="13" spans="1:77">
      <c r="B13" s="13" t="s">
        <v>54</v>
      </c>
      <c r="C13" s="124" t="s">
        <v>52</v>
      </c>
      <c r="D13" s="128" t="s">
        <v>55</v>
      </c>
      <c r="E13" s="16">
        <v>0</v>
      </c>
      <c r="F13" s="134">
        <v>0</v>
      </c>
      <c r="G13" s="27">
        <v>0</v>
      </c>
      <c r="H13" s="139">
        <v>1</v>
      </c>
      <c r="I13" s="77" t="s">
        <v>31</v>
      </c>
      <c r="J13" s="48">
        <v>0</v>
      </c>
      <c r="K13" s="22">
        <f t="shared" si="0"/>
        <v>0</v>
      </c>
      <c r="L13" s="2" t="s">
        <v>31</v>
      </c>
      <c r="M13" s="48">
        <v>0</v>
      </c>
      <c r="N13" s="100">
        <f t="shared" si="1"/>
        <v>0</v>
      </c>
      <c r="O13" s="77" t="s">
        <v>31</v>
      </c>
      <c r="P13" s="48">
        <v>0</v>
      </c>
      <c r="Q13" s="48">
        <f t="shared" si="20"/>
        <v>0</v>
      </c>
      <c r="R13" s="2" t="s">
        <v>31</v>
      </c>
      <c r="S13" s="48">
        <v>0</v>
      </c>
      <c r="T13" s="78">
        <f t="shared" si="2"/>
        <v>0</v>
      </c>
      <c r="U13" s="77" t="s">
        <v>31</v>
      </c>
      <c r="V13" s="48">
        <v>0</v>
      </c>
      <c r="W13" s="48">
        <f t="shared" si="21"/>
        <v>0</v>
      </c>
      <c r="X13" s="2" t="s">
        <v>31</v>
      </c>
      <c r="Y13" s="48">
        <v>0</v>
      </c>
      <c r="Z13" s="78">
        <f t="shared" si="3"/>
        <v>0</v>
      </c>
      <c r="AA13" s="77" t="s">
        <v>31</v>
      </c>
      <c r="AB13" s="48">
        <v>0</v>
      </c>
      <c r="AC13" s="22">
        <f t="shared" si="4"/>
        <v>0</v>
      </c>
      <c r="AD13" s="2" t="s">
        <v>31</v>
      </c>
      <c r="AE13" s="48">
        <v>0</v>
      </c>
      <c r="AF13" s="78">
        <f t="shared" si="5"/>
        <v>0</v>
      </c>
      <c r="AG13" s="77" t="s">
        <v>31</v>
      </c>
      <c r="AH13" s="48">
        <v>0</v>
      </c>
      <c r="AI13" s="22">
        <f t="shared" si="6"/>
        <v>0</v>
      </c>
      <c r="AJ13" s="3" t="s">
        <v>31</v>
      </c>
      <c r="AK13" s="48">
        <v>0</v>
      </c>
      <c r="AL13" s="78">
        <f t="shared" si="7"/>
        <v>0</v>
      </c>
      <c r="AM13" s="21" t="s">
        <v>31</v>
      </c>
      <c r="AN13" s="48">
        <v>0</v>
      </c>
      <c r="AO13" s="22">
        <f t="shared" si="8"/>
        <v>0</v>
      </c>
      <c r="AP13" s="2" t="s">
        <v>31</v>
      </c>
      <c r="AQ13" s="48">
        <v>0</v>
      </c>
      <c r="AR13" s="22">
        <f t="shared" si="9"/>
        <v>0</v>
      </c>
      <c r="AS13" s="75">
        <v>16.72</v>
      </c>
      <c r="AT13" s="49">
        <v>3050.06</v>
      </c>
      <c r="AU13" s="53">
        <f t="shared" si="10"/>
        <v>0.93994339063454502</v>
      </c>
      <c r="AV13" s="34">
        <v>16.510000000000002</v>
      </c>
      <c r="AW13" s="49">
        <v>3016.01</v>
      </c>
      <c r="AX13" s="107">
        <f t="shared" si="11"/>
        <v>0.91117102853103882</v>
      </c>
      <c r="AY13" s="31">
        <v>16.59</v>
      </c>
      <c r="AZ13" s="49">
        <v>2155.84</v>
      </c>
      <c r="BA13" s="53">
        <f t="shared" si="12"/>
        <v>0.79117183410067882</v>
      </c>
      <c r="BB13" s="34">
        <v>16.53</v>
      </c>
      <c r="BC13" s="49">
        <v>2653.35</v>
      </c>
      <c r="BD13" s="53">
        <f t="shared" si="13"/>
        <v>0.9016859064387579</v>
      </c>
      <c r="BE13" s="77" t="s">
        <v>31</v>
      </c>
      <c r="BF13" s="48">
        <v>0</v>
      </c>
      <c r="BG13" s="22">
        <f t="shared" si="14"/>
        <v>0</v>
      </c>
      <c r="BH13" s="2" t="s">
        <v>31</v>
      </c>
      <c r="BI13" s="48">
        <v>0</v>
      </c>
      <c r="BJ13" s="78">
        <f t="shared" si="15"/>
        <v>0</v>
      </c>
      <c r="BK13" s="31" t="s">
        <v>56</v>
      </c>
      <c r="BL13" s="49">
        <v>420.1</v>
      </c>
      <c r="BM13" s="53">
        <f t="shared" si="16"/>
        <v>0.19164744679844523</v>
      </c>
      <c r="BN13" s="34" t="s">
        <v>57</v>
      </c>
      <c r="BO13" s="49">
        <v>679.5</v>
      </c>
      <c r="BP13" s="53">
        <f t="shared" si="17"/>
        <v>0.25334232912982674</v>
      </c>
      <c r="BQ13" s="77" t="s">
        <v>31</v>
      </c>
      <c r="BR13" s="48">
        <v>0</v>
      </c>
      <c r="BS13" s="22">
        <f t="shared" si="18"/>
        <v>0</v>
      </c>
      <c r="BT13" s="2" t="s">
        <v>31</v>
      </c>
      <c r="BU13" s="48">
        <v>0</v>
      </c>
      <c r="BV13" s="78">
        <f t="shared" si="19"/>
        <v>0</v>
      </c>
      <c r="BX13"/>
      <c r="BY13"/>
    </row>
    <row r="14" spans="1:77">
      <c r="B14" s="13" t="s">
        <v>58</v>
      </c>
      <c r="C14" s="124" t="s">
        <v>52</v>
      </c>
      <c r="D14" s="128" t="s">
        <v>59</v>
      </c>
      <c r="E14" s="16">
        <v>0</v>
      </c>
      <c r="F14" s="134">
        <v>0</v>
      </c>
      <c r="G14" s="27">
        <v>0</v>
      </c>
      <c r="H14" s="139">
        <v>1</v>
      </c>
      <c r="I14" s="77" t="s">
        <v>31</v>
      </c>
      <c r="J14" s="48">
        <v>0</v>
      </c>
      <c r="K14" s="48">
        <f t="shared" si="0"/>
        <v>0</v>
      </c>
      <c r="L14" s="2" t="s">
        <v>31</v>
      </c>
      <c r="M14" s="48">
        <v>0</v>
      </c>
      <c r="N14" s="100">
        <f t="shared" si="1"/>
        <v>0</v>
      </c>
      <c r="O14" s="77" t="s">
        <v>31</v>
      </c>
      <c r="P14" s="48">
        <v>0</v>
      </c>
      <c r="Q14" s="48">
        <f t="shared" si="20"/>
        <v>0</v>
      </c>
      <c r="R14" s="2" t="s">
        <v>31</v>
      </c>
      <c r="S14" s="48">
        <v>0</v>
      </c>
      <c r="T14" s="76">
        <f t="shared" si="2"/>
        <v>0</v>
      </c>
      <c r="U14" s="77" t="s">
        <v>31</v>
      </c>
      <c r="V14" s="48">
        <v>0</v>
      </c>
      <c r="W14" s="48">
        <f t="shared" si="21"/>
        <v>0</v>
      </c>
      <c r="X14" s="2" t="s">
        <v>31</v>
      </c>
      <c r="Y14" s="48">
        <v>0</v>
      </c>
      <c r="Z14" s="76">
        <f t="shared" si="3"/>
        <v>0</v>
      </c>
      <c r="AA14" s="77" t="s">
        <v>31</v>
      </c>
      <c r="AB14" s="48">
        <v>0</v>
      </c>
      <c r="AC14" s="48">
        <f t="shared" si="4"/>
        <v>0</v>
      </c>
      <c r="AD14" s="2" t="s">
        <v>31</v>
      </c>
      <c r="AE14" s="48">
        <v>0</v>
      </c>
      <c r="AF14" s="76">
        <f t="shared" si="5"/>
        <v>0</v>
      </c>
      <c r="AG14" s="75" t="s">
        <v>60</v>
      </c>
      <c r="AH14" s="49">
        <v>721.4</v>
      </c>
      <c r="AI14" s="49">
        <f t="shared" si="6"/>
        <v>0.34619370483171519</v>
      </c>
      <c r="AJ14" s="34" t="s">
        <v>61</v>
      </c>
      <c r="AK14" s="49">
        <v>1759.9</v>
      </c>
      <c r="AL14" s="103">
        <f t="shared" si="7"/>
        <v>0.54928315879233358</v>
      </c>
      <c r="AM14" s="31">
        <v>17.62</v>
      </c>
      <c r="AN14" s="49">
        <v>1400.19</v>
      </c>
      <c r="AO14" s="49">
        <f t="shared" si="8"/>
        <v>0.5785145547319086</v>
      </c>
      <c r="AP14" s="32">
        <v>17.16</v>
      </c>
      <c r="AQ14" s="52">
        <v>1216.5</v>
      </c>
      <c r="AR14" s="49">
        <f t="shared" si="9"/>
        <v>0.4717177393052398</v>
      </c>
      <c r="AS14" s="75">
        <v>17.739999999999998</v>
      </c>
      <c r="AT14" s="49">
        <v>2133.11</v>
      </c>
      <c r="AU14" s="49">
        <f t="shared" si="10"/>
        <v>0.65736498494995332</v>
      </c>
      <c r="AV14" s="34">
        <v>17.41</v>
      </c>
      <c r="AW14" s="49">
        <v>2475.5100000000002</v>
      </c>
      <c r="AX14" s="103">
        <f t="shared" si="11"/>
        <v>0.74787981234772827</v>
      </c>
      <c r="AY14" s="31">
        <v>17.399999999999999</v>
      </c>
      <c r="AZ14" s="49">
        <v>1400.75</v>
      </c>
      <c r="BA14" s="49">
        <f t="shared" si="12"/>
        <v>0.51406131559694856</v>
      </c>
      <c r="BB14" s="34">
        <v>17.34</v>
      </c>
      <c r="BC14" s="49">
        <v>2062.9299999999998</v>
      </c>
      <c r="BD14" s="49">
        <f t="shared" si="13"/>
        <v>0.70104392823023975</v>
      </c>
      <c r="BE14" s="75">
        <v>17.39</v>
      </c>
      <c r="BF14" s="49">
        <v>982.73</v>
      </c>
      <c r="BG14" s="49">
        <f t="shared" si="14"/>
        <v>0.42397873190525276</v>
      </c>
      <c r="BH14" s="34" t="s">
        <v>62</v>
      </c>
      <c r="BI14" s="49">
        <v>1194.08</v>
      </c>
      <c r="BJ14" s="103">
        <f t="shared" si="15"/>
        <v>0.47998166383862234</v>
      </c>
      <c r="BK14" s="31">
        <v>17.29</v>
      </c>
      <c r="BL14" s="49">
        <v>1111.6500000000001</v>
      </c>
      <c r="BM14" s="49">
        <f t="shared" si="16"/>
        <v>0.50712897937036805</v>
      </c>
      <c r="BN14" s="34" t="s">
        <v>62</v>
      </c>
      <c r="BO14" s="49">
        <v>1265.95</v>
      </c>
      <c r="BP14" s="49">
        <f t="shared" si="17"/>
        <v>0.47199223187918199</v>
      </c>
      <c r="BQ14" s="77" t="s">
        <v>31</v>
      </c>
      <c r="BR14" s="48">
        <v>0</v>
      </c>
      <c r="BS14" s="48">
        <f t="shared" si="18"/>
        <v>0</v>
      </c>
      <c r="BT14" s="2" t="s">
        <v>31</v>
      </c>
      <c r="BU14" s="48">
        <v>0</v>
      </c>
      <c r="BV14" s="76">
        <f t="shared" si="19"/>
        <v>0</v>
      </c>
      <c r="BX14"/>
      <c r="BY14"/>
    </row>
    <row r="15" spans="1:77">
      <c r="B15" s="50" t="s">
        <v>63</v>
      </c>
      <c r="C15" s="124" t="s">
        <v>64</v>
      </c>
      <c r="D15" s="128" t="s">
        <v>65</v>
      </c>
      <c r="E15" s="16">
        <v>0</v>
      </c>
      <c r="F15" s="134">
        <v>0</v>
      </c>
      <c r="G15" s="27">
        <v>0</v>
      </c>
      <c r="H15" s="139">
        <v>0</v>
      </c>
      <c r="I15" s="77">
        <v>13.1</v>
      </c>
      <c r="J15" s="48">
        <v>211.05</v>
      </c>
      <c r="K15" s="48">
        <f t="shared" si="0"/>
        <v>9.8977629789429228E-2</v>
      </c>
      <c r="L15" s="2">
        <v>13.34</v>
      </c>
      <c r="M15" s="48">
        <v>360.74</v>
      </c>
      <c r="N15" s="100">
        <f t="shared" si="1"/>
        <v>0.16033516690142399</v>
      </c>
      <c r="O15" s="77">
        <v>13.44</v>
      </c>
      <c r="P15" s="48">
        <v>83.09</v>
      </c>
      <c r="Q15" s="48">
        <f t="shared" si="20"/>
        <v>3.760147907900134E-2</v>
      </c>
      <c r="R15" s="2">
        <v>13.16</v>
      </c>
      <c r="S15" s="48">
        <v>392.5</v>
      </c>
      <c r="T15" s="76">
        <f t="shared" si="2"/>
        <v>0.17540515798418582</v>
      </c>
      <c r="U15" s="77" t="s">
        <v>68</v>
      </c>
      <c r="V15" s="48">
        <v>199.8</v>
      </c>
      <c r="W15" s="48">
        <f t="shared" si="21"/>
        <v>8.6535032070584522E-2</v>
      </c>
      <c r="X15" s="2" t="s">
        <v>69</v>
      </c>
      <c r="Y15" s="48">
        <v>112.7</v>
      </c>
      <c r="Z15" s="76">
        <f t="shared" si="3"/>
        <v>3.8599561334994086E-2</v>
      </c>
      <c r="AA15" s="77">
        <v>13.14</v>
      </c>
      <c r="AB15" s="48">
        <v>483.65</v>
      </c>
      <c r="AC15" s="48">
        <f t="shared" si="4"/>
        <v>0.20042536673615213</v>
      </c>
      <c r="AD15" s="2">
        <v>13.21</v>
      </c>
      <c r="AE15" s="48">
        <v>722.14</v>
      </c>
      <c r="AF15" s="76">
        <f t="shared" si="5"/>
        <v>0.25761941876915179</v>
      </c>
      <c r="AG15" s="77">
        <v>13.67</v>
      </c>
      <c r="AH15" s="48">
        <v>417.06</v>
      </c>
      <c r="AI15" s="48">
        <f t="shared" si="6"/>
        <v>0.20014353553800268</v>
      </c>
      <c r="AJ15" s="2">
        <v>13.09</v>
      </c>
      <c r="AK15" s="48">
        <v>561.05999999999995</v>
      </c>
      <c r="AL15" s="76">
        <f t="shared" si="7"/>
        <v>0.17511268201149305</v>
      </c>
      <c r="AM15" s="21">
        <v>13.44</v>
      </c>
      <c r="AN15" s="48">
        <v>558.96</v>
      </c>
      <c r="AO15" s="48">
        <f t="shared" si="8"/>
        <v>0.23094472572504277</v>
      </c>
      <c r="AP15" s="2" t="s">
        <v>66</v>
      </c>
      <c r="AQ15" s="48">
        <v>164.4</v>
      </c>
      <c r="AR15" s="48">
        <f t="shared" si="9"/>
        <v>6.3748784497970765E-2</v>
      </c>
      <c r="AS15" s="77">
        <v>13.35</v>
      </c>
      <c r="AT15" s="48">
        <v>547.04999999999995</v>
      </c>
      <c r="AU15" s="48">
        <f t="shared" si="10"/>
        <v>0.16858554646355411</v>
      </c>
      <c r="AV15" s="2">
        <v>13.12</v>
      </c>
      <c r="AW15" s="48">
        <v>582.25</v>
      </c>
      <c r="AX15" s="76">
        <f t="shared" si="11"/>
        <v>0.17590436747961621</v>
      </c>
      <c r="AY15" s="21">
        <v>13.27</v>
      </c>
      <c r="AZ15" s="48">
        <v>661.8</v>
      </c>
      <c r="BA15" s="48">
        <f t="shared" si="12"/>
        <v>0.24287401653547069</v>
      </c>
      <c r="BB15" s="2">
        <v>13.21</v>
      </c>
      <c r="BC15" s="48">
        <v>809.11</v>
      </c>
      <c r="BD15" s="48">
        <f t="shared" si="13"/>
        <v>0.27495923408470929</v>
      </c>
      <c r="BE15" s="77">
        <v>13.19</v>
      </c>
      <c r="BF15" s="48">
        <v>523.13</v>
      </c>
      <c r="BG15" s="48">
        <f t="shared" si="14"/>
        <v>0.22569372464623533</v>
      </c>
      <c r="BH15" s="2">
        <v>13.2</v>
      </c>
      <c r="BI15" s="48">
        <v>557.35</v>
      </c>
      <c r="BJ15" s="76">
        <f t="shared" si="15"/>
        <v>0.22403673149240938</v>
      </c>
      <c r="BK15" s="21">
        <v>13.27</v>
      </c>
      <c r="BL15" s="48">
        <v>549.05999999999995</v>
      </c>
      <c r="BM15" s="48">
        <f t="shared" si="16"/>
        <v>0.25047833168091954</v>
      </c>
      <c r="BN15" s="2">
        <v>13.21</v>
      </c>
      <c r="BO15" s="48">
        <v>530.01</v>
      </c>
      <c r="BP15" s="48">
        <f t="shared" si="17"/>
        <v>0.19760701672126485</v>
      </c>
      <c r="BQ15" s="77">
        <v>13.22</v>
      </c>
      <c r="BR15" s="48">
        <v>559.26</v>
      </c>
      <c r="BS15" s="48">
        <f t="shared" si="18"/>
        <v>0.22439744195101477</v>
      </c>
      <c r="BT15" s="2" t="s">
        <v>67</v>
      </c>
      <c r="BU15" s="48">
        <v>142.80000000000001</v>
      </c>
      <c r="BV15" s="76">
        <f t="shared" si="19"/>
        <v>5.5979620783699641E-2</v>
      </c>
      <c r="BX15"/>
      <c r="BY15"/>
    </row>
    <row r="16" spans="1:77">
      <c r="B16" s="13" t="s">
        <v>70</v>
      </c>
      <c r="C16" s="124" t="s">
        <v>64</v>
      </c>
      <c r="D16" s="128" t="s">
        <v>71</v>
      </c>
      <c r="E16" s="16">
        <v>0</v>
      </c>
      <c r="F16" s="134">
        <v>0</v>
      </c>
      <c r="G16" s="27">
        <v>0</v>
      </c>
      <c r="H16" s="139">
        <v>0</v>
      </c>
      <c r="I16" s="77">
        <v>15.35</v>
      </c>
      <c r="J16" s="48">
        <v>1065.77</v>
      </c>
      <c r="K16" s="48">
        <f t="shared" si="0"/>
        <v>0.49982178867889115</v>
      </c>
      <c r="L16" s="2">
        <v>15.46</v>
      </c>
      <c r="M16" s="48">
        <v>1620.79</v>
      </c>
      <c r="N16" s="100">
        <f t="shared" si="1"/>
        <v>0.72037931796351662</v>
      </c>
      <c r="O16" s="77">
        <v>15.61</v>
      </c>
      <c r="P16" s="48">
        <v>1677.47</v>
      </c>
      <c r="Q16" s="48">
        <f t="shared" si="20"/>
        <v>0.75912087026901409</v>
      </c>
      <c r="R16" s="2">
        <v>15.24</v>
      </c>
      <c r="S16" s="48">
        <v>1433.7</v>
      </c>
      <c r="T16" s="76">
        <f t="shared" si="2"/>
        <v>0.64070923567369997</v>
      </c>
      <c r="U16" s="77">
        <v>15.31</v>
      </c>
      <c r="V16" s="48">
        <v>1298.77</v>
      </c>
      <c r="W16" s="48">
        <f t="shared" si="21"/>
        <v>0.56250802603760286</v>
      </c>
      <c r="X16" s="2">
        <v>15.43</v>
      </c>
      <c r="Y16" s="48">
        <v>1882.07</v>
      </c>
      <c r="Z16" s="76">
        <f t="shared" si="3"/>
        <v>0.64460582432788216</v>
      </c>
      <c r="AA16" s="77">
        <v>15.33</v>
      </c>
      <c r="AB16" s="48">
        <v>1621.49</v>
      </c>
      <c r="AC16" s="48">
        <f t="shared" si="4"/>
        <v>0.67194816067198038</v>
      </c>
      <c r="AD16" s="2">
        <v>15.4</v>
      </c>
      <c r="AE16" s="48">
        <v>1702.58</v>
      </c>
      <c r="AF16" s="76">
        <f t="shared" si="5"/>
        <v>0.60738592240837297</v>
      </c>
      <c r="AG16" s="77">
        <v>15.92</v>
      </c>
      <c r="AH16" s="48">
        <v>925.14</v>
      </c>
      <c r="AI16" s="48">
        <f t="shared" si="6"/>
        <v>0.44396679247021487</v>
      </c>
      <c r="AJ16" s="2">
        <v>15.26</v>
      </c>
      <c r="AK16" s="48">
        <v>1778.01</v>
      </c>
      <c r="AL16" s="76">
        <f t="shared" si="7"/>
        <v>0.55493547881377181</v>
      </c>
      <c r="AM16" s="21">
        <v>15.78</v>
      </c>
      <c r="AN16" s="48">
        <v>1664.68</v>
      </c>
      <c r="AO16" s="48">
        <f t="shared" si="8"/>
        <v>0.68779352014449013</v>
      </c>
      <c r="AP16" s="4">
        <v>15.32</v>
      </c>
      <c r="AQ16" s="51">
        <v>1506.36</v>
      </c>
      <c r="AR16" s="48">
        <f t="shared" si="9"/>
        <v>0.58411568744746489</v>
      </c>
      <c r="AS16" s="77">
        <v>15.63</v>
      </c>
      <c r="AT16" s="48">
        <v>1788.55</v>
      </c>
      <c r="AU16" s="48">
        <f t="shared" si="10"/>
        <v>0.55118120670393889</v>
      </c>
      <c r="AV16" s="2">
        <v>15.31</v>
      </c>
      <c r="AW16" s="48">
        <v>2408.4299999999998</v>
      </c>
      <c r="AX16" s="76">
        <f t="shared" si="11"/>
        <v>0.72761417907931658</v>
      </c>
      <c r="AY16" s="21">
        <v>15.49</v>
      </c>
      <c r="AZ16" s="48">
        <v>1812.9</v>
      </c>
      <c r="BA16" s="48">
        <f t="shared" si="12"/>
        <v>0.6653162656046463</v>
      </c>
      <c r="BB16" s="2">
        <v>15.43</v>
      </c>
      <c r="BC16" s="48">
        <v>2077.39</v>
      </c>
      <c r="BD16" s="48">
        <f t="shared" si="13"/>
        <v>0.70595785899968388</v>
      </c>
      <c r="BE16" s="77">
        <v>15.45</v>
      </c>
      <c r="BF16" s="48">
        <v>1427.75</v>
      </c>
      <c r="BG16" s="48">
        <f t="shared" si="14"/>
        <v>0.61597349676688873</v>
      </c>
      <c r="BH16" s="2">
        <v>15.34</v>
      </c>
      <c r="BI16" s="48">
        <v>1795.48</v>
      </c>
      <c r="BJ16" s="76">
        <f t="shared" si="15"/>
        <v>0.72172507519510398</v>
      </c>
      <c r="BK16" s="21">
        <v>15.44</v>
      </c>
      <c r="BL16" s="48">
        <v>1560.17</v>
      </c>
      <c r="BM16" s="48">
        <f t="shared" si="16"/>
        <v>0.71174148315051244</v>
      </c>
      <c r="BN16" s="2">
        <v>15.36</v>
      </c>
      <c r="BO16" s="48">
        <v>2000.24</v>
      </c>
      <c r="BP16" s="48">
        <f t="shared" si="17"/>
        <v>0.7457622669884395</v>
      </c>
      <c r="BQ16" s="77">
        <v>15.38</v>
      </c>
      <c r="BR16" s="48">
        <v>1526.1</v>
      </c>
      <c r="BS16" s="48">
        <f t="shared" si="18"/>
        <v>0.61233225362343746</v>
      </c>
      <c r="BT16" s="2">
        <v>15.27</v>
      </c>
      <c r="BU16" s="48">
        <v>1846.94</v>
      </c>
      <c r="BV16" s="76">
        <f t="shared" si="19"/>
        <v>0.72402661631825072</v>
      </c>
      <c r="BX16"/>
      <c r="BY16"/>
    </row>
    <row r="17" spans="2:77">
      <c r="B17" s="50" t="s">
        <v>72</v>
      </c>
      <c r="C17" s="124" t="s">
        <v>73</v>
      </c>
      <c r="D17" s="128" t="s">
        <v>74</v>
      </c>
      <c r="E17" s="16">
        <v>0</v>
      </c>
      <c r="F17" s="134">
        <v>0</v>
      </c>
      <c r="G17" s="27">
        <v>0</v>
      </c>
      <c r="H17" s="139">
        <v>0</v>
      </c>
      <c r="I17" s="77" t="s">
        <v>79</v>
      </c>
      <c r="J17" s="48">
        <v>142.80000000000001</v>
      </c>
      <c r="K17" s="48">
        <f t="shared" si="0"/>
        <v>6.6969938563991929E-2</v>
      </c>
      <c r="L17" s="2">
        <v>13.25</v>
      </c>
      <c r="M17" s="48">
        <v>404.97</v>
      </c>
      <c r="N17" s="100">
        <f t="shared" si="1"/>
        <v>0.17999371442055129</v>
      </c>
      <c r="O17" s="77">
        <v>13.25</v>
      </c>
      <c r="P17" s="48">
        <v>263.67</v>
      </c>
      <c r="Q17" s="48">
        <f t="shared" si="20"/>
        <v>0.11932100118859409</v>
      </c>
      <c r="R17" s="2">
        <v>13.06</v>
      </c>
      <c r="S17" s="48">
        <v>266.70999999999998</v>
      </c>
      <c r="T17" s="76">
        <f t="shared" si="2"/>
        <v>0.11919059792601834</v>
      </c>
      <c r="U17" s="77" t="s">
        <v>76</v>
      </c>
      <c r="V17" s="48">
        <v>150.19999999999999</v>
      </c>
      <c r="W17" s="48">
        <f t="shared" si="21"/>
        <v>6.505286194695592E-2</v>
      </c>
      <c r="X17" s="2" t="s">
        <v>81</v>
      </c>
      <c r="Y17" s="48">
        <v>96.9</v>
      </c>
      <c r="Z17" s="76">
        <f t="shared" si="3"/>
        <v>3.3188087784923929E-2</v>
      </c>
      <c r="AA17" s="77">
        <v>13.05</v>
      </c>
      <c r="AB17" s="48">
        <v>296.29000000000002</v>
      </c>
      <c r="AC17" s="48">
        <f t="shared" si="4"/>
        <v>0.1227830702165916</v>
      </c>
      <c r="AD17" s="2">
        <v>13.21</v>
      </c>
      <c r="AE17" s="48">
        <v>262.76</v>
      </c>
      <c r="AF17" s="76">
        <f t="shared" si="5"/>
        <v>9.3738165003714402E-2</v>
      </c>
      <c r="AG17" s="77" t="s">
        <v>75</v>
      </c>
      <c r="AH17" s="48">
        <v>220.1</v>
      </c>
      <c r="AI17" s="48">
        <f t="shared" si="6"/>
        <v>0.10562411205081855</v>
      </c>
      <c r="AJ17" s="2" t="s">
        <v>76</v>
      </c>
      <c r="AK17" s="48">
        <v>104.6</v>
      </c>
      <c r="AL17" s="76">
        <f t="shared" si="7"/>
        <v>3.2646751752757594E-2</v>
      </c>
      <c r="AM17" s="21" t="s">
        <v>77</v>
      </c>
      <c r="AN17" s="48">
        <v>180.7</v>
      </c>
      <c r="AO17" s="48">
        <f t="shared" si="8"/>
        <v>7.4659567658714801E-2</v>
      </c>
      <c r="AP17" s="2">
        <v>13.06</v>
      </c>
      <c r="AQ17" s="48">
        <v>216</v>
      </c>
      <c r="AR17" s="48">
        <f t="shared" si="9"/>
        <v>8.3757527077625821E-2</v>
      </c>
      <c r="AS17" s="77" t="s">
        <v>66</v>
      </c>
      <c r="AT17" s="48">
        <v>191.1</v>
      </c>
      <c r="AU17" s="48">
        <f t="shared" si="10"/>
        <v>5.8891688016059221E-2</v>
      </c>
      <c r="AV17" s="2" t="s">
        <v>78</v>
      </c>
      <c r="AW17" s="48">
        <v>219</v>
      </c>
      <c r="AX17" s="76">
        <f t="shared" si="11"/>
        <v>6.6162398416549514E-2</v>
      </c>
      <c r="AY17" s="21" t="s">
        <v>81</v>
      </c>
      <c r="AZ17" s="48">
        <v>176.3</v>
      </c>
      <c r="BA17" s="48">
        <f t="shared" si="12"/>
        <v>6.470034620006572E-2</v>
      </c>
      <c r="BB17" s="2" t="s">
        <v>67</v>
      </c>
      <c r="BC17" s="48">
        <v>173.1</v>
      </c>
      <c r="BD17" s="48">
        <f t="shared" si="13"/>
        <v>5.8824440953718499E-2</v>
      </c>
      <c r="BE17" s="77">
        <v>13.19</v>
      </c>
      <c r="BF17" s="48">
        <v>359.6</v>
      </c>
      <c r="BG17" s="48">
        <f t="shared" si="14"/>
        <v>0.15514205528795183</v>
      </c>
      <c r="BH17" s="2" t="s">
        <v>79</v>
      </c>
      <c r="BI17" s="48">
        <v>125</v>
      </c>
      <c r="BJ17" s="76">
        <f t="shared" si="15"/>
        <v>5.0245970102361481E-2</v>
      </c>
      <c r="BK17" s="21" t="s">
        <v>80</v>
      </c>
      <c r="BL17" s="48">
        <v>197</v>
      </c>
      <c r="BM17" s="48">
        <f t="shared" si="16"/>
        <v>8.9870380907626057E-2</v>
      </c>
      <c r="BN17" s="2" t="s">
        <v>78</v>
      </c>
      <c r="BO17" s="48">
        <v>198.6</v>
      </c>
      <c r="BP17" s="48">
        <f t="shared" si="17"/>
        <v>7.4045307675031022E-2</v>
      </c>
      <c r="BQ17" s="77" t="s">
        <v>82</v>
      </c>
      <c r="BR17" s="48">
        <v>232.1</v>
      </c>
      <c r="BS17" s="48">
        <f t="shared" si="18"/>
        <v>9.3127787213157606E-2</v>
      </c>
      <c r="BT17" s="2" t="s">
        <v>83</v>
      </c>
      <c r="BU17" s="48">
        <v>137.80000000000001</v>
      </c>
      <c r="BV17" s="76">
        <f t="shared" si="19"/>
        <v>5.4019550027967864E-2</v>
      </c>
      <c r="BX17"/>
      <c r="BY17"/>
    </row>
    <row r="18" spans="2:77">
      <c r="B18" s="13" t="s">
        <v>84</v>
      </c>
      <c r="C18" s="124" t="s">
        <v>73</v>
      </c>
      <c r="D18" s="128" t="s">
        <v>514</v>
      </c>
      <c r="E18" s="16">
        <v>0</v>
      </c>
      <c r="F18" s="134">
        <v>0</v>
      </c>
      <c r="G18" s="27">
        <v>0</v>
      </c>
      <c r="H18" s="139">
        <v>0</v>
      </c>
      <c r="I18" s="77">
        <v>15.05</v>
      </c>
      <c r="J18" s="48">
        <v>1611.22</v>
      </c>
      <c r="K18" s="48">
        <f t="shared" si="0"/>
        <v>0.75562538104394295</v>
      </c>
      <c r="L18" s="2">
        <v>15.27</v>
      </c>
      <c r="M18" s="48">
        <v>1606.72</v>
      </c>
      <c r="N18" s="100">
        <f t="shared" si="1"/>
        <v>0.71412573976785476</v>
      </c>
      <c r="O18" s="77">
        <v>15.31</v>
      </c>
      <c r="P18" s="48">
        <v>1569.55</v>
      </c>
      <c r="Q18" s="48">
        <f t="shared" si="20"/>
        <v>0.71028284376515294</v>
      </c>
      <c r="R18" s="2">
        <v>15.04</v>
      </c>
      <c r="S18" s="48">
        <v>1816.52</v>
      </c>
      <c r="T18" s="76">
        <f t="shared" si="2"/>
        <v>0.81178847791447961</v>
      </c>
      <c r="U18" s="77">
        <v>15.11</v>
      </c>
      <c r="V18" s="48">
        <v>1841.9</v>
      </c>
      <c r="W18" s="48">
        <f t="shared" si="21"/>
        <v>0.79774211997402211</v>
      </c>
      <c r="X18" s="2">
        <v>15.24</v>
      </c>
      <c r="Y18" s="48">
        <v>2134.67</v>
      </c>
      <c r="Z18" s="76">
        <f t="shared" si="3"/>
        <v>0.73112090146381392</v>
      </c>
      <c r="AA18" s="77">
        <v>15.14</v>
      </c>
      <c r="AB18" s="48">
        <v>1825.65</v>
      </c>
      <c r="AC18" s="48">
        <f t="shared" si="4"/>
        <v>0.75655240521421718</v>
      </c>
      <c r="AD18" s="2">
        <v>15.2</v>
      </c>
      <c r="AE18" s="48">
        <v>2161.42</v>
      </c>
      <c r="AF18" s="76">
        <f t="shared" si="5"/>
        <v>0.77107453418453498</v>
      </c>
      <c r="AG18" s="77">
        <v>15.72</v>
      </c>
      <c r="AH18" s="48">
        <v>1396.25</v>
      </c>
      <c r="AI18" s="48">
        <f t="shared" si="6"/>
        <v>0.67004846183987021</v>
      </c>
      <c r="AJ18" s="2">
        <v>15.06</v>
      </c>
      <c r="AK18" s="48">
        <v>2389.54</v>
      </c>
      <c r="AL18" s="76">
        <f t="shared" si="7"/>
        <v>0.74580037460118909</v>
      </c>
      <c r="AM18" s="21">
        <v>15.47</v>
      </c>
      <c r="AN18" s="48">
        <v>1944.31</v>
      </c>
      <c r="AO18" s="48">
        <f t="shared" si="8"/>
        <v>0.80332785829837183</v>
      </c>
      <c r="AP18" s="4">
        <v>15.03</v>
      </c>
      <c r="AQ18" s="51">
        <v>1791.17</v>
      </c>
      <c r="AR18" s="48">
        <f t="shared" si="9"/>
        <v>0.69455541562792145</v>
      </c>
      <c r="AS18" s="77">
        <v>15.34</v>
      </c>
      <c r="AT18" s="48">
        <v>1949.2</v>
      </c>
      <c r="AU18" s="48">
        <f t="shared" si="10"/>
        <v>0.60068905432183484</v>
      </c>
      <c r="AV18" s="2">
        <v>15.12</v>
      </c>
      <c r="AW18" s="48">
        <v>2822.3</v>
      </c>
      <c r="AX18" s="76">
        <f t="shared" si="11"/>
        <v>0.85264902763026351</v>
      </c>
      <c r="AY18" s="21">
        <v>15.2</v>
      </c>
      <c r="AZ18" s="48">
        <v>1532.47</v>
      </c>
      <c r="BA18" s="48">
        <f t="shared" si="12"/>
        <v>0.56240124527064494</v>
      </c>
      <c r="BB18" s="2">
        <v>15.14</v>
      </c>
      <c r="BC18" s="48">
        <v>2477.04</v>
      </c>
      <c r="BD18" s="48">
        <f t="shared" si="13"/>
        <v>0.84177061363373129</v>
      </c>
      <c r="BE18" s="77">
        <v>15.25</v>
      </c>
      <c r="BF18" s="48">
        <v>1568.76</v>
      </c>
      <c r="BG18" s="48">
        <f t="shared" si="14"/>
        <v>0.67680937334128832</v>
      </c>
      <c r="BH18" s="2">
        <v>15.05</v>
      </c>
      <c r="BI18" s="48">
        <v>2210.9299999999998</v>
      </c>
      <c r="BJ18" s="76">
        <f t="shared" si="15"/>
        <v>0.88872258142731253</v>
      </c>
      <c r="BK18" s="21">
        <v>15.15</v>
      </c>
      <c r="BL18" s="48">
        <v>1544.59</v>
      </c>
      <c r="BM18" s="48">
        <f t="shared" si="16"/>
        <v>0.70463396774675191</v>
      </c>
      <c r="BN18" s="2">
        <v>15.17</v>
      </c>
      <c r="BO18" s="48">
        <v>2416.0300000000002</v>
      </c>
      <c r="BP18" s="48">
        <f t="shared" si="17"/>
        <v>0.90078391088673337</v>
      </c>
      <c r="BQ18" s="77" t="s">
        <v>85</v>
      </c>
      <c r="BR18" s="48">
        <v>1478.9</v>
      </c>
      <c r="BS18" s="48">
        <f t="shared" si="18"/>
        <v>0.5933937290372201</v>
      </c>
      <c r="BT18" s="2">
        <v>15.07</v>
      </c>
      <c r="BU18" s="48">
        <v>1956.36</v>
      </c>
      <c r="BV18" s="76">
        <f t="shared" si="19"/>
        <v>0.76692080473668489</v>
      </c>
      <c r="BX18"/>
      <c r="BY18"/>
    </row>
    <row r="19" spans="2:77">
      <c r="B19" s="50" t="s">
        <v>86</v>
      </c>
      <c r="C19" s="124" t="s">
        <v>87</v>
      </c>
      <c r="D19" s="128" t="s">
        <v>515</v>
      </c>
      <c r="E19" s="16">
        <v>0</v>
      </c>
      <c r="F19" s="134">
        <v>0</v>
      </c>
      <c r="G19" s="27">
        <v>0</v>
      </c>
      <c r="H19" s="139">
        <v>1</v>
      </c>
      <c r="I19" s="77">
        <v>14.43</v>
      </c>
      <c r="J19" s="48">
        <v>173.86</v>
      </c>
      <c r="K19" s="22">
        <f t="shared" si="0"/>
        <v>8.1536369178820983E-2</v>
      </c>
      <c r="L19" s="2">
        <v>14.58</v>
      </c>
      <c r="M19" s="48">
        <v>200.76</v>
      </c>
      <c r="N19" s="100">
        <f t="shared" si="1"/>
        <v>8.9230160523174257E-2</v>
      </c>
      <c r="O19" s="77">
        <v>14.62</v>
      </c>
      <c r="P19" s="48">
        <v>174.76</v>
      </c>
      <c r="Q19" s="48">
        <f t="shared" si="20"/>
        <v>7.9085744179158424E-2</v>
      </c>
      <c r="R19" s="2">
        <v>14.35</v>
      </c>
      <c r="S19" s="48">
        <v>155.25</v>
      </c>
      <c r="T19" s="78">
        <f t="shared" si="2"/>
        <v>6.9380001979732112E-2</v>
      </c>
      <c r="U19" s="77">
        <v>14.43</v>
      </c>
      <c r="V19" s="48">
        <v>134.4</v>
      </c>
      <c r="W19" s="48">
        <f t="shared" si="21"/>
        <v>5.8209751302735528E-2</v>
      </c>
      <c r="X19" s="2">
        <v>14.55</v>
      </c>
      <c r="Y19" s="48">
        <v>226.58</v>
      </c>
      <c r="Z19" s="78">
        <f t="shared" si="3"/>
        <v>7.7603270694613674E-2</v>
      </c>
      <c r="AA19" s="77">
        <v>14.43</v>
      </c>
      <c r="AB19" s="48">
        <v>143.79</v>
      </c>
      <c r="AC19" s="22">
        <f t="shared" si="4"/>
        <v>5.9586815844084186E-2</v>
      </c>
      <c r="AD19" s="2">
        <v>14.49</v>
      </c>
      <c r="AE19" s="48">
        <v>181.08</v>
      </c>
      <c r="AF19" s="78">
        <f t="shared" si="5"/>
        <v>6.4599280403686274E-2</v>
      </c>
      <c r="AG19" s="77">
        <v>14.89</v>
      </c>
      <c r="AH19" s="48">
        <v>210.41</v>
      </c>
      <c r="AI19" s="48">
        <f t="shared" si="6"/>
        <v>0.10097396372836316</v>
      </c>
      <c r="AJ19" s="2" t="s">
        <v>40</v>
      </c>
      <c r="AK19" s="48">
        <v>71.2</v>
      </c>
      <c r="AL19" s="78">
        <f t="shared" si="7"/>
        <v>2.2222263143368459E-2</v>
      </c>
      <c r="AM19" s="21">
        <v>14.69</v>
      </c>
      <c r="AN19" s="48">
        <v>157.25</v>
      </c>
      <c r="AO19" s="22">
        <f t="shared" si="8"/>
        <v>6.4970763776053694E-2</v>
      </c>
      <c r="AP19" s="2">
        <v>14.34</v>
      </c>
      <c r="AQ19" s="48">
        <v>150.27000000000001</v>
      </c>
      <c r="AR19" s="22">
        <f t="shared" si="9"/>
        <v>5.8269646268309418E-2</v>
      </c>
      <c r="AS19" s="77">
        <v>14.59</v>
      </c>
      <c r="AT19" s="48">
        <v>141.61000000000001</v>
      </c>
      <c r="AU19" s="22">
        <f t="shared" si="10"/>
        <v>4.3640250863182344E-2</v>
      </c>
      <c r="AV19" s="2">
        <v>14.44</v>
      </c>
      <c r="AW19" s="48">
        <v>211.62</v>
      </c>
      <c r="AX19" s="78">
        <f t="shared" si="11"/>
        <v>6.3932816223334285E-2</v>
      </c>
      <c r="AY19" s="21" t="s">
        <v>88</v>
      </c>
      <c r="AZ19" s="48">
        <v>154.1</v>
      </c>
      <c r="BA19" s="22">
        <f t="shared" si="12"/>
        <v>5.6553167041577569E-2</v>
      </c>
      <c r="BB19" s="2">
        <v>14.56</v>
      </c>
      <c r="BC19" s="48">
        <v>228.71</v>
      </c>
      <c r="BD19" s="22">
        <f t="shared" si="13"/>
        <v>7.7722344832610979E-2</v>
      </c>
      <c r="BE19" s="77">
        <v>14.46</v>
      </c>
      <c r="BF19" s="48">
        <v>180.92</v>
      </c>
      <c r="BG19" s="22">
        <f t="shared" si="14"/>
        <v>7.8054228706051831E-2</v>
      </c>
      <c r="BH19" s="2">
        <v>14.46</v>
      </c>
      <c r="BI19" s="48">
        <v>132.21</v>
      </c>
      <c r="BJ19" s="78">
        <f t="shared" si="15"/>
        <v>5.3144157657865704E-2</v>
      </c>
      <c r="BK19" s="21">
        <v>14.49</v>
      </c>
      <c r="BL19" s="48">
        <v>195.61</v>
      </c>
      <c r="BM19" s="22">
        <f t="shared" si="16"/>
        <v>8.9236270098176321E-2</v>
      </c>
      <c r="BN19" s="2">
        <v>14.48</v>
      </c>
      <c r="BO19" s="48">
        <v>213.2</v>
      </c>
      <c r="BP19" s="22">
        <f t="shared" si="17"/>
        <v>7.9488719014685891E-2</v>
      </c>
      <c r="BQ19" s="77">
        <v>14.4</v>
      </c>
      <c r="BR19" s="48">
        <v>219.29</v>
      </c>
      <c r="BS19" s="22">
        <f t="shared" si="18"/>
        <v>8.7987903739652443E-2</v>
      </c>
      <c r="BT19" s="2" t="s">
        <v>89</v>
      </c>
      <c r="BU19" s="48">
        <v>123.7</v>
      </c>
      <c r="BV19" s="78">
        <f t="shared" si="19"/>
        <v>4.8492150496804234E-2</v>
      </c>
      <c r="BX19"/>
      <c r="BY19"/>
    </row>
    <row r="20" spans="2:77">
      <c r="B20" s="13" t="s">
        <v>90</v>
      </c>
      <c r="C20" s="124" t="s">
        <v>87</v>
      </c>
      <c r="D20" s="128" t="s">
        <v>516</v>
      </c>
      <c r="E20" s="16">
        <v>0</v>
      </c>
      <c r="F20" s="134">
        <v>0</v>
      </c>
      <c r="G20" s="27">
        <v>0</v>
      </c>
      <c r="H20" s="139">
        <v>1</v>
      </c>
      <c r="I20" s="77">
        <v>16.329999999999998</v>
      </c>
      <c r="J20" s="48">
        <v>8586.3700000000008</v>
      </c>
      <c r="K20" s="48">
        <f t="shared" si="0"/>
        <v>4.026811424283637</v>
      </c>
      <c r="L20" s="2">
        <v>15.67</v>
      </c>
      <c r="M20" s="48">
        <v>13235.85</v>
      </c>
      <c r="N20" s="100">
        <f t="shared" si="1"/>
        <v>5.8828303454904161</v>
      </c>
      <c r="O20" s="77">
        <v>16.010000000000002</v>
      </c>
      <c r="P20" s="48">
        <v>9639.68</v>
      </c>
      <c r="Q20" s="48">
        <f t="shared" si="20"/>
        <v>4.3623327217266539</v>
      </c>
      <c r="R20" s="2">
        <v>15.75</v>
      </c>
      <c r="S20" s="48">
        <v>9438.58</v>
      </c>
      <c r="T20" s="76">
        <f t="shared" si="2"/>
        <v>4.2180270472519155</v>
      </c>
      <c r="U20" s="77">
        <v>15.72</v>
      </c>
      <c r="V20" s="48">
        <v>9127.73</v>
      </c>
      <c r="W20" s="48">
        <f t="shared" si="21"/>
        <v>3.9532953367449268</v>
      </c>
      <c r="X20" s="2">
        <v>15.84</v>
      </c>
      <c r="Y20" s="48">
        <v>12328.26</v>
      </c>
      <c r="Z20" s="76">
        <f t="shared" si="3"/>
        <v>4.2224084119232845</v>
      </c>
      <c r="AA20" s="77">
        <v>15.74</v>
      </c>
      <c r="AB20" s="48">
        <v>8939.67</v>
      </c>
      <c r="AC20" s="48">
        <f t="shared" si="4"/>
        <v>3.7046141595165456</v>
      </c>
      <c r="AD20" s="2">
        <v>15.8</v>
      </c>
      <c r="AE20" s="48">
        <v>11273.35</v>
      </c>
      <c r="AF20" s="76">
        <f t="shared" si="5"/>
        <v>4.0217047588850052</v>
      </c>
      <c r="AG20" s="77">
        <v>15.75</v>
      </c>
      <c r="AH20" s="48">
        <v>8142.28</v>
      </c>
      <c r="AI20" s="48">
        <f t="shared" si="6"/>
        <v>3.9074106999960883</v>
      </c>
      <c r="AJ20" s="2">
        <v>15.87</v>
      </c>
      <c r="AK20" s="48">
        <v>9606.24</v>
      </c>
      <c r="AL20" s="76">
        <f t="shared" si="7"/>
        <v>2.9982077682352779</v>
      </c>
      <c r="AM20" s="21">
        <v>16.079999999999998</v>
      </c>
      <c r="AN20" s="48">
        <v>11511.15</v>
      </c>
      <c r="AO20" s="48">
        <f t="shared" si="8"/>
        <v>4.7560458342812115</v>
      </c>
      <c r="AP20" s="4">
        <v>15.74</v>
      </c>
      <c r="AQ20" s="51">
        <v>9504.56</v>
      </c>
      <c r="AR20" s="48">
        <f t="shared" si="9"/>
        <v>3.6855483405598113</v>
      </c>
      <c r="AS20" s="77">
        <v>16.02</v>
      </c>
      <c r="AT20" s="48">
        <v>15290.1</v>
      </c>
      <c r="AU20" s="48">
        <f t="shared" si="10"/>
        <v>4.711982202691507</v>
      </c>
      <c r="AV20" s="2">
        <v>15.8</v>
      </c>
      <c r="AW20" s="48">
        <v>15243.91</v>
      </c>
      <c r="AX20" s="76">
        <f t="shared" si="11"/>
        <v>4.6053591180183711</v>
      </c>
      <c r="AY20" s="21">
        <v>15.89</v>
      </c>
      <c r="AZ20" s="48">
        <v>10219.52</v>
      </c>
      <c r="BA20" s="48">
        <f t="shared" si="12"/>
        <v>3.7504621780969685</v>
      </c>
      <c r="BB20" s="2">
        <v>15.93</v>
      </c>
      <c r="BC20" s="48">
        <v>14070.41</v>
      </c>
      <c r="BD20" s="48">
        <f t="shared" si="13"/>
        <v>4.7815366969359356</v>
      </c>
      <c r="BE20" s="77">
        <v>15.86</v>
      </c>
      <c r="BF20" s="48">
        <v>10041.17</v>
      </c>
      <c r="BG20" s="48">
        <f t="shared" si="14"/>
        <v>4.3320571504330454</v>
      </c>
      <c r="BH20" s="2">
        <v>15.75</v>
      </c>
      <c r="BI20" s="48">
        <v>10647.44</v>
      </c>
      <c r="BJ20" s="76">
        <f t="shared" si="15"/>
        <v>4.2799276152535022</v>
      </c>
      <c r="BK20" s="21">
        <v>15.86</v>
      </c>
      <c r="BL20" s="48">
        <v>10258.31</v>
      </c>
      <c r="BM20" s="48">
        <f t="shared" si="16"/>
        <v>4.6797879551700987</v>
      </c>
      <c r="BN20" s="2">
        <v>15.77</v>
      </c>
      <c r="BO20" s="48">
        <v>14121.7</v>
      </c>
      <c r="BP20" s="48">
        <f t="shared" si="17"/>
        <v>5.2650836928221842</v>
      </c>
      <c r="BQ20" s="77">
        <v>15.79</v>
      </c>
      <c r="BR20" s="48">
        <v>11738.09</v>
      </c>
      <c r="BS20" s="48">
        <f t="shared" si="18"/>
        <v>4.7097903826320255</v>
      </c>
      <c r="BT20" s="2">
        <v>15.77</v>
      </c>
      <c r="BU20" s="48">
        <v>12239.93</v>
      </c>
      <c r="BV20" s="76">
        <f t="shared" si="19"/>
        <v>4.7982257690408172</v>
      </c>
      <c r="BX20"/>
      <c r="BY20"/>
    </row>
    <row r="21" spans="2:77">
      <c r="B21" s="13" t="s">
        <v>91</v>
      </c>
      <c r="C21" s="124" t="s">
        <v>92</v>
      </c>
      <c r="D21" s="129" t="s">
        <v>93</v>
      </c>
      <c r="E21" s="16">
        <v>0</v>
      </c>
      <c r="F21" s="134">
        <v>0</v>
      </c>
      <c r="G21" s="27">
        <v>0</v>
      </c>
      <c r="H21" s="139">
        <v>0</v>
      </c>
      <c r="I21" s="77">
        <v>13.3</v>
      </c>
      <c r="J21" s="48">
        <v>599.23</v>
      </c>
      <c r="K21" s="48">
        <f t="shared" si="0"/>
        <v>0.28102518407353555</v>
      </c>
      <c r="L21" s="2">
        <v>13.54</v>
      </c>
      <c r="M21" s="48">
        <v>736.18</v>
      </c>
      <c r="N21" s="100">
        <f t="shared" si="1"/>
        <v>0.32720392296249456</v>
      </c>
      <c r="O21" s="77">
        <v>13.54</v>
      </c>
      <c r="P21" s="48">
        <v>724.23</v>
      </c>
      <c r="Q21" s="48">
        <f t="shared" si="20"/>
        <v>0.32774243824028332</v>
      </c>
      <c r="R21" s="2">
        <v>13.36</v>
      </c>
      <c r="S21" s="48">
        <v>776.92</v>
      </c>
      <c r="T21" s="76">
        <f t="shared" si="2"/>
        <v>0.34719942762056982</v>
      </c>
      <c r="U21" s="77">
        <v>13.38</v>
      </c>
      <c r="V21" s="48">
        <v>711.55</v>
      </c>
      <c r="W21" s="48">
        <f t="shared" si="21"/>
        <v>0.30817818853765966</v>
      </c>
      <c r="X21" s="2">
        <v>13.46</v>
      </c>
      <c r="Y21" s="48">
        <v>970.27</v>
      </c>
      <c r="Z21" s="76">
        <f t="shared" si="3"/>
        <v>0.33231585072320063</v>
      </c>
      <c r="AA21" s="77">
        <v>13.44</v>
      </c>
      <c r="AB21" s="48">
        <v>925.44</v>
      </c>
      <c r="AC21" s="48">
        <f t="shared" si="4"/>
        <v>0.38350387964913607</v>
      </c>
      <c r="AD21" s="2">
        <v>13.4</v>
      </c>
      <c r="AE21" s="48">
        <v>842.53</v>
      </c>
      <c r="AF21" s="76">
        <f t="shared" si="5"/>
        <v>0.30056788004482987</v>
      </c>
      <c r="AG21" s="77">
        <v>13.85</v>
      </c>
      <c r="AH21" s="48">
        <v>430.12</v>
      </c>
      <c r="AI21" s="48">
        <f t="shared" si="6"/>
        <v>0.20641091810676093</v>
      </c>
      <c r="AJ21" s="2">
        <v>13.38</v>
      </c>
      <c r="AK21" s="48">
        <v>996.54</v>
      </c>
      <c r="AL21" s="76">
        <f t="shared" si="7"/>
        <v>0.31103053529343261</v>
      </c>
      <c r="AM21" s="21">
        <v>13.64</v>
      </c>
      <c r="AN21" s="48">
        <v>727.25</v>
      </c>
      <c r="AO21" s="48">
        <f t="shared" si="8"/>
        <v>0.30047687094521497</v>
      </c>
      <c r="AP21" s="2">
        <v>13.35</v>
      </c>
      <c r="AQ21" s="48">
        <v>857.03</v>
      </c>
      <c r="AR21" s="48">
        <f t="shared" si="9"/>
        <v>0.3323273769969336</v>
      </c>
      <c r="AS21" s="77">
        <v>13.45</v>
      </c>
      <c r="AT21" s="48">
        <v>655.02</v>
      </c>
      <c r="AU21" s="48">
        <f t="shared" si="10"/>
        <v>0.20185888793447987</v>
      </c>
      <c r="AV21" s="2">
        <v>13.32</v>
      </c>
      <c r="AW21" s="48">
        <v>1091</v>
      </c>
      <c r="AX21" s="76">
        <f t="shared" si="11"/>
        <v>0.32960354644956857</v>
      </c>
      <c r="AY21" s="21">
        <v>13.46</v>
      </c>
      <c r="AZ21" s="48">
        <v>848.56</v>
      </c>
      <c r="BA21" s="48">
        <f t="shared" si="12"/>
        <v>0.31141307868138263</v>
      </c>
      <c r="BB21" s="2">
        <v>13.41</v>
      </c>
      <c r="BC21" s="48">
        <v>1126.82</v>
      </c>
      <c r="BD21" s="48">
        <f t="shared" si="13"/>
        <v>0.38292638102524024</v>
      </c>
      <c r="BE21" s="77">
        <v>13.39</v>
      </c>
      <c r="BF21" s="48">
        <v>702.15</v>
      </c>
      <c r="BG21" s="48">
        <f t="shared" si="14"/>
        <v>0.30292823726483692</v>
      </c>
      <c r="BH21" s="2">
        <v>13.39</v>
      </c>
      <c r="BI21" s="48">
        <v>692.52</v>
      </c>
      <c r="BJ21" s="76">
        <f t="shared" si="15"/>
        <v>0.27837071372229899</v>
      </c>
      <c r="BK21" s="21">
        <v>13.46</v>
      </c>
      <c r="BL21" s="48">
        <v>596.52</v>
      </c>
      <c r="BM21" s="48">
        <f t="shared" si="16"/>
        <v>0.27212933816759949</v>
      </c>
      <c r="BN21" s="2">
        <v>13.4</v>
      </c>
      <c r="BO21" s="48">
        <v>1204.8399999999999</v>
      </c>
      <c r="BP21" s="48">
        <f t="shared" si="17"/>
        <v>0.44920819989518823</v>
      </c>
      <c r="BQ21" s="77">
        <v>13.42</v>
      </c>
      <c r="BR21" s="48">
        <v>646.91</v>
      </c>
      <c r="BS21" s="48">
        <f t="shared" si="18"/>
        <v>0.25956612161164921</v>
      </c>
      <c r="BT21" s="2">
        <v>13.4</v>
      </c>
      <c r="BU21" s="48">
        <v>627.4</v>
      </c>
      <c r="BV21" s="76">
        <f t="shared" si="19"/>
        <v>0.24594967842922372</v>
      </c>
      <c r="BX21"/>
      <c r="BY21"/>
    </row>
    <row r="22" spans="2:77">
      <c r="B22" s="13" t="s">
        <v>94</v>
      </c>
      <c r="C22" s="124" t="s">
        <v>92</v>
      </c>
      <c r="D22" s="128" t="s">
        <v>517</v>
      </c>
      <c r="E22" s="16">
        <v>0</v>
      </c>
      <c r="F22" s="134">
        <v>0</v>
      </c>
      <c r="G22" s="27">
        <v>0</v>
      </c>
      <c r="H22" s="139">
        <v>0</v>
      </c>
      <c r="I22" s="77">
        <v>16.059999999999999</v>
      </c>
      <c r="J22" s="48">
        <v>1537.38</v>
      </c>
      <c r="K22" s="48">
        <f t="shared" si="0"/>
        <v>0.72099610748956511</v>
      </c>
      <c r="L22" s="2">
        <v>16.18</v>
      </c>
      <c r="M22" s="48">
        <v>1694.36</v>
      </c>
      <c r="N22" s="100">
        <f t="shared" si="1"/>
        <v>0.75307837609108141</v>
      </c>
      <c r="O22" s="77">
        <v>16.32</v>
      </c>
      <c r="P22" s="48">
        <v>1648.67</v>
      </c>
      <c r="Q22" s="48">
        <f t="shared" si="20"/>
        <v>0.74608774236583397</v>
      </c>
      <c r="R22" s="2">
        <v>16.059999999999999</v>
      </c>
      <c r="S22" s="48">
        <v>2012.76</v>
      </c>
      <c r="T22" s="76">
        <f t="shared" si="2"/>
        <v>0.89948658798534997</v>
      </c>
      <c r="U22" s="77">
        <v>16.12</v>
      </c>
      <c r="V22" s="48">
        <v>1506.77</v>
      </c>
      <c r="W22" s="48">
        <f t="shared" si="21"/>
        <v>0.65259454591088406</v>
      </c>
      <c r="X22" s="2">
        <v>16.14</v>
      </c>
      <c r="Y22" s="48">
        <v>2541.67</v>
      </c>
      <c r="Z22" s="76">
        <f t="shared" si="3"/>
        <v>0.87051772012701356</v>
      </c>
      <c r="AA22" s="77">
        <v>16.149999999999999</v>
      </c>
      <c r="AB22" s="48">
        <v>1650.67</v>
      </c>
      <c r="AC22" s="48">
        <f t="shared" si="4"/>
        <v>0.68404040134470023</v>
      </c>
      <c r="AD22" s="2">
        <v>16.2</v>
      </c>
      <c r="AE22" s="48">
        <v>2252.2800000000002</v>
      </c>
      <c r="AF22" s="76">
        <f t="shared" si="5"/>
        <v>0.80348833260224495</v>
      </c>
      <c r="AG22" s="77">
        <v>16.75</v>
      </c>
      <c r="AH22" s="48">
        <v>1566.86</v>
      </c>
      <c r="AI22" s="48">
        <f t="shared" si="6"/>
        <v>0.75192274515195623</v>
      </c>
      <c r="AJ22" s="2">
        <v>15.97</v>
      </c>
      <c r="AK22" s="48">
        <v>2175.17</v>
      </c>
      <c r="AL22" s="76">
        <f t="shared" si="7"/>
        <v>0.67889326013428042</v>
      </c>
      <c r="AM22" s="21">
        <v>16.489999999999998</v>
      </c>
      <c r="AN22" s="48">
        <v>1869.21</v>
      </c>
      <c r="AO22" s="48">
        <f t="shared" si="8"/>
        <v>0.77229889575731214</v>
      </c>
      <c r="AP22" s="4">
        <v>16.04</v>
      </c>
      <c r="AQ22" s="51">
        <v>1803.26</v>
      </c>
      <c r="AR22" s="48">
        <f t="shared" si="9"/>
        <v>0.69924351054629408</v>
      </c>
      <c r="AS22" s="77">
        <v>16.420000000000002</v>
      </c>
      <c r="AT22" s="48">
        <v>3455.43</v>
      </c>
      <c r="AU22" s="48">
        <f t="shared" si="10"/>
        <v>1.0648671141880246</v>
      </c>
      <c r="AV22" s="2">
        <v>16.2</v>
      </c>
      <c r="AW22" s="48">
        <v>3901.75</v>
      </c>
      <c r="AX22" s="76">
        <f t="shared" si="11"/>
        <v>1.1787631873140276</v>
      </c>
      <c r="AY22" s="21">
        <v>16.29</v>
      </c>
      <c r="AZ22" s="48">
        <v>2135.62</v>
      </c>
      <c r="BA22" s="48">
        <f t="shared" si="12"/>
        <v>0.78375129524551523</v>
      </c>
      <c r="BB22" s="2">
        <v>16.23</v>
      </c>
      <c r="BC22" s="48">
        <v>2559.48</v>
      </c>
      <c r="BD22" s="48">
        <f t="shared" si="13"/>
        <v>0.86978613594583165</v>
      </c>
      <c r="BE22" s="77">
        <v>16.27</v>
      </c>
      <c r="BF22" s="48">
        <v>1753.68</v>
      </c>
      <c r="BG22" s="48">
        <f t="shared" si="14"/>
        <v>0.75658932012618285</v>
      </c>
      <c r="BH22" s="2">
        <v>16.059999999999999</v>
      </c>
      <c r="BI22" s="48">
        <v>2052.87</v>
      </c>
      <c r="BJ22" s="76">
        <f t="shared" si="15"/>
        <v>0.82518755715227843</v>
      </c>
      <c r="BK22" s="21">
        <v>16.16</v>
      </c>
      <c r="BL22" s="48">
        <v>1809.31</v>
      </c>
      <c r="BM22" s="48">
        <f t="shared" si="16"/>
        <v>0.82539786233490808</v>
      </c>
      <c r="BN22" s="2">
        <v>16.170000000000002</v>
      </c>
      <c r="BO22" s="48">
        <v>2551.02</v>
      </c>
      <c r="BP22" s="48">
        <f t="shared" si="17"/>
        <v>0.95111309559495305</v>
      </c>
      <c r="BQ22" s="77">
        <v>16.100000000000001</v>
      </c>
      <c r="BR22" s="48">
        <v>2179.34</v>
      </c>
      <c r="BS22" s="48">
        <f t="shared" si="18"/>
        <v>0.87443822397726378</v>
      </c>
      <c r="BT22" s="2">
        <v>16.079999999999998</v>
      </c>
      <c r="BU22" s="48">
        <v>1939.42</v>
      </c>
      <c r="BV22" s="76">
        <f t="shared" si="19"/>
        <v>0.76028008501626576</v>
      </c>
      <c r="BX22"/>
      <c r="BY22"/>
    </row>
    <row r="23" spans="2:77">
      <c r="B23" s="13" t="s">
        <v>95</v>
      </c>
      <c r="C23" s="124" t="s">
        <v>96</v>
      </c>
      <c r="D23" s="128" t="s">
        <v>97</v>
      </c>
      <c r="E23" s="16">
        <v>0</v>
      </c>
      <c r="F23" s="134">
        <v>0</v>
      </c>
      <c r="G23" s="27">
        <v>0</v>
      </c>
      <c r="H23" s="139">
        <v>0</v>
      </c>
      <c r="I23" s="77">
        <v>13.2</v>
      </c>
      <c r="J23" s="48">
        <v>1129.99</v>
      </c>
      <c r="K23" s="48">
        <f t="shared" si="0"/>
        <v>0.52993950194625505</v>
      </c>
      <c r="L23" s="2">
        <v>13.34</v>
      </c>
      <c r="M23" s="48">
        <v>1773.9</v>
      </c>
      <c r="N23" s="100">
        <f t="shared" si="1"/>
        <v>0.78843087144878865</v>
      </c>
      <c r="O23" s="77">
        <v>13.44</v>
      </c>
      <c r="P23" s="48">
        <v>1202.17</v>
      </c>
      <c r="Q23" s="48">
        <f t="shared" si="20"/>
        <v>0.54402900595021109</v>
      </c>
      <c r="R23" s="2">
        <v>13.26</v>
      </c>
      <c r="S23" s="48">
        <v>1582.37</v>
      </c>
      <c r="T23" s="76">
        <f t="shared" si="2"/>
        <v>0.70714868748900916</v>
      </c>
      <c r="U23" s="77">
        <v>13.29</v>
      </c>
      <c r="V23" s="48">
        <v>917.38</v>
      </c>
      <c r="W23" s="48">
        <f t="shared" si="21"/>
        <v>0.39732486346803209</v>
      </c>
      <c r="X23" s="2">
        <v>13.36</v>
      </c>
      <c r="Y23" s="48">
        <v>2235.21</v>
      </c>
      <c r="Z23" s="76">
        <f t="shared" si="3"/>
        <v>0.76555568315520972</v>
      </c>
      <c r="AA23" s="77">
        <v>13.24</v>
      </c>
      <c r="AB23" s="48">
        <v>1702.03</v>
      </c>
      <c r="AC23" s="48">
        <f t="shared" si="4"/>
        <v>0.70532407101402461</v>
      </c>
      <c r="AD23" s="2">
        <v>13.3</v>
      </c>
      <c r="AE23" s="48">
        <v>1974.74</v>
      </c>
      <c r="AF23" s="76">
        <f t="shared" si="5"/>
        <v>0.70447748500317775</v>
      </c>
      <c r="AG23" s="77">
        <v>13.76</v>
      </c>
      <c r="AH23" s="48">
        <v>1149.71</v>
      </c>
      <c r="AI23" s="48">
        <f t="shared" si="6"/>
        <v>0.55173601938185657</v>
      </c>
      <c r="AJ23" s="2">
        <v>13.18</v>
      </c>
      <c r="AK23" s="48">
        <v>2088.7199999999998</v>
      </c>
      <c r="AL23" s="76">
        <f t="shared" si="7"/>
        <v>0.65191131282045733</v>
      </c>
      <c r="AM23" s="21">
        <v>13.54</v>
      </c>
      <c r="AN23" s="48">
        <v>1324.96</v>
      </c>
      <c r="AO23" s="48">
        <f t="shared" si="8"/>
        <v>0.54743188027167</v>
      </c>
      <c r="AP23" s="2">
        <v>13.26</v>
      </c>
      <c r="AQ23" s="48">
        <v>1593.63</v>
      </c>
      <c r="AR23" s="48">
        <f t="shared" si="9"/>
        <v>0.61795605498480022</v>
      </c>
      <c r="AS23" s="77">
        <v>13.35</v>
      </c>
      <c r="AT23" s="48">
        <v>1428.14</v>
      </c>
      <c r="AU23" s="48">
        <f t="shared" si="10"/>
        <v>0.44011290069730413</v>
      </c>
      <c r="AV23" s="2">
        <v>13.22</v>
      </c>
      <c r="AW23" s="48">
        <v>1698.32</v>
      </c>
      <c r="AX23" s="76">
        <f t="shared" si="11"/>
        <v>0.51308184693513403</v>
      </c>
      <c r="AY23" s="21">
        <v>13.37</v>
      </c>
      <c r="AZ23" s="48">
        <v>1374.93</v>
      </c>
      <c r="BA23" s="48">
        <f t="shared" si="12"/>
        <v>0.5045856324495539</v>
      </c>
      <c r="BB23" s="2">
        <v>13.31</v>
      </c>
      <c r="BC23" s="48">
        <v>2150.75</v>
      </c>
      <c r="BD23" s="48">
        <f t="shared" si="13"/>
        <v>0.73088773183830202</v>
      </c>
      <c r="BE23" s="77">
        <v>13.29</v>
      </c>
      <c r="BF23" s="48">
        <v>1479.08</v>
      </c>
      <c r="BG23" s="48">
        <f t="shared" si="14"/>
        <v>0.63811877401363659</v>
      </c>
      <c r="BH23" s="2">
        <v>13.3</v>
      </c>
      <c r="BI23" s="48">
        <v>1311.68</v>
      </c>
      <c r="BJ23" s="76">
        <f t="shared" si="15"/>
        <v>0.52725307251092413</v>
      </c>
      <c r="BK23" s="21">
        <v>13.27</v>
      </c>
      <c r="BL23" s="48">
        <v>1299.6300000000001</v>
      </c>
      <c r="BM23" s="48">
        <f t="shared" si="16"/>
        <v>0.592884482938975</v>
      </c>
      <c r="BN23" s="2">
        <v>13.31</v>
      </c>
      <c r="BO23" s="48">
        <v>1702.22</v>
      </c>
      <c r="BP23" s="48">
        <f t="shared" si="17"/>
        <v>0.63464956510871773</v>
      </c>
      <c r="BQ23" s="77">
        <v>13.32</v>
      </c>
      <c r="BR23" s="48">
        <v>1261.8499999999999</v>
      </c>
      <c r="BS23" s="48">
        <f t="shared" si="18"/>
        <v>0.50630460273555755</v>
      </c>
      <c r="BT23" s="2">
        <v>13.21</v>
      </c>
      <c r="BU23" s="48">
        <v>1572.67</v>
      </c>
      <c r="BV23" s="76">
        <f t="shared" si="19"/>
        <v>0.61650889508333961</v>
      </c>
      <c r="BX23"/>
      <c r="BY23"/>
    </row>
    <row r="24" spans="2:77">
      <c r="B24" s="13" t="s">
        <v>98</v>
      </c>
      <c r="C24" s="124" t="s">
        <v>96</v>
      </c>
      <c r="D24" s="128" t="s">
        <v>99</v>
      </c>
      <c r="E24" s="16">
        <v>0</v>
      </c>
      <c r="F24" s="134">
        <v>0</v>
      </c>
      <c r="G24" s="27">
        <v>0</v>
      </c>
      <c r="H24" s="139">
        <v>0</v>
      </c>
      <c r="I24" s="77">
        <v>15.86</v>
      </c>
      <c r="J24" s="48">
        <v>3260.24</v>
      </c>
      <c r="K24" s="48">
        <f t="shared" si="0"/>
        <v>1.5289780987665895</v>
      </c>
      <c r="L24" s="2">
        <v>15.97</v>
      </c>
      <c r="M24" s="48">
        <v>3791.52</v>
      </c>
      <c r="N24" s="100">
        <f t="shared" si="1"/>
        <v>1.6851859843934331</v>
      </c>
      <c r="O24" s="77">
        <v>16.12</v>
      </c>
      <c r="P24" s="48">
        <v>4319.22</v>
      </c>
      <c r="Q24" s="48">
        <f t="shared" si="20"/>
        <v>1.9546162049296447</v>
      </c>
      <c r="R24" s="2">
        <v>15.85</v>
      </c>
      <c r="S24" s="48">
        <v>3978.67</v>
      </c>
      <c r="T24" s="76">
        <f t="shared" si="2"/>
        <v>1.7780362800431611</v>
      </c>
      <c r="U24" s="77">
        <v>15.92</v>
      </c>
      <c r="V24" s="48">
        <v>3878.7</v>
      </c>
      <c r="W24" s="48">
        <f t="shared" si="21"/>
        <v>1.6798970415023831</v>
      </c>
      <c r="X24" s="2">
        <v>16.04</v>
      </c>
      <c r="Y24" s="48">
        <v>4936.76</v>
      </c>
      <c r="Z24" s="76">
        <f t="shared" si="3"/>
        <v>1.690832035635718</v>
      </c>
      <c r="AA24" s="77">
        <v>15.94</v>
      </c>
      <c r="AB24" s="48">
        <v>4409.53</v>
      </c>
      <c r="AC24" s="48">
        <f t="shared" si="4"/>
        <v>1.8273165871685413</v>
      </c>
      <c r="AD24" s="2">
        <v>16</v>
      </c>
      <c r="AE24" s="48">
        <v>5465.31</v>
      </c>
      <c r="AF24" s="76">
        <f t="shared" si="5"/>
        <v>1.9497188711236506</v>
      </c>
      <c r="AG24" s="77">
        <v>16.54</v>
      </c>
      <c r="AH24" s="48">
        <v>3694.19</v>
      </c>
      <c r="AI24" s="48">
        <f t="shared" si="6"/>
        <v>1.7728102612313195</v>
      </c>
      <c r="AJ24" s="2">
        <v>15.77</v>
      </c>
      <c r="AK24" s="48">
        <v>5864.8</v>
      </c>
      <c r="AL24" s="76">
        <f t="shared" si="7"/>
        <v>1.8304652933037548</v>
      </c>
      <c r="AM24" s="21">
        <v>16.29</v>
      </c>
      <c r="AN24" s="48">
        <v>4969.67</v>
      </c>
      <c r="AO24" s="48">
        <f t="shared" si="8"/>
        <v>2.053311641430466</v>
      </c>
      <c r="AP24" s="4">
        <v>15.83</v>
      </c>
      <c r="AQ24" s="51">
        <v>4289.55</v>
      </c>
      <c r="AR24" s="48">
        <f t="shared" si="9"/>
        <v>1.6633430568325458</v>
      </c>
      <c r="AS24" s="77">
        <v>16.22</v>
      </c>
      <c r="AT24" s="48">
        <v>7277.72</v>
      </c>
      <c r="AU24" s="48">
        <f t="shared" si="10"/>
        <v>2.2427902444177628</v>
      </c>
      <c r="AV24" s="2">
        <v>15.9</v>
      </c>
      <c r="AW24" s="48">
        <v>7098.25</v>
      </c>
      <c r="AX24" s="76">
        <f t="shared" si="11"/>
        <v>2.1444623039281852</v>
      </c>
      <c r="AY24" s="21">
        <v>16.09</v>
      </c>
      <c r="AZ24" s="48">
        <v>5351.97</v>
      </c>
      <c r="BA24" s="48">
        <f t="shared" si="12"/>
        <v>1.9641197495880072</v>
      </c>
      <c r="BB24" s="2">
        <v>16.03</v>
      </c>
      <c r="BC24" s="48">
        <v>6450.31</v>
      </c>
      <c r="BD24" s="48">
        <f t="shared" si="13"/>
        <v>2.192003926794801</v>
      </c>
      <c r="BE24" s="77">
        <v>16.059999999999999</v>
      </c>
      <c r="BF24" s="48">
        <v>4659.32</v>
      </c>
      <c r="BG24" s="48">
        <f t="shared" si="14"/>
        <v>2.0101681897782524</v>
      </c>
      <c r="BH24" s="2">
        <v>15.85</v>
      </c>
      <c r="BI24" s="48">
        <v>4515.8500000000004</v>
      </c>
      <c r="BJ24" s="76">
        <f t="shared" si="15"/>
        <v>1.815226112693993</v>
      </c>
      <c r="BK24" s="21">
        <v>16.059999999999999</v>
      </c>
      <c r="BL24" s="48">
        <v>4486.4799999999996</v>
      </c>
      <c r="BM24" s="48">
        <f t="shared" si="16"/>
        <v>2.0467089671799292</v>
      </c>
      <c r="BN24" s="2">
        <v>15.7</v>
      </c>
      <c r="BO24" s="48">
        <v>5859.79</v>
      </c>
      <c r="BP24" s="48">
        <f t="shared" si="17"/>
        <v>2.1847429680819239</v>
      </c>
      <c r="BQ24" s="77">
        <v>16</v>
      </c>
      <c r="BR24" s="48">
        <v>4843.53</v>
      </c>
      <c r="BS24" s="48">
        <f t="shared" si="18"/>
        <v>1.9434176268873127</v>
      </c>
      <c r="BT24" s="2">
        <v>15.88</v>
      </c>
      <c r="BU24" s="48">
        <v>4719.5200000000004</v>
      </c>
      <c r="BV24" s="76">
        <f t="shared" si="19"/>
        <v>1.8501186266182503</v>
      </c>
      <c r="BX24"/>
      <c r="BY24"/>
    </row>
    <row r="25" spans="2:77">
      <c r="B25" s="50" t="s">
        <v>100</v>
      </c>
      <c r="C25" s="124" t="s">
        <v>101</v>
      </c>
      <c r="D25" s="128" t="s">
        <v>102</v>
      </c>
      <c r="E25" s="16">
        <v>0</v>
      </c>
      <c r="F25" s="134">
        <v>0</v>
      </c>
      <c r="G25" s="27">
        <v>0</v>
      </c>
      <c r="H25" s="139">
        <v>0</v>
      </c>
      <c r="I25" s="77" t="s">
        <v>31</v>
      </c>
      <c r="J25" s="48">
        <v>0</v>
      </c>
      <c r="K25" s="48">
        <f t="shared" si="0"/>
        <v>0</v>
      </c>
      <c r="L25" s="2" t="s">
        <v>31</v>
      </c>
      <c r="M25" s="48">
        <v>0</v>
      </c>
      <c r="N25" s="100">
        <f t="shared" si="1"/>
        <v>0</v>
      </c>
      <c r="O25" s="77" t="s">
        <v>31</v>
      </c>
      <c r="P25" s="48">
        <v>0</v>
      </c>
      <c r="Q25" s="48">
        <f t="shared" si="20"/>
        <v>0</v>
      </c>
      <c r="R25" s="2" t="s">
        <v>31</v>
      </c>
      <c r="S25" s="48">
        <v>0</v>
      </c>
      <c r="T25" s="76">
        <f t="shared" si="2"/>
        <v>0</v>
      </c>
      <c r="U25" s="77" t="s">
        <v>31</v>
      </c>
      <c r="V25" s="48">
        <v>0</v>
      </c>
      <c r="W25" s="48">
        <f t="shared" si="21"/>
        <v>0</v>
      </c>
      <c r="X25" s="2" t="s">
        <v>31</v>
      </c>
      <c r="Y25" s="48">
        <v>0</v>
      </c>
      <c r="Z25" s="76">
        <f t="shared" si="3"/>
        <v>0</v>
      </c>
      <c r="AA25" s="77" t="s">
        <v>31</v>
      </c>
      <c r="AB25" s="48">
        <v>0</v>
      </c>
      <c r="AC25" s="48">
        <f t="shared" si="4"/>
        <v>0</v>
      </c>
      <c r="AD25" s="2" t="s">
        <v>31</v>
      </c>
      <c r="AE25" s="48">
        <v>0</v>
      </c>
      <c r="AF25" s="76">
        <f t="shared" si="5"/>
        <v>0</v>
      </c>
      <c r="AG25" s="77" t="s">
        <v>31</v>
      </c>
      <c r="AH25" s="48">
        <v>0</v>
      </c>
      <c r="AI25" s="48">
        <f t="shared" si="6"/>
        <v>0</v>
      </c>
      <c r="AJ25" s="3" t="s">
        <v>31</v>
      </c>
      <c r="AK25" s="48">
        <v>0</v>
      </c>
      <c r="AL25" s="76">
        <f t="shared" si="7"/>
        <v>0</v>
      </c>
      <c r="AM25" s="21" t="s">
        <v>31</v>
      </c>
      <c r="AN25" s="48">
        <v>0</v>
      </c>
      <c r="AO25" s="48">
        <f t="shared" si="8"/>
        <v>0</v>
      </c>
      <c r="AP25" s="4" t="s">
        <v>31</v>
      </c>
      <c r="AQ25" s="51">
        <v>0</v>
      </c>
      <c r="AR25" s="48">
        <f t="shared" si="9"/>
        <v>0</v>
      </c>
      <c r="AS25" s="75">
        <v>17.13</v>
      </c>
      <c r="AT25" s="49">
        <v>532.20000000000005</v>
      </c>
      <c r="AU25" s="49">
        <f t="shared" si="10"/>
        <v>0.1640091908013957</v>
      </c>
      <c r="AV25" s="34" t="s">
        <v>103</v>
      </c>
      <c r="AW25" s="49">
        <v>214.4</v>
      </c>
      <c r="AX25" s="103">
        <f t="shared" si="11"/>
        <v>6.4772685938393679E-2</v>
      </c>
      <c r="AY25" s="31">
        <v>17.09</v>
      </c>
      <c r="AZ25" s="49">
        <v>298.97000000000003</v>
      </c>
      <c r="BA25" s="49">
        <f t="shared" si="12"/>
        <v>0.10971901590149545</v>
      </c>
      <c r="BB25" s="34" t="s">
        <v>104</v>
      </c>
      <c r="BC25" s="49">
        <v>438.6</v>
      </c>
      <c r="BD25" s="49">
        <f t="shared" si="13"/>
        <v>0.14904910342172698</v>
      </c>
      <c r="BE25" s="77" t="s">
        <v>31</v>
      </c>
      <c r="BF25" s="48">
        <v>0</v>
      </c>
      <c r="BG25" s="48">
        <f t="shared" si="14"/>
        <v>0</v>
      </c>
      <c r="BH25" s="2" t="s">
        <v>31</v>
      </c>
      <c r="BI25" s="48">
        <v>0</v>
      </c>
      <c r="BJ25" s="76">
        <f t="shared" si="15"/>
        <v>0</v>
      </c>
      <c r="BK25" s="21" t="s">
        <v>31</v>
      </c>
      <c r="BL25" s="48">
        <v>0</v>
      </c>
      <c r="BM25" s="48">
        <f t="shared" si="16"/>
        <v>0</v>
      </c>
      <c r="BN25" s="3" t="s">
        <v>31</v>
      </c>
      <c r="BO25" s="48">
        <v>0</v>
      </c>
      <c r="BP25" s="48">
        <f t="shared" si="17"/>
        <v>0</v>
      </c>
      <c r="BQ25" s="77" t="s">
        <v>31</v>
      </c>
      <c r="BR25" s="48">
        <v>0</v>
      </c>
      <c r="BS25" s="48">
        <f t="shared" si="18"/>
        <v>0</v>
      </c>
      <c r="BT25" s="2" t="s">
        <v>31</v>
      </c>
      <c r="BU25" s="48">
        <v>0</v>
      </c>
      <c r="BV25" s="76">
        <f t="shared" si="19"/>
        <v>0</v>
      </c>
      <c r="BX25"/>
      <c r="BY25"/>
    </row>
    <row r="26" spans="2:77">
      <c r="B26" s="13" t="s">
        <v>106</v>
      </c>
      <c r="C26" s="124" t="s">
        <v>107</v>
      </c>
      <c r="D26" s="128" t="s">
        <v>108</v>
      </c>
      <c r="E26" s="16">
        <v>1</v>
      </c>
      <c r="F26" s="134" t="s">
        <v>109</v>
      </c>
      <c r="G26" s="27">
        <v>0</v>
      </c>
      <c r="H26" s="139">
        <v>1</v>
      </c>
      <c r="I26" s="77">
        <v>13.58</v>
      </c>
      <c r="J26" s="48">
        <v>569.26</v>
      </c>
      <c r="K26" s="48">
        <f t="shared" si="0"/>
        <v>0.26696993856399187</v>
      </c>
      <c r="L26" s="2">
        <v>13.64</v>
      </c>
      <c r="M26" s="48">
        <v>1237.3</v>
      </c>
      <c r="N26" s="100">
        <f t="shared" si="1"/>
        <v>0.54993264402930608</v>
      </c>
      <c r="O26" s="77">
        <v>13.73</v>
      </c>
      <c r="P26" s="48">
        <v>731.79</v>
      </c>
      <c r="Q26" s="48">
        <f t="shared" si="20"/>
        <v>0.33116363431486806</v>
      </c>
      <c r="R26" s="2">
        <v>13.56</v>
      </c>
      <c r="S26" s="48">
        <v>904.67</v>
      </c>
      <c r="T26" s="76">
        <f t="shared" si="2"/>
        <v>0.4042898962383526</v>
      </c>
      <c r="U26" s="77">
        <v>13.58</v>
      </c>
      <c r="V26" s="48">
        <v>740.99</v>
      </c>
      <c r="W26" s="48">
        <f t="shared" si="21"/>
        <v>0.32092889596587798</v>
      </c>
      <c r="X26" s="2">
        <v>13.66</v>
      </c>
      <c r="Y26" s="48">
        <v>1661.75</v>
      </c>
      <c r="Z26" s="76">
        <f t="shared" si="3"/>
        <v>0.56914659315373939</v>
      </c>
      <c r="AA26" s="77">
        <v>13.53</v>
      </c>
      <c r="AB26" s="48">
        <v>783.46</v>
      </c>
      <c r="AC26" s="48">
        <f t="shared" si="4"/>
        <v>0.32466713082416165</v>
      </c>
      <c r="AD26" s="2">
        <v>13.6</v>
      </c>
      <c r="AE26" s="48">
        <v>991.75</v>
      </c>
      <c r="AF26" s="76">
        <f t="shared" si="5"/>
        <v>0.35380128308126718</v>
      </c>
      <c r="AG26" s="77">
        <v>14.15</v>
      </c>
      <c r="AH26" s="48">
        <v>589.45000000000005</v>
      </c>
      <c r="AI26" s="48">
        <f t="shared" si="6"/>
        <v>0.28287202566267611</v>
      </c>
      <c r="AJ26" s="2" t="s">
        <v>110</v>
      </c>
      <c r="AK26" s="48">
        <v>795.7</v>
      </c>
      <c r="AL26" s="76">
        <f t="shared" si="7"/>
        <v>0.2483462750446388</v>
      </c>
      <c r="AM26" s="21">
        <v>13.93</v>
      </c>
      <c r="AN26" s="48">
        <v>738.86</v>
      </c>
      <c r="AO26" s="48">
        <f t="shared" si="8"/>
        <v>0.30527375849650257</v>
      </c>
      <c r="AP26" s="4">
        <v>13.55</v>
      </c>
      <c r="AQ26" s="51">
        <v>1053.3</v>
      </c>
      <c r="AR26" s="48">
        <f t="shared" si="9"/>
        <v>0.4084342744021448</v>
      </c>
      <c r="AS26" s="79" t="s">
        <v>31</v>
      </c>
      <c r="AT26" s="54">
        <v>0</v>
      </c>
      <c r="AU26" s="54">
        <f t="shared" si="10"/>
        <v>0</v>
      </c>
      <c r="AV26" s="36" t="s">
        <v>31</v>
      </c>
      <c r="AW26" s="54">
        <v>0</v>
      </c>
      <c r="AX26" s="102">
        <f t="shared" si="11"/>
        <v>0</v>
      </c>
      <c r="AY26" s="37" t="s">
        <v>31</v>
      </c>
      <c r="AZ26" s="54">
        <v>0</v>
      </c>
      <c r="BA26" s="54">
        <f t="shared" si="12"/>
        <v>0</v>
      </c>
      <c r="BB26" s="36" t="s">
        <v>31</v>
      </c>
      <c r="BC26" s="54">
        <v>0</v>
      </c>
      <c r="BD26" s="54">
        <f t="shared" si="13"/>
        <v>0</v>
      </c>
      <c r="BE26" s="77">
        <v>13.68</v>
      </c>
      <c r="BF26" s="48">
        <v>770.9</v>
      </c>
      <c r="BG26" s="48">
        <f t="shared" si="14"/>
        <v>0.33258901674494451</v>
      </c>
      <c r="BH26" s="2">
        <v>13.59</v>
      </c>
      <c r="BI26" s="48">
        <v>888.87</v>
      </c>
      <c r="BJ26" s="76">
        <f t="shared" si="15"/>
        <v>0.3572970835590884</v>
      </c>
      <c r="BK26" s="21">
        <v>13.56</v>
      </c>
      <c r="BL26" s="48">
        <v>486.61</v>
      </c>
      <c r="BM26" s="48">
        <f t="shared" si="16"/>
        <v>0.22198896473837521</v>
      </c>
      <c r="BN26" s="2">
        <v>13.6</v>
      </c>
      <c r="BO26" s="48">
        <v>1348.96</v>
      </c>
      <c r="BP26" s="48">
        <f t="shared" si="17"/>
        <v>0.50294138087265794</v>
      </c>
      <c r="BQ26" s="77">
        <v>13.61</v>
      </c>
      <c r="BR26" s="48">
        <v>680.76</v>
      </c>
      <c r="BS26" s="48">
        <f t="shared" si="18"/>
        <v>0.27314809316341737</v>
      </c>
      <c r="BT26" s="2">
        <v>13.5</v>
      </c>
      <c r="BU26" s="48">
        <v>1157.1500000000001</v>
      </c>
      <c r="BV26" s="76">
        <f t="shared" si="19"/>
        <v>0.45361917499900584</v>
      </c>
      <c r="BX26"/>
      <c r="BY26"/>
    </row>
    <row r="27" spans="2:77">
      <c r="B27" s="13" t="s">
        <v>111</v>
      </c>
      <c r="C27" s="124" t="s">
        <v>107</v>
      </c>
      <c r="D27" s="128" t="s">
        <v>112</v>
      </c>
      <c r="E27" s="16">
        <v>1</v>
      </c>
      <c r="F27" s="134" t="s">
        <v>497</v>
      </c>
      <c r="G27" s="27">
        <v>0</v>
      </c>
      <c r="H27" s="139">
        <v>1</v>
      </c>
      <c r="I27" s="77">
        <v>27.46</v>
      </c>
      <c r="J27" s="48">
        <v>6765.92</v>
      </c>
      <c r="K27" s="48">
        <f t="shared" si="0"/>
        <v>3.1730619518829424</v>
      </c>
      <c r="L27" s="2">
        <v>27.68</v>
      </c>
      <c r="M27" s="48">
        <v>9764.76</v>
      </c>
      <c r="N27" s="100">
        <f t="shared" si="1"/>
        <v>4.3400632709218518</v>
      </c>
      <c r="O27" s="79" t="s">
        <v>31</v>
      </c>
      <c r="P27" s="54">
        <v>0</v>
      </c>
      <c r="Q27" s="54">
        <f t="shared" si="20"/>
        <v>0</v>
      </c>
      <c r="R27" s="36" t="s">
        <v>31</v>
      </c>
      <c r="S27" s="54">
        <v>0</v>
      </c>
      <c r="T27" s="102">
        <f t="shared" si="2"/>
        <v>0</v>
      </c>
      <c r="U27" s="77">
        <v>27.71</v>
      </c>
      <c r="V27" s="48">
        <v>6662.59</v>
      </c>
      <c r="W27" s="48">
        <f t="shared" si="21"/>
        <v>2.8856228194352136</v>
      </c>
      <c r="X27" s="2">
        <v>27.6</v>
      </c>
      <c r="Y27" s="48">
        <v>9924.9500000000007</v>
      </c>
      <c r="Z27" s="76">
        <f t="shared" si="3"/>
        <v>3.3992787601752403</v>
      </c>
      <c r="AA27" s="79" t="s">
        <v>31</v>
      </c>
      <c r="AB27" s="54">
        <v>0</v>
      </c>
      <c r="AC27" s="54">
        <f t="shared" si="4"/>
        <v>0</v>
      </c>
      <c r="AD27" s="36" t="s">
        <v>31</v>
      </c>
      <c r="AE27" s="54">
        <v>0</v>
      </c>
      <c r="AF27" s="102">
        <f t="shared" si="5"/>
        <v>0</v>
      </c>
      <c r="AG27" s="79" t="s">
        <v>31</v>
      </c>
      <c r="AH27" s="54">
        <v>0</v>
      </c>
      <c r="AI27" s="54">
        <f t="shared" si="6"/>
        <v>0</v>
      </c>
      <c r="AJ27" s="35" t="s">
        <v>31</v>
      </c>
      <c r="AK27" s="54">
        <v>0</v>
      </c>
      <c r="AL27" s="102">
        <f t="shared" si="7"/>
        <v>0</v>
      </c>
      <c r="AM27" s="37" t="s">
        <v>31</v>
      </c>
      <c r="AN27" s="54">
        <v>0</v>
      </c>
      <c r="AO27" s="54">
        <f t="shared" si="8"/>
        <v>0</v>
      </c>
      <c r="AP27" s="36" t="s">
        <v>31</v>
      </c>
      <c r="AQ27" s="54">
        <v>0</v>
      </c>
      <c r="AR27" s="54">
        <f t="shared" si="9"/>
        <v>0</v>
      </c>
      <c r="AS27" s="77">
        <v>27.45</v>
      </c>
      <c r="AT27" s="48">
        <v>9090.1299999999992</v>
      </c>
      <c r="AU27" s="48">
        <f t="shared" si="10"/>
        <v>2.8013244373910009</v>
      </c>
      <c r="AV27" s="2">
        <v>27.01</v>
      </c>
      <c r="AW27" s="48">
        <v>8102.38</v>
      </c>
      <c r="AX27" s="76">
        <f t="shared" si="11"/>
        <v>2.4478214323391891</v>
      </c>
      <c r="AY27" s="21">
        <v>27.47</v>
      </c>
      <c r="AZ27" s="48">
        <v>7460.4</v>
      </c>
      <c r="BA27" s="48">
        <f t="shared" si="12"/>
        <v>2.7378925853146354</v>
      </c>
      <c r="BB27" s="2">
        <v>27.37</v>
      </c>
      <c r="BC27" s="48">
        <v>8128.91</v>
      </c>
      <c r="BD27" s="48">
        <f t="shared" si="13"/>
        <v>2.7624412843044013</v>
      </c>
      <c r="BE27" s="77">
        <v>27.66</v>
      </c>
      <c r="BF27" s="48">
        <v>8037.66</v>
      </c>
      <c r="BG27" s="48">
        <f t="shared" si="14"/>
        <v>3.4676837933975491</v>
      </c>
      <c r="BH27" s="2">
        <v>27.54</v>
      </c>
      <c r="BI27" s="48">
        <v>7511.21</v>
      </c>
      <c r="BJ27" s="76">
        <f t="shared" si="15"/>
        <v>3.0192642647404688</v>
      </c>
      <c r="BK27" s="21">
        <v>27.66</v>
      </c>
      <c r="BL27" s="48">
        <v>7510.98</v>
      </c>
      <c r="BM27" s="48">
        <f t="shared" si="16"/>
        <v>3.4264702212668077</v>
      </c>
      <c r="BN27" s="2">
        <v>27.45</v>
      </c>
      <c r="BO27" s="48">
        <v>7250</v>
      </c>
      <c r="BP27" s="48">
        <f t="shared" si="17"/>
        <v>2.7030638501710724</v>
      </c>
      <c r="BQ27" s="77">
        <v>27.5</v>
      </c>
      <c r="BR27" s="48">
        <v>7674.28</v>
      </c>
      <c r="BS27" s="48">
        <f t="shared" si="18"/>
        <v>3.0792275521507588</v>
      </c>
      <c r="BT27" s="2">
        <v>27.56</v>
      </c>
      <c r="BU27" s="48">
        <v>8572.2000000000007</v>
      </c>
      <c r="BV27" s="76">
        <f t="shared" si="19"/>
        <v>3.360423706456793</v>
      </c>
      <c r="BX27"/>
      <c r="BY27"/>
    </row>
    <row r="28" spans="2:77">
      <c r="B28" s="50" t="s">
        <v>114</v>
      </c>
      <c r="C28" s="124" t="s">
        <v>115</v>
      </c>
      <c r="D28" s="128" t="s">
        <v>116</v>
      </c>
      <c r="E28" s="16">
        <v>0</v>
      </c>
      <c r="F28" s="134">
        <v>0</v>
      </c>
      <c r="G28" s="27">
        <v>0</v>
      </c>
      <c r="H28" s="139">
        <v>1</v>
      </c>
      <c r="I28" s="77" t="s">
        <v>31</v>
      </c>
      <c r="J28" s="48">
        <v>0</v>
      </c>
      <c r="K28" s="48">
        <f t="shared" si="0"/>
        <v>0</v>
      </c>
      <c r="L28" s="2" t="s">
        <v>31</v>
      </c>
      <c r="M28" s="48">
        <v>0</v>
      </c>
      <c r="N28" s="100">
        <f t="shared" si="1"/>
        <v>0</v>
      </c>
      <c r="O28" s="75" t="s">
        <v>119</v>
      </c>
      <c r="P28" s="49">
        <v>620.6</v>
      </c>
      <c r="Q28" s="49">
        <f t="shared" si="20"/>
        <v>0.28084580474700005</v>
      </c>
      <c r="R28" s="34" t="s">
        <v>120</v>
      </c>
      <c r="S28" s="49">
        <v>708.12</v>
      </c>
      <c r="T28" s="103">
        <f t="shared" si="2"/>
        <v>0.31645324960958388</v>
      </c>
      <c r="U28" s="77" t="s">
        <v>31</v>
      </c>
      <c r="V28" s="48">
        <v>0</v>
      </c>
      <c r="W28" s="48">
        <f t="shared" si="21"/>
        <v>0</v>
      </c>
      <c r="X28" s="2" t="s">
        <v>31</v>
      </c>
      <c r="Y28" s="48">
        <v>0</v>
      </c>
      <c r="Z28" s="76">
        <f t="shared" si="3"/>
        <v>0</v>
      </c>
      <c r="AA28" s="75">
        <v>17.079999999999998</v>
      </c>
      <c r="AB28" s="49">
        <v>741.93</v>
      </c>
      <c r="AC28" s="49">
        <f t="shared" si="4"/>
        <v>0.30745702955143872</v>
      </c>
      <c r="AD28" s="34" t="s">
        <v>121</v>
      </c>
      <c r="AE28" s="49">
        <v>800.47</v>
      </c>
      <c r="AF28" s="103">
        <f t="shared" si="5"/>
        <v>0.28556320954682324</v>
      </c>
      <c r="AG28" s="75">
        <v>17.77</v>
      </c>
      <c r="AH28" s="49">
        <v>626.63</v>
      </c>
      <c r="AI28" s="49">
        <f t="shared" si="6"/>
        <v>0.30071439043345949</v>
      </c>
      <c r="AJ28" s="30" t="s">
        <v>61</v>
      </c>
      <c r="AK28" s="49">
        <v>639.79999999999995</v>
      </c>
      <c r="AL28" s="103">
        <f t="shared" si="7"/>
        <v>0.19968825785290925</v>
      </c>
      <c r="AM28" s="31" t="s">
        <v>117</v>
      </c>
      <c r="AN28" s="49">
        <v>187.7</v>
      </c>
      <c r="AO28" s="49">
        <f t="shared" si="8"/>
        <v>7.7551747922195727E-2</v>
      </c>
      <c r="AP28" s="32" t="s">
        <v>118</v>
      </c>
      <c r="AQ28" s="52">
        <v>276.89999999999998</v>
      </c>
      <c r="AR28" s="49">
        <f t="shared" si="9"/>
        <v>0.10737249651756753</v>
      </c>
      <c r="AS28" s="75">
        <v>17.53</v>
      </c>
      <c r="AT28" s="49">
        <v>2304.44</v>
      </c>
      <c r="AU28" s="49">
        <f t="shared" si="10"/>
        <v>0.71016411057942175</v>
      </c>
      <c r="AV28" s="34">
        <v>17.309999999999999</v>
      </c>
      <c r="AW28" s="49">
        <v>1803.63</v>
      </c>
      <c r="AX28" s="103">
        <f t="shared" si="11"/>
        <v>0.5448971993426539</v>
      </c>
      <c r="AY28" s="31">
        <v>17.3</v>
      </c>
      <c r="AZ28" s="49">
        <v>1579.69</v>
      </c>
      <c r="BA28" s="49">
        <f t="shared" si="12"/>
        <v>0.5797305155347805</v>
      </c>
      <c r="BB28" s="34">
        <v>17.34</v>
      </c>
      <c r="BC28" s="49">
        <v>1774.82</v>
      </c>
      <c r="BD28" s="49">
        <f t="shared" si="13"/>
        <v>0.60313572670987103</v>
      </c>
      <c r="BE28" s="77" t="s">
        <v>31</v>
      </c>
      <c r="BF28" s="48">
        <v>0</v>
      </c>
      <c r="BG28" s="48">
        <f t="shared" si="14"/>
        <v>0</v>
      </c>
      <c r="BH28" s="2" t="s">
        <v>31</v>
      </c>
      <c r="BI28" s="48">
        <v>0</v>
      </c>
      <c r="BJ28" s="76">
        <f t="shared" si="15"/>
        <v>0</v>
      </c>
      <c r="BK28" s="21" t="s">
        <v>31</v>
      </c>
      <c r="BL28" s="48">
        <v>0</v>
      </c>
      <c r="BM28" s="48">
        <f t="shared" si="16"/>
        <v>0</v>
      </c>
      <c r="BN28" s="3" t="s">
        <v>31</v>
      </c>
      <c r="BO28" s="48">
        <v>0</v>
      </c>
      <c r="BP28" s="48">
        <f t="shared" si="17"/>
        <v>0</v>
      </c>
      <c r="BQ28" s="77" t="s">
        <v>31</v>
      </c>
      <c r="BR28" s="48">
        <v>0</v>
      </c>
      <c r="BS28" s="48">
        <f t="shared" si="18"/>
        <v>0</v>
      </c>
      <c r="BT28" s="2" t="s">
        <v>31</v>
      </c>
      <c r="BU28" s="48">
        <v>0</v>
      </c>
      <c r="BV28" s="76">
        <f t="shared" si="19"/>
        <v>0</v>
      </c>
      <c r="BX28"/>
      <c r="BY28"/>
    </row>
    <row r="29" spans="2:77">
      <c r="B29" s="50" t="s">
        <v>122</v>
      </c>
      <c r="C29" s="124" t="s">
        <v>115</v>
      </c>
      <c r="D29" s="128" t="s">
        <v>518</v>
      </c>
      <c r="E29" s="16">
        <v>0</v>
      </c>
      <c r="F29" s="134">
        <v>0</v>
      </c>
      <c r="G29" s="27">
        <v>0</v>
      </c>
      <c r="H29" s="139">
        <v>1</v>
      </c>
      <c r="I29" s="77" t="s">
        <v>31</v>
      </c>
      <c r="J29" s="48">
        <v>0</v>
      </c>
      <c r="K29" s="48">
        <f t="shared" si="0"/>
        <v>0</v>
      </c>
      <c r="L29" s="2" t="s">
        <v>31</v>
      </c>
      <c r="M29" s="48">
        <v>0</v>
      </c>
      <c r="N29" s="100">
        <f t="shared" si="1"/>
        <v>0</v>
      </c>
      <c r="O29" s="80" t="s">
        <v>31</v>
      </c>
      <c r="P29" s="51">
        <v>0</v>
      </c>
      <c r="Q29" s="48">
        <f t="shared" si="20"/>
        <v>0</v>
      </c>
      <c r="R29" s="2" t="s">
        <v>31</v>
      </c>
      <c r="S29" s="48">
        <v>0</v>
      </c>
      <c r="T29" s="78">
        <f t="shared" si="2"/>
        <v>0</v>
      </c>
      <c r="U29" s="80" t="s">
        <v>31</v>
      </c>
      <c r="V29" s="51">
        <v>0</v>
      </c>
      <c r="W29" s="48">
        <f t="shared" si="21"/>
        <v>0</v>
      </c>
      <c r="X29" s="2" t="s">
        <v>31</v>
      </c>
      <c r="Y29" s="48">
        <v>0</v>
      </c>
      <c r="Z29" s="78">
        <f t="shared" si="3"/>
        <v>0</v>
      </c>
      <c r="AA29" s="80" t="s">
        <v>31</v>
      </c>
      <c r="AB29" s="51">
        <v>0</v>
      </c>
      <c r="AC29" s="22">
        <f t="shared" si="4"/>
        <v>0</v>
      </c>
      <c r="AD29" s="2" t="s">
        <v>31</v>
      </c>
      <c r="AE29" s="48">
        <v>0</v>
      </c>
      <c r="AF29" s="78">
        <f t="shared" si="5"/>
        <v>0</v>
      </c>
      <c r="AG29" s="80" t="s">
        <v>31</v>
      </c>
      <c r="AH29" s="51">
        <v>0</v>
      </c>
      <c r="AI29" s="22">
        <f t="shared" si="6"/>
        <v>0</v>
      </c>
      <c r="AJ29" s="3" t="s">
        <v>31</v>
      </c>
      <c r="AK29" s="48">
        <v>0</v>
      </c>
      <c r="AL29" s="78">
        <f t="shared" si="7"/>
        <v>0</v>
      </c>
      <c r="AM29" s="22" t="s">
        <v>31</v>
      </c>
      <c r="AN29" s="51">
        <v>0</v>
      </c>
      <c r="AO29" s="22">
        <f t="shared" si="8"/>
        <v>0</v>
      </c>
      <c r="AP29" s="2" t="s">
        <v>31</v>
      </c>
      <c r="AQ29" s="48">
        <v>0</v>
      </c>
      <c r="AR29" s="22">
        <f t="shared" si="9"/>
        <v>0</v>
      </c>
      <c r="AS29" s="112">
        <v>19.28</v>
      </c>
      <c r="AT29" s="52">
        <v>5050.5200000000004</v>
      </c>
      <c r="AU29" s="53">
        <f t="shared" si="10"/>
        <v>1.5564293467235344</v>
      </c>
      <c r="AV29" s="34">
        <v>19.03</v>
      </c>
      <c r="AW29" s="49">
        <v>4521.63</v>
      </c>
      <c r="AX29" s="107">
        <f t="shared" si="11"/>
        <v>1.3660360070877753</v>
      </c>
      <c r="AY29" s="53">
        <v>18.940000000000001</v>
      </c>
      <c r="AZ29" s="52">
        <v>4429.18</v>
      </c>
      <c r="BA29" s="53">
        <f t="shared" si="12"/>
        <v>1.6254649993329953</v>
      </c>
      <c r="BB29" s="34">
        <v>18.97</v>
      </c>
      <c r="BC29" s="49">
        <v>1316.78</v>
      </c>
      <c r="BD29" s="53">
        <f t="shared" si="13"/>
        <v>0.44748034291760519</v>
      </c>
      <c r="BE29" s="80" t="s">
        <v>31</v>
      </c>
      <c r="BF29" s="51">
        <v>0</v>
      </c>
      <c r="BG29" s="22">
        <f t="shared" si="14"/>
        <v>0</v>
      </c>
      <c r="BH29" s="2" t="s">
        <v>31</v>
      </c>
      <c r="BI29" s="48">
        <v>0</v>
      </c>
      <c r="BJ29" s="78">
        <f t="shared" si="15"/>
        <v>0</v>
      </c>
      <c r="BK29" s="22" t="s">
        <v>31</v>
      </c>
      <c r="BL29" s="51">
        <v>0</v>
      </c>
      <c r="BM29" s="22">
        <f t="shared" si="16"/>
        <v>0</v>
      </c>
      <c r="BN29" s="3" t="s">
        <v>31</v>
      </c>
      <c r="BO29" s="48">
        <v>0</v>
      </c>
      <c r="BP29" s="22">
        <f t="shared" si="17"/>
        <v>0</v>
      </c>
      <c r="BQ29" s="80" t="s">
        <v>31</v>
      </c>
      <c r="BR29" s="51">
        <v>0</v>
      </c>
      <c r="BS29" s="22">
        <f t="shared" si="18"/>
        <v>0</v>
      </c>
      <c r="BT29" s="2" t="s">
        <v>31</v>
      </c>
      <c r="BU29" s="48">
        <v>0</v>
      </c>
      <c r="BV29" s="78">
        <f t="shared" si="19"/>
        <v>0</v>
      </c>
      <c r="BX29"/>
      <c r="BY29"/>
    </row>
    <row r="30" spans="2:77">
      <c r="B30" s="50">
        <v>852</v>
      </c>
      <c r="C30" s="124" t="s">
        <v>123</v>
      </c>
      <c r="D30" s="128" t="s">
        <v>124</v>
      </c>
      <c r="E30" s="16">
        <v>1</v>
      </c>
      <c r="F30" s="134" t="s">
        <v>109</v>
      </c>
      <c r="G30" s="27">
        <v>0</v>
      </c>
      <c r="H30" s="139">
        <v>1</v>
      </c>
      <c r="I30" s="80">
        <v>14.63</v>
      </c>
      <c r="J30" s="51">
        <v>130.69</v>
      </c>
      <c r="K30" s="22">
        <f t="shared" si="0"/>
        <v>6.1290625146555346E-2</v>
      </c>
      <c r="L30" s="4">
        <v>14.77</v>
      </c>
      <c r="M30" s="51">
        <v>159.56</v>
      </c>
      <c r="N30" s="100">
        <f t="shared" si="1"/>
        <v>7.0918332402259837E-2</v>
      </c>
      <c r="O30" s="80">
        <v>14.91</v>
      </c>
      <c r="P30" s="22">
        <v>124.82</v>
      </c>
      <c r="Q30" s="48">
        <f t="shared" si="20"/>
        <v>5.6485938363713399E-2</v>
      </c>
      <c r="R30" s="2">
        <v>14.54</v>
      </c>
      <c r="S30" s="48">
        <v>148.03</v>
      </c>
      <c r="T30" s="78">
        <f t="shared" si="2"/>
        <v>6.6153440857067591E-2</v>
      </c>
      <c r="U30" s="80">
        <v>14.72</v>
      </c>
      <c r="V30" s="22">
        <v>131.61000000000001</v>
      </c>
      <c r="W30" s="48">
        <f t="shared" si="21"/>
        <v>5.7001379233281427E-2</v>
      </c>
      <c r="X30" s="2">
        <v>14.74</v>
      </c>
      <c r="Y30" s="48">
        <v>161.63</v>
      </c>
      <c r="Z30" s="78">
        <f t="shared" si="3"/>
        <v>5.5358004423913872E-2</v>
      </c>
      <c r="AA30" s="80">
        <v>14.63</v>
      </c>
      <c r="AB30" s="22">
        <v>158.04</v>
      </c>
      <c r="AC30" s="22">
        <f t="shared" si="4"/>
        <v>6.5492039613318481E-2</v>
      </c>
      <c r="AD30" s="2">
        <v>13.6</v>
      </c>
      <c r="AE30" s="48">
        <v>227.96</v>
      </c>
      <c r="AF30" s="78">
        <f t="shared" si="5"/>
        <v>8.1323459028188216E-2</v>
      </c>
      <c r="AG30" s="81">
        <v>15.43</v>
      </c>
      <c r="AH30" s="51">
        <v>129.57</v>
      </c>
      <c r="AI30" s="22">
        <f t="shared" si="6"/>
        <v>6.2179537475804458E-2</v>
      </c>
      <c r="AJ30" s="3">
        <v>14.555999999999999</v>
      </c>
      <c r="AK30" s="48">
        <v>228.67</v>
      </c>
      <c r="AL30" s="76">
        <f t="shared" si="7"/>
        <v>7.1370293721826766E-2</v>
      </c>
      <c r="AM30" s="23">
        <v>15.17</v>
      </c>
      <c r="AN30" s="51">
        <v>142.5</v>
      </c>
      <c r="AO30" s="22">
        <f t="shared" si="8"/>
        <v>5.8876526792290315E-2</v>
      </c>
      <c r="AP30" s="4">
        <v>14.53</v>
      </c>
      <c r="AQ30" s="51">
        <v>119.16</v>
      </c>
      <c r="AR30" s="22">
        <f t="shared" si="9"/>
        <v>4.6206235771156907E-2</v>
      </c>
      <c r="AS30" s="113" t="s">
        <v>31</v>
      </c>
      <c r="AT30" s="55">
        <v>0</v>
      </c>
      <c r="AU30" s="55">
        <f t="shared" si="10"/>
        <v>0</v>
      </c>
      <c r="AV30" s="36" t="s">
        <v>31</v>
      </c>
      <c r="AW30" s="54">
        <v>0</v>
      </c>
      <c r="AX30" s="82">
        <f t="shared" si="11"/>
        <v>0</v>
      </c>
      <c r="AY30" s="55" t="s">
        <v>31</v>
      </c>
      <c r="AZ30" s="55">
        <v>0</v>
      </c>
      <c r="BA30" s="55">
        <f t="shared" si="12"/>
        <v>0</v>
      </c>
      <c r="BB30" s="36" t="s">
        <v>31</v>
      </c>
      <c r="BC30" s="54">
        <v>0</v>
      </c>
      <c r="BD30" s="55">
        <f t="shared" si="13"/>
        <v>0</v>
      </c>
      <c r="BE30" s="81">
        <v>14.85</v>
      </c>
      <c r="BF30" s="22">
        <v>126.1</v>
      </c>
      <c r="BG30" s="22">
        <f t="shared" si="14"/>
        <v>5.4403262435513688E-2</v>
      </c>
      <c r="BH30" s="2">
        <v>14.65</v>
      </c>
      <c r="BI30" s="48">
        <v>135.18</v>
      </c>
      <c r="BJ30" s="78">
        <f t="shared" si="15"/>
        <v>5.4338001907497803E-2</v>
      </c>
      <c r="BK30" s="23">
        <v>14.85</v>
      </c>
      <c r="BL30" s="22">
        <v>125.24</v>
      </c>
      <c r="BM30" s="22">
        <f t="shared" si="16"/>
        <v>5.7133840126249169E-2</v>
      </c>
      <c r="BN30" s="2">
        <v>14.68</v>
      </c>
      <c r="BO30" s="48">
        <v>223.8</v>
      </c>
      <c r="BP30" s="22">
        <f t="shared" si="17"/>
        <v>8.3440784781832561E-2</v>
      </c>
      <c r="BQ30" s="113" t="s">
        <v>31</v>
      </c>
      <c r="BR30" s="55">
        <v>0</v>
      </c>
      <c r="BS30" s="55">
        <f t="shared" si="18"/>
        <v>0</v>
      </c>
      <c r="BT30" s="36" t="s">
        <v>31</v>
      </c>
      <c r="BU30" s="54">
        <v>0</v>
      </c>
      <c r="BV30" s="82">
        <f t="shared" si="19"/>
        <v>0</v>
      </c>
      <c r="BX30"/>
      <c r="BY30"/>
    </row>
    <row r="31" spans="2:77">
      <c r="B31" s="50" t="s">
        <v>125</v>
      </c>
      <c r="C31" s="124" t="s">
        <v>126</v>
      </c>
      <c r="D31" s="128" t="s">
        <v>127</v>
      </c>
      <c r="E31" s="16">
        <v>0</v>
      </c>
      <c r="F31" s="134">
        <v>0</v>
      </c>
      <c r="G31" s="27">
        <v>0</v>
      </c>
      <c r="H31" s="139">
        <v>1</v>
      </c>
      <c r="I31" s="77" t="s">
        <v>132</v>
      </c>
      <c r="J31" s="48">
        <v>509.5</v>
      </c>
      <c r="K31" s="22">
        <f t="shared" si="0"/>
        <v>0.23894386343385068</v>
      </c>
      <c r="L31" s="2" t="s">
        <v>137</v>
      </c>
      <c r="M31" s="48">
        <v>681</v>
      </c>
      <c r="N31" s="100">
        <f t="shared" si="1"/>
        <v>0.30267851821220193</v>
      </c>
      <c r="O31" s="77">
        <v>18.05</v>
      </c>
      <c r="P31" s="48">
        <v>1045.3</v>
      </c>
      <c r="Q31" s="48">
        <f t="shared" si="20"/>
        <v>0.47303918740257672</v>
      </c>
      <c r="R31" s="2" t="s">
        <v>62</v>
      </c>
      <c r="S31" s="48">
        <v>906.6</v>
      </c>
      <c r="T31" s="78">
        <f t="shared" si="2"/>
        <v>0.40515239803430037</v>
      </c>
      <c r="U31" s="77">
        <v>17.850000000000001</v>
      </c>
      <c r="V31" s="48">
        <v>1194.8900000000001</v>
      </c>
      <c r="W31" s="48">
        <f t="shared" si="21"/>
        <v>0.51751673909319684</v>
      </c>
      <c r="X31" s="2" t="s">
        <v>135</v>
      </c>
      <c r="Y31" s="48">
        <v>1457.7</v>
      </c>
      <c r="Z31" s="78">
        <f t="shared" si="3"/>
        <v>0.49925980974286494</v>
      </c>
      <c r="AA31" s="77">
        <v>17.78</v>
      </c>
      <c r="AB31" s="48">
        <v>1316.35</v>
      </c>
      <c r="AC31" s="22">
        <f t="shared" si="4"/>
        <v>0.54549763569344323</v>
      </c>
      <c r="AD31" s="2" t="s">
        <v>136</v>
      </c>
      <c r="AE31" s="48">
        <v>526.4</v>
      </c>
      <c r="AF31" s="78">
        <f t="shared" si="5"/>
        <v>0.18779026510106281</v>
      </c>
      <c r="AG31" s="77" t="s">
        <v>128</v>
      </c>
      <c r="AH31" s="48">
        <v>1100.2</v>
      </c>
      <c r="AI31" s="22">
        <f t="shared" si="6"/>
        <v>0.52797659281376919</v>
      </c>
      <c r="AJ31" s="3">
        <v>17.59</v>
      </c>
      <c r="AK31" s="48">
        <v>1313.94</v>
      </c>
      <c r="AL31" s="76">
        <f t="shared" si="7"/>
        <v>0.41009438812637011</v>
      </c>
      <c r="AM31" s="21" t="s">
        <v>129</v>
      </c>
      <c r="AN31" s="48">
        <v>593.29999999999995</v>
      </c>
      <c r="AO31" s="22">
        <f t="shared" si="8"/>
        <v>0.24513293576046202</v>
      </c>
      <c r="AP31" s="2" t="s">
        <v>130</v>
      </c>
      <c r="AQ31" s="48">
        <v>771</v>
      </c>
      <c r="AR31" s="22">
        <f t="shared" si="9"/>
        <v>0.29896783970763663</v>
      </c>
      <c r="AS31" s="114">
        <v>18.25</v>
      </c>
      <c r="AT31" s="56">
        <v>9279.32</v>
      </c>
      <c r="AU31" s="57">
        <f t="shared" si="10"/>
        <v>2.8596275166989984</v>
      </c>
      <c r="AV31" s="6">
        <v>17.920000000000002</v>
      </c>
      <c r="AW31" s="56">
        <v>7032.87</v>
      </c>
      <c r="AX31" s="115">
        <f t="shared" si="11"/>
        <v>2.1247102600538748</v>
      </c>
      <c r="AY31" s="111">
        <v>17.920000000000002</v>
      </c>
      <c r="AZ31" s="56">
        <v>6718.44</v>
      </c>
      <c r="BA31" s="57">
        <f t="shared" si="12"/>
        <v>2.4656006461960831</v>
      </c>
      <c r="BB31" s="6">
        <v>17.95</v>
      </c>
      <c r="BC31" s="56">
        <v>7723.18</v>
      </c>
      <c r="BD31" s="57">
        <f t="shared" si="13"/>
        <v>2.6245623679083749</v>
      </c>
      <c r="BE31" s="77" t="s">
        <v>131</v>
      </c>
      <c r="BF31" s="48">
        <v>862.3</v>
      </c>
      <c r="BG31" s="22">
        <f t="shared" si="14"/>
        <v>0.3720216748464984</v>
      </c>
      <c r="BH31" s="2" t="s">
        <v>132</v>
      </c>
      <c r="BI31" s="48">
        <v>883.58</v>
      </c>
      <c r="BJ31" s="78">
        <f t="shared" si="15"/>
        <v>0.35517067410435649</v>
      </c>
      <c r="BK31" s="21">
        <v>17.89</v>
      </c>
      <c r="BL31" s="48">
        <v>1282.27</v>
      </c>
      <c r="BM31" s="22">
        <f t="shared" si="16"/>
        <v>0.58496494074325711</v>
      </c>
      <c r="BN31" s="2">
        <v>17.79</v>
      </c>
      <c r="BO31" s="48">
        <v>1367.74</v>
      </c>
      <c r="BP31" s="22">
        <f t="shared" si="17"/>
        <v>0.5099432483355838</v>
      </c>
      <c r="BQ31" s="87" t="s">
        <v>133</v>
      </c>
      <c r="BR31" s="58">
        <v>691.1</v>
      </c>
      <c r="BS31" s="24">
        <f t="shared" si="18"/>
        <v>0.27729691401556755</v>
      </c>
      <c r="BT31" s="2" t="s">
        <v>134</v>
      </c>
      <c r="BU31" s="48">
        <v>659.9</v>
      </c>
      <c r="BV31" s="83">
        <f t="shared" si="19"/>
        <v>0.2586901383414803</v>
      </c>
      <c r="BX31"/>
      <c r="BY31"/>
    </row>
    <row r="32" spans="2:77">
      <c r="B32" s="50" t="s">
        <v>138</v>
      </c>
      <c r="C32" s="124" t="s">
        <v>126</v>
      </c>
      <c r="D32" s="128" t="s">
        <v>408</v>
      </c>
      <c r="E32" s="16">
        <v>0</v>
      </c>
      <c r="F32" s="134">
        <v>0</v>
      </c>
      <c r="G32" s="27">
        <v>0</v>
      </c>
      <c r="H32" s="139">
        <v>1</v>
      </c>
      <c r="I32" s="77">
        <v>18.809999999999999</v>
      </c>
      <c r="J32" s="48">
        <v>1463.6</v>
      </c>
      <c r="K32" s="48">
        <f t="shared" si="0"/>
        <v>0.68639497256483584</v>
      </c>
      <c r="L32" s="2">
        <v>18.93</v>
      </c>
      <c r="M32" s="48">
        <v>1738.61</v>
      </c>
      <c r="N32" s="100">
        <f t="shared" si="1"/>
        <v>0.77274581284716071</v>
      </c>
      <c r="O32" s="77">
        <v>18.97</v>
      </c>
      <c r="P32" s="48">
        <v>7570</v>
      </c>
      <c r="Q32" s="48">
        <f t="shared" si="20"/>
        <v>3.4257214662178375</v>
      </c>
      <c r="R32" s="2">
        <v>18.71</v>
      </c>
      <c r="S32" s="48">
        <v>5679.2</v>
      </c>
      <c r="T32" s="76">
        <f t="shared" si="2"/>
        <v>2.5379897406975491</v>
      </c>
      <c r="U32" s="77">
        <v>18.87</v>
      </c>
      <c r="V32" s="48">
        <v>6653.74</v>
      </c>
      <c r="W32" s="48">
        <f t="shared" si="21"/>
        <v>2.8817898112579128</v>
      </c>
      <c r="X32" s="2">
        <v>18.88</v>
      </c>
      <c r="Y32" s="48">
        <v>6864.36</v>
      </c>
      <c r="Z32" s="76">
        <f t="shared" si="3"/>
        <v>2.3510318087442768</v>
      </c>
      <c r="AA32" s="77">
        <v>18.71</v>
      </c>
      <c r="AB32" s="48">
        <v>5992.45</v>
      </c>
      <c r="AC32" s="48">
        <f t="shared" si="4"/>
        <v>2.4832812755051275</v>
      </c>
      <c r="AD32" s="2" t="s">
        <v>133</v>
      </c>
      <c r="AE32" s="48">
        <v>1570.36</v>
      </c>
      <c r="AF32" s="76">
        <f t="shared" si="5"/>
        <v>0.5602171745898652</v>
      </c>
      <c r="AG32" s="77">
        <v>19.309999999999999</v>
      </c>
      <c r="AH32" s="48">
        <v>2743.32</v>
      </c>
      <c r="AI32" s="48">
        <f t="shared" si="6"/>
        <v>1.3164958612960092</v>
      </c>
      <c r="AJ32" s="3">
        <v>18.61</v>
      </c>
      <c r="AK32" s="48">
        <v>5001</v>
      </c>
      <c r="AL32" s="76">
        <f t="shared" si="7"/>
        <v>1.5608642974717086</v>
      </c>
      <c r="AM32" s="21">
        <v>19.04</v>
      </c>
      <c r="AN32" s="48">
        <v>2153.94</v>
      </c>
      <c r="AO32" s="48">
        <f t="shared" si="8"/>
        <v>0.88994039381744428</v>
      </c>
      <c r="AP32" s="4">
        <v>18.78</v>
      </c>
      <c r="AQ32" s="51">
        <v>3122.7</v>
      </c>
      <c r="AR32" s="48">
        <f t="shared" si="9"/>
        <v>1.2108779157652876</v>
      </c>
      <c r="AS32" s="114">
        <v>19.18</v>
      </c>
      <c r="AT32" s="56">
        <v>10030.280000000001</v>
      </c>
      <c r="AU32" s="56">
        <f t="shared" si="10"/>
        <v>3.0910524357599085</v>
      </c>
      <c r="AV32" s="6">
        <v>18.940000000000001</v>
      </c>
      <c r="AW32" s="56">
        <v>12171.98</v>
      </c>
      <c r="AX32" s="116">
        <f t="shared" si="11"/>
        <v>3.6772940195354904</v>
      </c>
      <c r="AY32" s="111">
        <v>18.84</v>
      </c>
      <c r="AZ32" s="56">
        <v>8459.67</v>
      </c>
      <c r="BA32" s="56">
        <f t="shared" si="12"/>
        <v>3.1046147347606916</v>
      </c>
      <c r="BB32" s="6">
        <v>18.87</v>
      </c>
      <c r="BC32" s="56">
        <v>8255.7199999999993</v>
      </c>
      <c r="BD32" s="56">
        <f t="shared" si="13"/>
        <v>2.8055350298696298</v>
      </c>
      <c r="BE32" s="77">
        <v>18.920000000000002</v>
      </c>
      <c r="BF32" s="48">
        <v>1607.48</v>
      </c>
      <c r="BG32" s="48">
        <f t="shared" si="14"/>
        <v>0.6935143243444849</v>
      </c>
      <c r="BH32" s="2">
        <v>18.809999999999999</v>
      </c>
      <c r="BI32" s="48">
        <v>1963.54</v>
      </c>
      <c r="BJ32" s="76">
        <f t="shared" si="15"/>
        <v>0.78927977707832686</v>
      </c>
      <c r="BK32" s="21">
        <v>18.91</v>
      </c>
      <c r="BL32" s="48">
        <v>3179.1</v>
      </c>
      <c r="BM32" s="48">
        <f t="shared" si="16"/>
        <v>1.4502889743321523</v>
      </c>
      <c r="BN32" s="2">
        <v>18.8</v>
      </c>
      <c r="BO32" s="48">
        <v>3277.18</v>
      </c>
      <c r="BP32" s="48">
        <f t="shared" si="17"/>
        <v>1.2218519708280875</v>
      </c>
      <c r="BQ32" s="77" t="s">
        <v>139</v>
      </c>
      <c r="BR32" s="48">
        <v>1571.2</v>
      </c>
      <c r="BS32" s="48">
        <f t="shared" si="18"/>
        <v>0.6304281743615392</v>
      </c>
      <c r="BT32" s="2">
        <v>18.809999999999999</v>
      </c>
      <c r="BU32" s="48">
        <v>1611.9</v>
      </c>
      <c r="BV32" s="76">
        <f t="shared" si="19"/>
        <v>0.63188761023281126</v>
      </c>
      <c r="BX32"/>
      <c r="BY32"/>
    </row>
    <row r="33" spans="1:77">
      <c r="B33" s="50" t="s">
        <v>140</v>
      </c>
      <c r="C33" s="124" t="s">
        <v>126</v>
      </c>
      <c r="D33" s="128" t="s">
        <v>141</v>
      </c>
      <c r="E33" s="16">
        <v>0</v>
      </c>
      <c r="F33" s="134">
        <v>0</v>
      </c>
      <c r="G33" s="27">
        <v>0</v>
      </c>
      <c r="H33" s="139">
        <v>1</v>
      </c>
      <c r="I33" s="77">
        <v>19.62</v>
      </c>
      <c r="J33" s="48">
        <v>1528.56</v>
      </c>
      <c r="K33" s="48">
        <f t="shared" si="0"/>
        <v>0.71685972893120076</v>
      </c>
      <c r="L33" s="2">
        <v>19.739999999999998</v>
      </c>
      <c r="M33" s="48">
        <v>1688.46</v>
      </c>
      <c r="N33" s="100">
        <f t="shared" si="1"/>
        <v>0.75045605119027103</v>
      </c>
      <c r="O33" s="77" t="s">
        <v>147</v>
      </c>
      <c r="P33" s="48">
        <v>1324.2</v>
      </c>
      <c r="Q33" s="48">
        <f t="shared" si="20"/>
        <v>0.59925236004830396</v>
      </c>
      <c r="R33" s="2" t="s">
        <v>148</v>
      </c>
      <c r="S33" s="48">
        <v>891.3</v>
      </c>
      <c r="T33" s="76">
        <f t="shared" si="2"/>
        <v>0.39831494856383393</v>
      </c>
      <c r="U33" s="77" t="s">
        <v>149</v>
      </c>
      <c r="V33" s="48">
        <v>1039.9000000000001</v>
      </c>
      <c r="W33" s="48">
        <f t="shared" si="21"/>
        <v>0.45038928853954374</v>
      </c>
      <c r="X33" s="2" t="s">
        <v>150</v>
      </c>
      <c r="Y33" s="48">
        <v>2696.5</v>
      </c>
      <c r="Z33" s="76">
        <f t="shared" si="3"/>
        <v>0.92354673593444148</v>
      </c>
      <c r="AA33" s="77" t="s">
        <v>146</v>
      </c>
      <c r="AB33" s="48">
        <v>471.6</v>
      </c>
      <c r="AC33" s="48">
        <f t="shared" si="4"/>
        <v>0.19543182663655403</v>
      </c>
      <c r="AD33" s="2">
        <v>18.850000000000001</v>
      </c>
      <c r="AE33" s="48">
        <v>5180.13</v>
      </c>
      <c r="AF33" s="76">
        <f t="shared" si="5"/>
        <v>1.8479824961207609</v>
      </c>
      <c r="AG33" s="77" t="s">
        <v>142</v>
      </c>
      <c r="AH33" s="48">
        <v>411</v>
      </c>
      <c r="AI33" s="48">
        <f t="shared" si="6"/>
        <v>0.19723539324346404</v>
      </c>
      <c r="AJ33" s="3" t="s">
        <v>143</v>
      </c>
      <c r="AK33" s="48">
        <v>189.5</v>
      </c>
      <c r="AL33" s="76">
        <f t="shared" si="7"/>
        <v>5.9144927888600041E-2</v>
      </c>
      <c r="AM33" s="110" t="s">
        <v>31</v>
      </c>
      <c r="AN33" s="59">
        <v>0</v>
      </c>
      <c r="AO33" s="59">
        <f t="shared" si="8"/>
        <v>0</v>
      </c>
      <c r="AP33" s="36" t="s">
        <v>31</v>
      </c>
      <c r="AQ33" s="54">
        <v>0</v>
      </c>
      <c r="AR33" s="54">
        <f t="shared" si="9"/>
        <v>0</v>
      </c>
      <c r="AS33" s="114">
        <v>19.98</v>
      </c>
      <c r="AT33" s="56">
        <v>22233.27</v>
      </c>
      <c r="AU33" s="56">
        <f t="shared" si="10"/>
        <v>6.8516734715688585</v>
      </c>
      <c r="AV33" s="6">
        <v>19.63</v>
      </c>
      <c r="AW33" s="56">
        <v>24788.49</v>
      </c>
      <c r="AX33" s="116">
        <f t="shared" si="11"/>
        <v>7.488885623400245</v>
      </c>
      <c r="AY33" s="111">
        <v>19.649999999999999</v>
      </c>
      <c r="AZ33" s="56">
        <v>19077.689999999999</v>
      </c>
      <c r="BA33" s="56">
        <f t="shared" si="12"/>
        <v>7.0013224486530437</v>
      </c>
      <c r="BB33" s="6">
        <v>19.559999999999999</v>
      </c>
      <c r="BC33" s="56">
        <v>19779.05</v>
      </c>
      <c r="BD33" s="56">
        <f t="shared" si="13"/>
        <v>6.7214994734006117</v>
      </c>
      <c r="BE33" s="77" t="s">
        <v>144</v>
      </c>
      <c r="BF33" s="48">
        <v>1190.3900000000001</v>
      </c>
      <c r="BG33" s="48">
        <f t="shared" si="14"/>
        <v>0.51356938596836754</v>
      </c>
      <c r="BH33" s="2">
        <v>19.61</v>
      </c>
      <c r="BI33" s="48">
        <v>1726.02</v>
      </c>
      <c r="BJ33" s="76">
        <f t="shared" si="15"/>
        <v>0.69380439452862375</v>
      </c>
      <c r="BK33" s="21">
        <v>19.73</v>
      </c>
      <c r="BL33" s="48">
        <v>1973.42</v>
      </c>
      <c r="BM33" s="48">
        <f t="shared" si="16"/>
        <v>0.90026399538440316</v>
      </c>
      <c r="BN33" s="2">
        <v>19.61</v>
      </c>
      <c r="BO33" s="48">
        <v>2881.34</v>
      </c>
      <c r="BP33" s="48">
        <f t="shared" si="17"/>
        <v>1.0742684129726783</v>
      </c>
      <c r="BQ33" s="87" t="s">
        <v>145</v>
      </c>
      <c r="BR33" s="58">
        <v>791</v>
      </c>
      <c r="BS33" s="58">
        <f t="shared" si="18"/>
        <v>0.3173807827902097</v>
      </c>
      <c r="BT33" s="2" t="s">
        <v>146</v>
      </c>
      <c r="BU33" s="48">
        <v>1024.6300000000001</v>
      </c>
      <c r="BV33" s="84">
        <f t="shared" si="19"/>
        <v>0.40166945968909079</v>
      </c>
      <c r="BX33"/>
      <c r="BY33"/>
    </row>
    <row r="34" spans="1:77">
      <c r="B34" s="50" t="s">
        <v>152</v>
      </c>
      <c r="C34" s="124" t="s">
        <v>153</v>
      </c>
      <c r="D34" s="128" t="s">
        <v>519</v>
      </c>
      <c r="E34" s="16">
        <v>0</v>
      </c>
      <c r="F34" s="134">
        <v>0</v>
      </c>
      <c r="G34" s="27">
        <v>0</v>
      </c>
      <c r="H34" s="139">
        <v>0</v>
      </c>
      <c r="I34" s="77" t="s">
        <v>31</v>
      </c>
      <c r="J34" s="48">
        <v>0</v>
      </c>
      <c r="K34" s="22">
        <f t="shared" si="0"/>
        <v>0</v>
      </c>
      <c r="L34" s="2" t="s">
        <v>31</v>
      </c>
      <c r="M34" s="48">
        <v>0</v>
      </c>
      <c r="N34" s="100">
        <f t="shared" si="1"/>
        <v>0</v>
      </c>
      <c r="O34" s="77" t="s">
        <v>31</v>
      </c>
      <c r="P34" s="48">
        <v>0</v>
      </c>
      <c r="Q34" s="48">
        <f t="shared" si="20"/>
        <v>0</v>
      </c>
      <c r="R34" s="2" t="s">
        <v>31</v>
      </c>
      <c r="S34" s="48">
        <v>0</v>
      </c>
      <c r="T34" s="78">
        <f t="shared" si="2"/>
        <v>0</v>
      </c>
      <c r="U34" s="77" t="s">
        <v>31</v>
      </c>
      <c r="V34" s="48">
        <v>0</v>
      </c>
      <c r="W34" s="48">
        <f t="shared" si="21"/>
        <v>0</v>
      </c>
      <c r="X34" s="2" t="s">
        <v>31</v>
      </c>
      <c r="Y34" s="48">
        <v>0</v>
      </c>
      <c r="Z34" s="78">
        <f t="shared" si="3"/>
        <v>0</v>
      </c>
      <c r="AA34" s="77" t="s">
        <v>31</v>
      </c>
      <c r="AB34" s="48">
        <v>0</v>
      </c>
      <c r="AC34" s="22">
        <f t="shared" si="4"/>
        <v>0</v>
      </c>
      <c r="AD34" s="2" t="s">
        <v>31</v>
      </c>
      <c r="AE34" s="48">
        <v>0</v>
      </c>
      <c r="AF34" s="78">
        <f t="shared" si="5"/>
        <v>0</v>
      </c>
      <c r="AG34" s="77" t="s">
        <v>31</v>
      </c>
      <c r="AH34" s="48">
        <v>0</v>
      </c>
      <c r="AI34" s="22">
        <f t="shared" si="6"/>
        <v>0</v>
      </c>
      <c r="AJ34" s="3" t="s">
        <v>31</v>
      </c>
      <c r="AK34" s="48">
        <v>0</v>
      </c>
      <c r="AL34" s="78">
        <f t="shared" si="7"/>
        <v>0</v>
      </c>
      <c r="AM34" s="21" t="s">
        <v>31</v>
      </c>
      <c r="AN34" s="48">
        <v>0</v>
      </c>
      <c r="AO34" s="22">
        <f t="shared" si="8"/>
        <v>0</v>
      </c>
      <c r="AP34" s="4" t="s">
        <v>31</v>
      </c>
      <c r="AQ34" s="51">
        <v>0</v>
      </c>
      <c r="AR34" s="22">
        <f t="shared" si="9"/>
        <v>0</v>
      </c>
      <c r="AS34" s="75">
        <v>16.02</v>
      </c>
      <c r="AT34" s="49">
        <v>370.53</v>
      </c>
      <c r="AU34" s="53">
        <f t="shared" si="10"/>
        <v>0.11418700764306866</v>
      </c>
      <c r="AV34" s="34" t="s">
        <v>154</v>
      </c>
      <c r="AW34" s="49">
        <v>347.9</v>
      </c>
      <c r="AX34" s="107">
        <f t="shared" si="11"/>
        <v>0.10510455894574235</v>
      </c>
      <c r="AY34" s="31">
        <v>15.89</v>
      </c>
      <c r="AZ34" s="49">
        <v>320.37</v>
      </c>
      <c r="BA34" s="53">
        <f t="shared" si="12"/>
        <v>0.11757260301823627</v>
      </c>
      <c r="BB34" s="34">
        <v>15.93</v>
      </c>
      <c r="BC34" s="49">
        <v>393.9</v>
      </c>
      <c r="BD34" s="53">
        <f t="shared" si="13"/>
        <v>0.13385873652033345</v>
      </c>
      <c r="BE34" s="77" t="s">
        <v>31</v>
      </c>
      <c r="BF34" s="48">
        <v>0</v>
      </c>
      <c r="BG34" s="22">
        <f t="shared" si="14"/>
        <v>0</v>
      </c>
      <c r="BH34" s="2" t="s">
        <v>31</v>
      </c>
      <c r="BI34" s="48">
        <v>0</v>
      </c>
      <c r="BJ34" s="78">
        <f t="shared" si="15"/>
        <v>0</v>
      </c>
      <c r="BK34" s="21" t="s">
        <v>31</v>
      </c>
      <c r="BL34" s="48">
        <v>0</v>
      </c>
      <c r="BM34" s="22">
        <f t="shared" si="16"/>
        <v>0</v>
      </c>
      <c r="BN34" s="3" t="s">
        <v>31</v>
      </c>
      <c r="BO34" s="48">
        <v>0</v>
      </c>
      <c r="BP34" s="22">
        <f t="shared" si="17"/>
        <v>0</v>
      </c>
      <c r="BQ34" s="77" t="s">
        <v>31</v>
      </c>
      <c r="BR34" s="48">
        <v>0</v>
      </c>
      <c r="BS34" s="22">
        <f t="shared" si="18"/>
        <v>0</v>
      </c>
      <c r="BT34" s="2" t="s">
        <v>31</v>
      </c>
      <c r="BU34" s="48">
        <v>0</v>
      </c>
      <c r="BV34" s="78">
        <f t="shared" si="19"/>
        <v>0</v>
      </c>
      <c r="BX34"/>
      <c r="BY34"/>
    </row>
    <row r="35" spans="1:77">
      <c r="B35" s="50" t="s">
        <v>155</v>
      </c>
      <c r="C35" s="124" t="s">
        <v>153</v>
      </c>
      <c r="D35" s="128" t="s">
        <v>520</v>
      </c>
      <c r="E35" s="16">
        <v>0</v>
      </c>
      <c r="F35" s="134">
        <v>0</v>
      </c>
      <c r="G35" s="27">
        <v>0</v>
      </c>
      <c r="H35" s="139">
        <v>0</v>
      </c>
      <c r="I35" s="77" t="s">
        <v>156</v>
      </c>
      <c r="J35" s="48">
        <v>1951.3</v>
      </c>
      <c r="K35" s="48">
        <f t="shared" si="0"/>
        <v>0.91511513389297916</v>
      </c>
      <c r="L35" s="2" t="s">
        <v>158</v>
      </c>
      <c r="M35" s="48">
        <v>2732.49</v>
      </c>
      <c r="N35" s="100">
        <f t="shared" si="1"/>
        <v>1.2144875539348894</v>
      </c>
      <c r="O35" s="77">
        <v>17.649999999999999</v>
      </c>
      <c r="P35" s="48">
        <v>2531.29</v>
      </c>
      <c r="Q35" s="48">
        <f t="shared" si="20"/>
        <v>1.1455078586819749</v>
      </c>
      <c r="R35" s="2">
        <v>17.38</v>
      </c>
      <c r="S35" s="48">
        <v>2698.28</v>
      </c>
      <c r="T35" s="76">
        <f t="shared" si="2"/>
        <v>1.2058400756320229</v>
      </c>
      <c r="U35" s="77">
        <v>17.55</v>
      </c>
      <c r="V35" s="48">
        <v>2983.04</v>
      </c>
      <c r="W35" s="48">
        <f t="shared" si="21"/>
        <v>1.2919792896288109</v>
      </c>
      <c r="X35" s="2">
        <v>17.559999999999999</v>
      </c>
      <c r="Y35" s="48">
        <v>3910.71</v>
      </c>
      <c r="Z35" s="76">
        <f t="shared" si="3"/>
        <v>1.3394116282908139</v>
      </c>
      <c r="AA35" s="77">
        <v>17.48</v>
      </c>
      <c r="AB35" s="48">
        <v>2118.9</v>
      </c>
      <c r="AC35" s="48">
        <f t="shared" si="4"/>
        <v>0.87807569436003874</v>
      </c>
      <c r="AD35" s="2" t="s">
        <v>157</v>
      </c>
      <c r="AE35" s="48">
        <v>3113.67</v>
      </c>
      <c r="AF35" s="76">
        <f t="shared" si="5"/>
        <v>1.1107844124947308</v>
      </c>
      <c r="AG35" s="77">
        <v>18.079999999999998</v>
      </c>
      <c r="AH35" s="48">
        <v>2232.64</v>
      </c>
      <c r="AI35" s="48">
        <f t="shared" si="6"/>
        <v>1.0714248865476581</v>
      </c>
      <c r="AJ35" s="3">
        <v>17.29</v>
      </c>
      <c r="AK35" s="48">
        <v>4593.5</v>
      </c>
      <c r="AL35" s="76">
        <f t="shared" si="7"/>
        <v>1.4336792942284131</v>
      </c>
      <c r="AM35" s="21">
        <v>17.82</v>
      </c>
      <c r="AN35" s="48">
        <v>1905.63</v>
      </c>
      <c r="AO35" s="48">
        <f t="shared" si="8"/>
        <v>0.78734649649959443</v>
      </c>
      <c r="AP35" s="2">
        <v>17.46</v>
      </c>
      <c r="AQ35" s="48">
        <v>2999.9</v>
      </c>
      <c r="AR35" s="48">
        <f t="shared" si="9"/>
        <v>1.1632602105563412</v>
      </c>
      <c r="AS35" s="77">
        <v>17.940000000000001</v>
      </c>
      <c r="AT35" s="48">
        <v>3546.67</v>
      </c>
      <c r="AU35" s="48">
        <f t="shared" si="10"/>
        <v>1.0929847364516836</v>
      </c>
      <c r="AV35" s="2">
        <v>17.62</v>
      </c>
      <c r="AW35" s="48">
        <v>3515.75</v>
      </c>
      <c r="AX35" s="76">
        <f t="shared" si="11"/>
        <v>1.0621481837122553</v>
      </c>
      <c r="AY35" s="21">
        <v>17.71</v>
      </c>
      <c r="AZ35" s="48">
        <v>2439.25</v>
      </c>
      <c r="BA35" s="48">
        <f t="shared" si="12"/>
        <v>0.89518048479018886</v>
      </c>
      <c r="BB35" s="2">
        <v>17.64</v>
      </c>
      <c r="BC35" s="48">
        <v>3686.9</v>
      </c>
      <c r="BD35" s="48">
        <f t="shared" si="13"/>
        <v>1.2529164145133724</v>
      </c>
      <c r="BE35" s="77">
        <v>17.59</v>
      </c>
      <c r="BF35" s="48">
        <v>2632.6</v>
      </c>
      <c r="BG35" s="48">
        <f t="shared" si="14"/>
        <v>1.1357813535902723</v>
      </c>
      <c r="BH35" s="2">
        <v>17.48</v>
      </c>
      <c r="BI35" s="48">
        <v>3588.02</v>
      </c>
      <c r="BJ35" s="76">
        <f t="shared" si="15"/>
        <v>1.4422683651734003</v>
      </c>
      <c r="BK35" s="21">
        <v>17.59</v>
      </c>
      <c r="BL35" s="48">
        <v>2382.2199999999998</v>
      </c>
      <c r="BM35" s="48">
        <f t="shared" si="16"/>
        <v>1.0867564406384007</v>
      </c>
      <c r="BN35" s="2">
        <v>17.48</v>
      </c>
      <c r="BO35" s="48">
        <v>3880.26</v>
      </c>
      <c r="BP35" s="48">
        <f t="shared" si="17"/>
        <v>1.4467021427951456</v>
      </c>
      <c r="BQ35" s="77">
        <v>17.43</v>
      </c>
      <c r="BR35" s="48">
        <v>3034.21</v>
      </c>
      <c r="BS35" s="48">
        <f t="shared" si="18"/>
        <v>1.217446200948018</v>
      </c>
      <c r="BT35" s="2" t="s">
        <v>156</v>
      </c>
      <c r="BU35" s="48">
        <v>3399.04</v>
      </c>
      <c r="BV35" s="76">
        <f t="shared" si="19"/>
        <v>1.3324717803125097</v>
      </c>
      <c r="BX35"/>
      <c r="BY35"/>
    </row>
    <row r="36" spans="1:77">
      <c r="B36" s="50">
        <v>909</v>
      </c>
      <c r="C36" s="124" t="s">
        <v>159</v>
      </c>
      <c r="D36" s="128" t="s">
        <v>160</v>
      </c>
      <c r="E36" s="16">
        <v>0</v>
      </c>
      <c r="F36" s="134">
        <v>0</v>
      </c>
      <c r="G36" s="27">
        <v>0</v>
      </c>
      <c r="H36" s="139">
        <v>1</v>
      </c>
      <c r="I36" s="77" t="s">
        <v>31</v>
      </c>
      <c r="J36" s="48">
        <v>0</v>
      </c>
      <c r="K36" s="22">
        <f t="shared" si="0"/>
        <v>0</v>
      </c>
      <c r="L36" s="2" t="s">
        <v>31</v>
      </c>
      <c r="M36" s="48">
        <v>0</v>
      </c>
      <c r="N36" s="100">
        <f t="shared" si="1"/>
        <v>0</v>
      </c>
      <c r="O36" s="80" t="s">
        <v>31</v>
      </c>
      <c r="P36" s="51">
        <v>0</v>
      </c>
      <c r="Q36" s="48">
        <f t="shared" si="20"/>
        <v>0</v>
      </c>
      <c r="R36" s="2" t="s">
        <v>31</v>
      </c>
      <c r="S36" s="48">
        <v>0</v>
      </c>
      <c r="T36" s="78">
        <f t="shared" si="2"/>
        <v>0</v>
      </c>
      <c r="U36" s="80" t="s">
        <v>31</v>
      </c>
      <c r="V36" s="51">
        <v>0</v>
      </c>
      <c r="W36" s="48">
        <f t="shared" si="21"/>
        <v>0</v>
      </c>
      <c r="X36" s="2" t="s">
        <v>31</v>
      </c>
      <c r="Y36" s="48">
        <v>0</v>
      </c>
      <c r="Z36" s="78">
        <f t="shared" si="3"/>
        <v>0</v>
      </c>
      <c r="AA36" s="80" t="s">
        <v>31</v>
      </c>
      <c r="AB36" s="51">
        <v>0</v>
      </c>
      <c r="AC36" s="22">
        <f t="shared" si="4"/>
        <v>0</v>
      </c>
      <c r="AD36" s="2" t="s">
        <v>31</v>
      </c>
      <c r="AE36" s="48">
        <v>0</v>
      </c>
      <c r="AF36" s="78">
        <f t="shared" si="5"/>
        <v>0</v>
      </c>
      <c r="AG36" s="80" t="s">
        <v>31</v>
      </c>
      <c r="AH36" s="51">
        <v>0</v>
      </c>
      <c r="AI36" s="22">
        <f t="shared" si="6"/>
        <v>0</v>
      </c>
      <c r="AJ36" s="3" t="s">
        <v>31</v>
      </c>
      <c r="AK36" s="48">
        <v>0</v>
      </c>
      <c r="AL36" s="78">
        <f t="shared" si="7"/>
        <v>0</v>
      </c>
      <c r="AM36" s="22" t="s">
        <v>31</v>
      </c>
      <c r="AN36" s="51">
        <v>0</v>
      </c>
      <c r="AO36" s="22">
        <f t="shared" si="8"/>
        <v>0</v>
      </c>
      <c r="AP36" s="4" t="s">
        <v>31</v>
      </c>
      <c r="AQ36" s="51">
        <v>0</v>
      </c>
      <c r="AR36" s="22">
        <f t="shared" si="9"/>
        <v>0</v>
      </c>
      <c r="AS36" s="112">
        <v>19.579999999999998</v>
      </c>
      <c r="AT36" s="52">
        <v>3225.97</v>
      </c>
      <c r="AU36" s="53">
        <f t="shared" si="10"/>
        <v>0.99415394447496874</v>
      </c>
      <c r="AV36" s="34">
        <v>18.739999999999998</v>
      </c>
      <c r="AW36" s="49">
        <v>2218.5300000000002</v>
      </c>
      <c r="AX36" s="107">
        <f t="shared" si="11"/>
        <v>0.67024322264414438</v>
      </c>
      <c r="AY36" s="22" t="s">
        <v>31</v>
      </c>
      <c r="AZ36" s="51">
        <v>0</v>
      </c>
      <c r="BA36" s="22">
        <f t="shared" si="12"/>
        <v>0</v>
      </c>
      <c r="BB36" s="2" t="s">
        <v>31</v>
      </c>
      <c r="BC36" s="48">
        <v>0</v>
      </c>
      <c r="BD36" s="22">
        <f t="shared" si="13"/>
        <v>0</v>
      </c>
      <c r="BE36" s="80" t="s">
        <v>31</v>
      </c>
      <c r="BF36" s="51">
        <v>0</v>
      </c>
      <c r="BG36" s="22">
        <f t="shared" si="14"/>
        <v>0</v>
      </c>
      <c r="BH36" s="2" t="s">
        <v>31</v>
      </c>
      <c r="BI36" s="48">
        <v>0</v>
      </c>
      <c r="BJ36" s="78">
        <f t="shared" si="15"/>
        <v>0</v>
      </c>
      <c r="BK36" s="22" t="s">
        <v>31</v>
      </c>
      <c r="BL36" s="51">
        <v>0</v>
      </c>
      <c r="BM36" s="22">
        <f t="shared" si="16"/>
        <v>0</v>
      </c>
      <c r="BN36" s="3" t="s">
        <v>31</v>
      </c>
      <c r="BO36" s="48">
        <v>0</v>
      </c>
      <c r="BP36" s="22">
        <f t="shared" si="17"/>
        <v>0</v>
      </c>
      <c r="BQ36" s="80" t="s">
        <v>31</v>
      </c>
      <c r="BR36" s="51">
        <v>0</v>
      </c>
      <c r="BS36" s="22">
        <f t="shared" si="18"/>
        <v>0</v>
      </c>
      <c r="BT36" s="2" t="s">
        <v>31</v>
      </c>
      <c r="BU36" s="48">
        <v>0</v>
      </c>
      <c r="BV36" s="78">
        <f t="shared" si="19"/>
        <v>0</v>
      </c>
      <c r="BX36"/>
      <c r="BY36"/>
    </row>
    <row r="37" spans="1:77" s="9" customFormat="1">
      <c r="A37" s="13"/>
      <c r="B37" s="50">
        <v>933</v>
      </c>
      <c r="C37" s="124" t="s">
        <v>161</v>
      </c>
      <c r="D37" s="128" t="s">
        <v>162</v>
      </c>
      <c r="E37" s="16">
        <v>0</v>
      </c>
      <c r="F37" s="134">
        <v>0</v>
      </c>
      <c r="G37" s="16">
        <v>0</v>
      </c>
      <c r="H37" s="140">
        <v>1</v>
      </c>
      <c r="I37" s="85" t="s">
        <v>164</v>
      </c>
      <c r="J37" s="58">
        <v>924.1</v>
      </c>
      <c r="K37" s="24">
        <f t="shared" si="0"/>
        <v>0.43338179430661716</v>
      </c>
      <c r="L37" s="8" t="s">
        <v>165</v>
      </c>
      <c r="M37" s="58">
        <v>928.7</v>
      </c>
      <c r="N37" s="58">
        <f t="shared" si="1"/>
        <v>0.41277171786148603</v>
      </c>
      <c r="O37" s="85" t="s">
        <v>405</v>
      </c>
      <c r="P37" s="58">
        <v>822.5</v>
      </c>
      <c r="Q37" s="48">
        <f t="shared" si="20"/>
        <v>0.37221346181825254</v>
      </c>
      <c r="R37" s="5" t="s">
        <v>62</v>
      </c>
      <c r="S37" s="58">
        <v>682.5</v>
      </c>
      <c r="T37" s="83">
        <f t="shared" si="2"/>
        <v>0.3050038734374696</v>
      </c>
      <c r="U37" s="85">
        <v>17.350000000000001</v>
      </c>
      <c r="V37" s="58">
        <v>1709.1</v>
      </c>
      <c r="W37" s="48">
        <f t="shared" si="21"/>
        <v>0.74022534190108091</v>
      </c>
      <c r="X37" s="5" t="s">
        <v>163</v>
      </c>
      <c r="Y37" s="58">
        <v>1656.11</v>
      </c>
      <c r="Z37" s="83">
        <f t="shared" si="3"/>
        <v>0.56721490259535978</v>
      </c>
      <c r="AA37" s="85" t="s">
        <v>164</v>
      </c>
      <c r="AB37" s="58">
        <v>725.25</v>
      </c>
      <c r="AC37" s="24">
        <f t="shared" si="4"/>
        <v>0.3005448097289245</v>
      </c>
      <c r="AD37" s="5" t="s">
        <v>136</v>
      </c>
      <c r="AE37" s="58">
        <v>1067.4000000000001</v>
      </c>
      <c r="AF37" s="83">
        <f t="shared" si="5"/>
        <v>0.38078899880105332</v>
      </c>
      <c r="AG37" s="85" t="s">
        <v>337</v>
      </c>
      <c r="AH37" s="58">
        <v>790.9</v>
      </c>
      <c r="AI37" s="24">
        <f t="shared" si="6"/>
        <v>0.37954616184003814</v>
      </c>
      <c r="AJ37" s="7" t="s">
        <v>489</v>
      </c>
      <c r="AK37" s="58">
        <v>1109.7</v>
      </c>
      <c r="AL37" s="83">
        <f t="shared" si="7"/>
        <v>0.34634895239039293</v>
      </c>
      <c r="AM37" s="24" t="s">
        <v>507</v>
      </c>
      <c r="AN37" s="58">
        <v>920</v>
      </c>
      <c r="AO37" s="24">
        <f t="shared" si="8"/>
        <v>0.38011512034320766</v>
      </c>
      <c r="AP37" s="5">
        <v>17.260000000000002</v>
      </c>
      <c r="AQ37" s="58">
        <v>1176.5899999999999</v>
      </c>
      <c r="AR37" s="24">
        <f t="shared" si="9"/>
        <v>0.45624198511233216</v>
      </c>
      <c r="AS37" s="85">
        <v>18.05</v>
      </c>
      <c r="AT37" s="58">
        <v>3659.96</v>
      </c>
      <c r="AU37" s="24">
        <f t="shared" si="10"/>
        <v>1.1278975534864264</v>
      </c>
      <c r="AV37" s="5">
        <v>17.510000000000002</v>
      </c>
      <c r="AW37" s="58">
        <v>4161.29</v>
      </c>
      <c r="AX37" s="83">
        <f t="shared" si="11"/>
        <v>1.2571731822228462</v>
      </c>
      <c r="AY37" s="24">
        <v>17.71</v>
      </c>
      <c r="AZ37" s="58">
        <v>2031.62</v>
      </c>
      <c r="BA37" s="24">
        <f t="shared" si="12"/>
        <v>0.74558432981836353</v>
      </c>
      <c r="BB37" s="5">
        <v>17.54</v>
      </c>
      <c r="BC37" s="58">
        <v>2791.43</v>
      </c>
      <c r="BD37" s="24">
        <f t="shared" si="13"/>
        <v>0.94860952750686567</v>
      </c>
      <c r="BE37" s="85" t="s">
        <v>156</v>
      </c>
      <c r="BF37" s="58">
        <v>1116.53</v>
      </c>
      <c r="BG37" s="24">
        <f t="shared" si="14"/>
        <v>0.48170400164253846</v>
      </c>
      <c r="BH37" s="5" t="s">
        <v>164</v>
      </c>
      <c r="BI37" s="58">
        <v>1487.51</v>
      </c>
      <c r="BJ37" s="83">
        <f t="shared" si="15"/>
        <v>0.59793106389570982</v>
      </c>
      <c r="BK37" s="24" t="s">
        <v>156</v>
      </c>
      <c r="BL37" s="58">
        <v>772.23</v>
      </c>
      <c r="BM37" s="24">
        <f t="shared" si="16"/>
        <v>0.35228733120962474</v>
      </c>
      <c r="BN37" s="7">
        <v>17.29</v>
      </c>
      <c r="BO37" s="58">
        <v>1105.5</v>
      </c>
      <c r="BP37" s="24">
        <f t="shared" si="17"/>
        <v>0.4121706326019477</v>
      </c>
      <c r="BQ37" s="85" t="s">
        <v>136</v>
      </c>
      <c r="BR37" s="58">
        <v>1407.7</v>
      </c>
      <c r="BS37" s="24">
        <f t="shared" si="18"/>
        <v>0.56482544618682451</v>
      </c>
      <c r="BT37" s="5">
        <v>17.190000000000001</v>
      </c>
      <c r="BU37" s="58">
        <v>1529.4</v>
      </c>
      <c r="BV37" s="83">
        <f t="shared" si="19"/>
        <v>0.59954644276323688</v>
      </c>
    </row>
    <row r="38" spans="1:77">
      <c r="B38" s="50" t="s">
        <v>166</v>
      </c>
      <c r="C38" s="124" t="s">
        <v>167</v>
      </c>
      <c r="D38" s="128" t="s">
        <v>168</v>
      </c>
      <c r="E38" s="16">
        <v>0</v>
      </c>
      <c r="F38" s="134">
        <v>0</v>
      </c>
      <c r="G38" s="27">
        <v>0</v>
      </c>
      <c r="H38" s="139">
        <v>1</v>
      </c>
      <c r="I38" s="80" t="s">
        <v>184</v>
      </c>
      <c r="J38" s="51">
        <v>974.3</v>
      </c>
      <c r="K38" s="22">
        <f t="shared" si="0"/>
        <v>0.45692444777939306</v>
      </c>
      <c r="L38" s="4" t="s">
        <v>186</v>
      </c>
      <c r="M38" s="51">
        <v>1439.3</v>
      </c>
      <c r="N38" s="100">
        <f t="shared" si="1"/>
        <v>0.63971393724349812</v>
      </c>
      <c r="O38" s="80" t="s">
        <v>139</v>
      </c>
      <c r="P38" s="51">
        <v>899.4</v>
      </c>
      <c r="Q38" s="48">
        <f t="shared" si="20"/>
        <v>0.40701372347639675</v>
      </c>
      <c r="R38" s="2" t="s">
        <v>181</v>
      </c>
      <c r="S38" s="48">
        <v>576.9</v>
      </c>
      <c r="T38" s="78">
        <f t="shared" si="2"/>
        <v>0.25781206532758422</v>
      </c>
      <c r="U38" s="80" t="s">
        <v>182</v>
      </c>
      <c r="V38" s="51">
        <v>1377.7</v>
      </c>
      <c r="W38" s="48">
        <f t="shared" si="21"/>
        <v>0.59669326167990133</v>
      </c>
      <c r="X38" s="2" t="s">
        <v>183</v>
      </c>
      <c r="Y38" s="48">
        <v>955.6</v>
      </c>
      <c r="Z38" s="78">
        <f t="shared" si="3"/>
        <v>0.32729140028145831</v>
      </c>
      <c r="AA38" s="80" t="s">
        <v>184</v>
      </c>
      <c r="AB38" s="51">
        <v>1093</v>
      </c>
      <c r="AC38" s="22">
        <f t="shared" si="4"/>
        <v>0.45294102314197099</v>
      </c>
      <c r="AD38" s="2" t="s">
        <v>185</v>
      </c>
      <c r="AE38" s="48">
        <v>1249.3699999999999</v>
      </c>
      <c r="AF38" s="78">
        <f t="shared" si="5"/>
        <v>0.44570578174261938</v>
      </c>
      <c r="AG38" s="80" t="s">
        <v>143</v>
      </c>
      <c r="AH38" s="51">
        <v>587.4</v>
      </c>
      <c r="AI38" s="22">
        <f t="shared" si="6"/>
        <v>0.28188824815379748</v>
      </c>
      <c r="AJ38" s="3" t="s">
        <v>169</v>
      </c>
      <c r="AK38" s="48">
        <v>1736.4</v>
      </c>
      <c r="AL38" s="78">
        <f t="shared" si="7"/>
        <v>0.54194856351327236</v>
      </c>
      <c r="AM38" s="22" t="s">
        <v>170</v>
      </c>
      <c r="AN38" s="51">
        <v>982.5</v>
      </c>
      <c r="AO38" s="22">
        <f t="shared" si="8"/>
        <v>0.40593815841000164</v>
      </c>
      <c r="AP38" s="4" t="s">
        <v>171</v>
      </c>
      <c r="AQ38" s="51">
        <v>980.2</v>
      </c>
      <c r="AR38" s="22">
        <f t="shared" si="9"/>
        <v>0.38008855574763351</v>
      </c>
      <c r="AS38" s="80" t="s">
        <v>172</v>
      </c>
      <c r="AT38" s="51">
        <v>4920.6000000000004</v>
      </c>
      <c r="AU38" s="22">
        <f t="shared" si="10"/>
        <v>1.5163916276913709</v>
      </c>
      <c r="AV38" s="2" t="s">
        <v>173</v>
      </c>
      <c r="AW38" s="48">
        <v>4363.8</v>
      </c>
      <c r="AX38" s="78">
        <f t="shared" si="11"/>
        <v>1.3183537635166154</v>
      </c>
      <c r="AY38" s="22" t="s">
        <v>178</v>
      </c>
      <c r="AZ38" s="51">
        <v>1541.3</v>
      </c>
      <c r="BA38" s="22">
        <f t="shared" si="12"/>
        <v>0.56564176743143091</v>
      </c>
      <c r="BB38" s="2" t="s">
        <v>179</v>
      </c>
      <c r="BC38" s="48">
        <v>4131.8</v>
      </c>
      <c r="BD38" s="22">
        <f t="shared" si="13"/>
        <v>1.4041064421292555</v>
      </c>
      <c r="BE38" s="80" t="s">
        <v>174</v>
      </c>
      <c r="BF38" s="51">
        <v>800.2</v>
      </c>
      <c r="BG38" s="22">
        <f t="shared" si="14"/>
        <v>0.34522990167246675</v>
      </c>
      <c r="BH38" s="2" t="s">
        <v>175</v>
      </c>
      <c r="BI38" s="48">
        <v>1036.5</v>
      </c>
      <c r="BJ38" s="78">
        <f t="shared" si="15"/>
        <v>0.41663958408878143</v>
      </c>
      <c r="BK38" s="22" t="s">
        <v>176</v>
      </c>
      <c r="BL38" s="51">
        <v>1007</v>
      </c>
      <c r="BM38" s="22">
        <f t="shared" si="16"/>
        <v>0.45938819073086007</v>
      </c>
      <c r="BN38" s="2" t="s">
        <v>177</v>
      </c>
      <c r="BO38" s="48">
        <v>184.5</v>
      </c>
      <c r="BP38" s="22">
        <f t="shared" si="17"/>
        <v>6.8788314531939704E-2</v>
      </c>
      <c r="BQ38" s="80" t="s">
        <v>180</v>
      </c>
      <c r="BR38" s="51">
        <v>957.3</v>
      </c>
      <c r="BS38" s="22">
        <f t="shared" si="18"/>
        <v>0.38410698276241179</v>
      </c>
      <c r="BT38" s="2" t="s">
        <v>181</v>
      </c>
      <c r="BU38" s="48">
        <v>1090.4000000000001</v>
      </c>
      <c r="BV38" s="78">
        <f t="shared" si="19"/>
        <v>0.42745223040998659</v>
      </c>
      <c r="BX38"/>
      <c r="BY38"/>
    </row>
    <row r="39" spans="1:77">
      <c r="B39" s="50" t="s">
        <v>187</v>
      </c>
      <c r="C39" s="124" t="s">
        <v>167</v>
      </c>
      <c r="D39" s="128" t="s">
        <v>188</v>
      </c>
      <c r="E39" s="16">
        <v>0</v>
      </c>
      <c r="F39" s="134">
        <v>0</v>
      </c>
      <c r="G39" s="27">
        <v>0</v>
      </c>
      <c r="H39" s="139">
        <v>1</v>
      </c>
      <c r="I39" s="77" t="s">
        <v>199</v>
      </c>
      <c r="J39" s="48">
        <v>416</v>
      </c>
      <c r="K39" s="22">
        <f t="shared" ref="K39:K70" si="22">J39/$J$115*100</f>
        <v>0.19509449889790362</v>
      </c>
      <c r="L39" s="2" t="s">
        <v>204</v>
      </c>
      <c r="M39" s="48">
        <v>606.20000000000005</v>
      </c>
      <c r="N39" s="100">
        <f t="shared" ref="N39:N70" si="23">M39/$M$115*100</f>
        <v>0.26943277201209526</v>
      </c>
      <c r="O39" s="77" t="s">
        <v>200</v>
      </c>
      <c r="P39" s="48">
        <v>315.10000000000002</v>
      </c>
      <c r="Q39" s="48">
        <f t="shared" si="20"/>
        <v>0.14259509035736337</v>
      </c>
      <c r="R39" s="2" t="s">
        <v>199</v>
      </c>
      <c r="S39" s="48">
        <v>411</v>
      </c>
      <c r="T39" s="78">
        <f t="shared" ref="T39:T70" si="24">S39/$S$115*100</f>
        <v>0.18367266224586085</v>
      </c>
      <c r="U39" s="77" t="s">
        <v>201</v>
      </c>
      <c r="V39" s="48">
        <v>496.4</v>
      </c>
      <c r="W39" s="48">
        <f t="shared" si="21"/>
        <v>0.2149949445437345</v>
      </c>
      <c r="X39" s="2" t="s">
        <v>202</v>
      </c>
      <c r="Y39" s="48">
        <v>168.9</v>
      </c>
      <c r="Z39" s="78">
        <f t="shared" ref="Z39:Z70" si="25">Y39/$Y$115*100</f>
        <v>5.7847967253598059E-2</v>
      </c>
      <c r="AA39" s="77" t="s">
        <v>199</v>
      </c>
      <c r="AB39" s="48">
        <v>286.10000000000002</v>
      </c>
      <c r="AC39" s="22">
        <f t="shared" ref="AC39:AC70" si="26">AB39/$AB$115*100</f>
        <v>0.11856031721950405</v>
      </c>
      <c r="AD39" s="2" t="s">
        <v>203</v>
      </c>
      <c r="AE39" s="48">
        <v>381.9</v>
      </c>
      <c r="AF39" s="78">
        <f t="shared" ref="AF39:AF70" si="27">AE39/$AE$115*100</f>
        <v>0.1362406957486624</v>
      </c>
      <c r="AG39" s="77" t="s">
        <v>189</v>
      </c>
      <c r="AH39" s="48">
        <v>271.2</v>
      </c>
      <c r="AI39" s="22">
        <f t="shared" ref="AI39:AI70" si="28">AH39/$AH$115*100</f>
        <v>0.13014656605262151</v>
      </c>
      <c r="AJ39" s="3" t="s">
        <v>190</v>
      </c>
      <c r="AK39" s="48">
        <v>633</v>
      </c>
      <c r="AL39" s="78">
        <f t="shared" si="7"/>
        <v>0.19756590687854259</v>
      </c>
      <c r="AM39" s="21" t="s">
        <v>191</v>
      </c>
      <c r="AN39" s="48">
        <v>463.9</v>
      </c>
      <c r="AO39" s="22">
        <f t="shared" si="8"/>
        <v>0.19166891774697176</v>
      </c>
      <c r="AP39" s="2" t="s">
        <v>192</v>
      </c>
      <c r="AQ39" s="48">
        <v>404</v>
      </c>
      <c r="AR39" s="22">
        <f t="shared" si="9"/>
        <v>0.15665759694148532</v>
      </c>
      <c r="AS39" s="77" t="s">
        <v>147</v>
      </c>
      <c r="AT39" s="48">
        <v>5561.7</v>
      </c>
      <c r="AU39" s="22">
        <f t="shared" si="10"/>
        <v>1.713960760015262</v>
      </c>
      <c r="AV39" s="2" t="s">
        <v>193</v>
      </c>
      <c r="AW39" s="48">
        <v>5340.9</v>
      </c>
      <c r="AX39" s="78">
        <f t="shared" si="11"/>
        <v>1.6135468205614123</v>
      </c>
      <c r="AY39" s="21" t="s">
        <v>197</v>
      </c>
      <c r="AZ39" s="48">
        <v>4268.3</v>
      </c>
      <c r="BA39" s="22">
        <f t="shared" ref="BA39:BA70" si="29">AZ39/$AZ$115*100</f>
        <v>1.5664236397376092</v>
      </c>
      <c r="BB39" s="2" t="s">
        <v>198</v>
      </c>
      <c r="BC39" s="48">
        <v>6825.6</v>
      </c>
      <c r="BD39" s="22">
        <f t="shared" ref="BD39:BD70" si="30">BC39/$BC$115*100</f>
        <v>2.3195384412114448</v>
      </c>
      <c r="BE39" s="77" t="s">
        <v>194</v>
      </c>
      <c r="BF39" s="48">
        <v>287.2</v>
      </c>
      <c r="BG39" s="22">
        <f t="shared" si="14"/>
        <v>0.12390655806090033</v>
      </c>
      <c r="BH39" s="2" t="s">
        <v>195</v>
      </c>
      <c r="BI39" s="48">
        <v>643.29999999999995</v>
      </c>
      <c r="BJ39" s="78">
        <f t="shared" si="15"/>
        <v>0.25858586053479315</v>
      </c>
      <c r="BK39" s="21" t="s">
        <v>196</v>
      </c>
      <c r="BL39" s="48">
        <v>635</v>
      </c>
      <c r="BM39" s="22">
        <f t="shared" si="16"/>
        <v>0.28968371510833779</v>
      </c>
      <c r="BN39" s="2" t="s">
        <v>175</v>
      </c>
      <c r="BO39" s="48">
        <v>1366.6</v>
      </c>
      <c r="BP39" s="22">
        <f t="shared" si="17"/>
        <v>0.50951821484741899</v>
      </c>
      <c r="BQ39" s="77" t="s">
        <v>198</v>
      </c>
      <c r="BR39" s="48">
        <v>302.3</v>
      </c>
      <c r="BS39" s="22">
        <f t="shared" si="18"/>
        <v>0.12129483013587913</v>
      </c>
      <c r="BT39" s="2" t="s">
        <v>199</v>
      </c>
      <c r="BU39" s="48">
        <v>360.1</v>
      </c>
      <c r="BV39" s="78">
        <f t="shared" si="19"/>
        <v>0.14116429582780279</v>
      </c>
      <c r="BX39"/>
      <c r="BY39"/>
    </row>
    <row r="40" spans="1:77">
      <c r="B40" s="50" t="s">
        <v>205</v>
      </c>
      <c r="C40" s="124" t="s">
        <v>167</v>
      </c>
      <c r="D40" s="128" t="s">
        <v>521</v>
      </c>
      <c r="E40" s="16">
        <v>0</v>
      </c>
      <c r="F40" s="134">
        <v>0</v>
      </c>
      <c r="G40" s="27">
        <v>0</v>
      </c>
      <c r="H40" s="139">
        <v>1</v>
      </c>
      <c r="I40" s="77">
        <v>19.93</v>
      </c>
      <c r="J40" s="48">
        <v>2545.9299999999998</v>
      </c>
      <c r="K40" s="48">
        <f t="shared" si="22"/>
        <v>1.1939830230267783</v>
      </c>
      <c r="L40" s="2">
        <v>20.16</v>
      </c>
      <c r="M40" s="48">
        <v>661.19</v>
      </c>
      <c r="N40" s="100">
        <f t="shared" si="23"/>
        <v>0.29387372901134484</v>
      </c>
      <c r="O40" s="77">
        <v>20.29</v>
      </c>
      <c r="P40" s="48">
        <v>2324.89</v>
      </c>
      <c r="Q40" s="48">
        <f t="shared" si="20"/>
        <v>1.0521037753758506</v>
      </c>
      <c r="R40" s="2">
        <v>19.93</v>
      </c>
      <c r="S40" s="48">
        <v>2240.4499999999998</v>
      </c>
      <c r="T40" s="76">
        <f t="shared" si="24"/>
        <v>1.0012394553010677</v>
      </c>
      <c r="U40" s="77">
        <v>19.98</v>
      </c>
      <c r="V40" s="48">
        <v>2650.11</v>
      </c>
      <c r="W40" s="48">
        <f t="shared" si="21"/>
        <v>1.1477845537566402</v>
      </c>
      <c r="X40" s="2">
        <v>19.989999999999998</v>
      </c>
      <c r="Y40" s="48">
        <v>3583.33</v>
      </c>
      <c r="Z40" s="76">
        <f t="shared" si="25"/>
        <v>1.2272845263400565</v>
      </c>
      <c r="AA40" s="77">
        <v>19.920000000000002</v>
      </c>
      <c r="AB40" s="48">
        <v>2361.29</v>
      </c>
      <c r="AC40" s="48">
        <f t="shared" si="26"/>
        <v>0.97852251467054407</v>
      </c>
      <c r="AD40" s="2">
        <v>19.96</v>
      </c>
      <c r="AE40" s="48">
        <v>2274.91</v>
      </c>
      <c r="AF40" s="76">
        <f t="shared" si="27"/>
        <v>0.81156145893058285</v>
      </c>
      <c r="AG40" s="77">
        <v>20.84</v>
      </c>
      <c r="AH40" s="48">
        <v>2211.3000000000002</v>
      </c>
      <c r="AI40" s="48">
        <f t="shared" si="28"/>
        <v>1.061184002625966</v>
      </c>
      <c r="AJ40" s="3">
        <v>19.72</v>
      </c>
      <c r="AK40" s="48">
        <v>3592.92</v>
      </c>
      <c r="AL40" s="76">
        <f t="shared" si="7"/>
        <v>1.1213878327678568</v>
      </c>
      <c r="AM40" s="21">
        <v>20.46</v>
      </c>
      <c r="AN40" s="48">
        <v>2416.19</v>
      </c>
      <c r="AO40" s="48">
        <f t="shared" si="8"/>
        <v>0.99829386154571176</v>
      </c>
      <c r="AP40" s="4">
        <v>19.899999999999999</v>
      </c>
      <c r="AQ40" s="51">
        <v>3023.51</v>
      </c>
      <c r="AR40" s="48">
        <f t="shared" si="9"/>
        <v>1.1724153735855205</v>
      </c>
      <c r="AS40" s="77">
        <v>20.66</v>
      </c>
      <c r="AT40" s="48">
        <v>4404.7</v>
      </c>
      <c r="AU40" s="48">
        <f t="shared" si="10"/>
        <v>1.3574056420949034</v>
      </c>
      <c r="AV40" s="2" t="s">
        <v>206</v>
      </c>
      <c r="AW40" s="48">
        <v>1296.71</v>
      </c>
      <c r="AX40" s="76">
        <f t="shared" si="11"/>
        <v>0.39175088424988097</v>
      </c>
      <c r="AY40" s="21">
        <v>20.05</v>
      </c>
      <c r="AZ40" s="48">
        <v>4732.1099999999997</v>
      </c>
      <c r="BA40" s="48">
        <f t="shared" si="29"/>
        <v>1.7366372958411396</v>
      </c>
      <c r="BB40" s="2" t="s">
        <v>207</v>
      </c>
      <c r="BC40" s="48">
        <v>4105.8999999999996</v>
      </c>
      <c r="BD40" s="48">
        <f t="shared" si="30"/>
        <v>1.3953048648866135</v>
      </c>
      <c r="BE40" s="77">
        <v>20.239999999999998</v>
      </c>
      <c r="BF40" s="48">
        <v>2891.34</v>
      </c>
      <c r="BG40" s="48">
        <f t="shared" si="14"/>
        <v>1.2474094275202074</v>
      </c>
      <c r="BH40" s="2">
        <v>19.82</v>
      </c>
      <c r="BI40" s="48">
        <v>2589.73</v>
      </c>
      <c r="BJ40" s="76">
        <f t="shared" si="15"/>
        <v>1.0409879692255088</v>
      </c>
      <c r="BK40" s="21">
        <v>20.13</v>
      </c>
      <c r="BL40" s="48">
        <v>2542.1999999999998</v>
      </c>
      <c r="BM40" s="48">
        <f t="shared" si="16"/>
        <v>1.1597384890526241</v>
      </c>
      <c r="BN40" s="2">
        <v>19.010000000000002</v>
      </c>
      <c r="BO40" s="48">
        <v>1612.19</v>
      </c>
      <c r="BP40" s="48">
        <f t="shared" si="17"/>
        <v>0.60108310463548986</v>
      </c>
      <c r="BQ40" s="77">
        <v>20.079999999999998</v>
      </c>
      <c r="BR40" s="48">
        <v>2420.96</v>
      </c>
      <c r="BS40" s="48">
        <f t="shared" si="18"/>
        <v>0.97138581530187873</v>
      </c>
      <c r="BT40" s="2">
        <v>19.829999999999998</v>
      </c>
      <c r="BU40" s="48">
        <v>2714.12</v>
      </c>
      <c r="BV40" s="76">
        <f t="shared" si="19"/>
        <v>1.0639734479093477</v>
      </c>
      <c r="BX40"/>
      <c r="BY40"/>
    </row>
    <row r="41" spans="1:77">
      <c r="B41" s="13">
        <v>958</v>
      </c>
      <c r="C41" s="124" t="s">
        <v>208</v>
      </c>
      <c r="D41" s="128" t="s">
        <v>209</v>
      </c>
      <c r="E41" s="16">
        <v>0</v>
      </c>
      <c r="F41" s="134">
        <v>0</v>
      </c>
      <c r="G41" s="27">
        <v>0</v>
      </c>
      <c r="H41" s="139">
        <v>1</v>
      </c>
      <c r="I41" s="77">
        <v>18.3</v>
      </c>
      <c r="J41" s="48">
        <v>4381.97</v>
      </c>
      <c r="K41" s="48">
        <f t="shared" si="22"/>
        <v>2.0550438493645355</v>
      </c>
      <c r="L41" s="2">
        <v>18.309999999999999</v>
      </c>
      <c r="M41" s="48">
        <v>783.87</v>
      </c>
      <c r="N41" s="100">
        <f t="shared" si="23"/>
        <v>0.34840030847430065</v>
      </c>
      <c r="O41" s="77">
        <v>18.559999999999999</v>
      </c>
      <c r="P41" s="48">
        <v>3153.51</v>
      </c>
      <c r="Q41" s="48">
        <f t="shared" si="20"/>
        <v>1.4270867768735291</v>
      </c>
      <c r="R41" s="2">
        <v>18.100000000000001</v>
      </c>
      <c r="S41" s="48">
        <v>3376.47</v>
      </c>
      <c r="T41" s="76">
        <f t="shared" si="24"/>
        <v>1.5089178440225832</v>
      </c>
      <c r="U41" s="77">
        <v>18.260000000000002</v>
      </c>
      <c r="V41" s="48">
        <v>4815.74</v>
      </c>
      <c r="W41" s="48">
        <f t="shared" si="21"/>
        <v>2.0857368135315144</v>
      </c>
      <c r="X41" s="2">
        <v>18.68</v>
      </c>
      <c r="Y41" s="48">
        <v>12255.56</v>
      </c>
      <c r="Z41" s="76">
        <f t="shared" si="25"/>
        <v>4.1975087836264429</v>
      </c>
      <c r="AA41" s="77">
        <v>18.190000000000001</v>
      </c>
      <c r="AB41" s="48">
        <v>2151.89</v>
      </c>
      <c r="AC41" s="48">
        <f t="shared" si="26"/>
        <v>0.89174680538790119</v>
      </c>
      <c r="AD41" s="2">
        <v>18.14</v>
      </c>
      <c r="AE41" s="48">
        <v>4669.95</v>
      </c>
      <c r="AF41" s="76">
        <f t="shared" si="27"/>
        <v>1.6659786255864519</v>
      </c>
      <c r="AG41" s="77">
        <v>19.11</v>
      </c>
      <c r="AH41" s="48">
        <v>2775.82</v>
      </c>
      <c r="AI41" s="48">
        <f t="shared" si="28"/>
        <v>1.3320923339977429</v>
      </c>
      <c r="AJ41" s="3">
        <v>18</v>
      </c>
      <c r="AK41" s="48">
        <v>6379.65</v>
      </c>
      <c r="AL41" s="76">
        <f t="shared" si="7"/>
        <v>1.9911553520026766</v>
      </c>
      <c r="AM41" s="21" t="s">
        <v>210</v>
      </c>
      <c r="AN41" s="48">
        <v>2491.6999999999998</v>
      </c>
      <c r="AO41" s="48">
        <f t="shared" si="8"/>
        <v>1.0294922232164896</v>
      </c>
      <c r="AP41" s="2">
        <v>18.18</v>
      </c>
      <c r="AQ41" s="48">
        <v>3955.27</v>
      </c>
      <c r="AR41" s="48">
        <f t="shared" si="9"/>
        <v>1.5337205283533384</v>
      </c>
      <c r="AS41" s="77">
        <v>19.07</v>
      </c>
      <c r="AT41" s="48">
        <v>6244.49</v>
      </c>
      <c r="AU41" s="48">
        <f t="shared" si="10"/>
        <v>1.9243775871240272</v>
      </c>
      <c r="AV41" s="2">
        <v>18.54</v>
      </c>
      <c r="AW41" s="48">
        <v>6071.63</v>
      </c>
      <c r="AX41" s="76">
        <f t="shared" si="11"/>
        <v>1.8343086899446324</v>
      </c>
      <c r="AY41" s="21">
        <v>18.54</v>
      </c>
      <c r="AZ41" s="48">
        <v>4546.95</v>
      </c>
      <c r="BA41" s="48">
        <f t="shared" si="29"/>
        <v>1.6686854177787223</v>
      </c>
      <c r="BB41" s="2">
        <v>18.36</v>
      </c>
      <c r="BC41" s="48">
        <v>7273.6</v>
      </c>
      <c r="BD41" s="48">
        <f t="shared" si="30"/>
        <v>2.4717819394625473</v>
      </c>
      <c r="BE41" s="77">
        <v>18.510000000000002</v>
      </c>
      <c r="BF41" s="48">
        <v>3722.9</v>
      </c>
      <c r="BG41" s="48">
        <f t="shared" si="14"/>
        <v>1.6061689589308001</v>
      </c>
      <c r="BH41" s="2">
        <v>18.2</v>
      </c>
      <c r="BI41" s="48">
        <v>2566.85</v>
      </c>
      <c r="BJ41" s="76">
        <f t="shared" si="15"/>
        <v>1.0317909468579725</v>
      </c>
      <c r="BK41" s="21" t="s">
        <v>211</v>
      </c>
      <c r="BL41" s="48">
        <v>2718.8</v>
      </c>
      <c r="BM41" s="48">
        <f t="shared" si="16"/>
        <v>1.2403024954906281</v>
      </c>
      <c r="BN41" s="2">
        <v>19.809999999999999</v>
      </c>
      <c r="BO41" s="48">
        <v>3364.84</v>
      </c>
      <c r="BP41" s="48">
        <f t="shared" si="17"/>
        <v>1.2545348090496045</v>
      </c>
      <c r="BQ41" s="77">
        <v>18.350000000000001</v>
      </c>
      <c r="BR41" s="48">
        <v>4191.32</v>
      </c>
      <c r="BS41" s="48">
        <f t="shared" si="18"/>
        <v>1.6817249336589906</v>
      </c>
      <c r="BT41" s="2">
        <v>18.2</v>
      </c>
      <c r="BU41" s="48">
        <v>4874.17</v>
      </c>
      <c r="BV41" s="76">
        <f t="shared" si="19"/>
        <v>1.9107436150930339</v>
      </c>
      <c r="BX41"/>
      <c r="BY41"/>
    </row>
    <row r="42" spans="1:77">
      <c r="B42" s="50">
        <v>966</v>
      </c>
      <c r="C42" s="124" t="s">
        <v>212</v>
      </c>
      <c r="D42" s="128" t="s">
        <v>213</v>
      </c>
      <c r="E42" s="16">
        <v>0</v>
      </c>
      <c r="F42" s="134">
        <v>0</v>
      </c>
      <c r="G42" s="27">
        <v>0</v>
      </c>
      <c r="H42" s="139">
        <v>0</v>
      </c>
      <c r="I42" s="77">
        <v>15.65</v>
      </c>
      <c r="J42" s="48">
        <v>467.79</v>
      </c>
      <c r="K42" s="48">
        <f t="shared" si="22"/>
        <v>0.21938282605637099</v>
      </c>
      <c r="L42" s="2">
        <v>15.77</v>
      </c>
      <c r="M42" s="48">
        <v>940.48</v>
      </c>
      <c r="N42" s="100">
        <f t="shared" si="23"/>
        <v>0.41800747842615521</v>
      </c>
      <c r="O42" s="77" t="s">
        <v>216</v>
      </c>
      <c r="P42" s="48">
        <v>746.7</v>
      </c>
      <c r="Q42" s="48">
        <f t="shared" si="20"/>
        <v>0.33791099323974372</v>
      </c>
      <c r="R42" s="2">
        <v>15.55</v>
      </c>
      <c r="S42" s="48">
        <v>963.69</v>
      </c>
      <c r="T42" s="76">
        <f t="shared" si="24"/>
        <v>0.43066546929370714</v>
      </c>
      <c r="U42" s="77">
        <v>15.62</v>
      </c>
      <c r="V42" s="48">
        <v>838.67</v>
      </c>
      <c r="W42" s="48">
        <f t="shared" si="21"/>
        <v>0.36323491164483035</v>
      </c>
      <c r="X42" s="2">
        <v>15.74</v>
      </c>
      <c r="Y42" s="48">
        <v>827.63</v>
      </c>
      <c r="Z42" s="76">
        <f t="shared" si="25"/>
        <v>0.28346188950914958</v>
      </c>
      <c r="AA42" s="77">
        <v>15.64</v>
      </c>
      <c r="AB42" s="48">
        <v>828.04</v>
      </c>
      <c r="AC42" s="48">
        <f t="shared" si="26"/>
        <v>0.34314115718433458</v>
      </c>
      <c r="AD42" s="2">
        <v>15.7</v>
      </c>
      <c r="AE42" s="48">
        <v>1110.5</v>
      </c>
      <c r="AF42" s="76">
        <f t="shared" si="27"/>
        <v>0.39616468350062745</v>
      </c>
      <c r="AG42" s="77">
        <v>16.54</v>
      </c>
      <c r="AH42" s="48">
        <v>715.21</v>
      </c>
      <c r="AI42" s="48">
        <f t="shared" si="28"/>
        <v>0.34322317664636959</v>
      </c>
      <c r="AJ42" s="3">
        <v>15.57</v>
      </c>
      <c r="AK42" s="48">
        <v>1296.8599999999999</v>
      </c>
      <c r="AL42" s="76">
        <f t="shared" si="7"/>
        <v>0.40476354185546093</v>
      </c>
      <c r="AM42" s="21" t="s">
        <v>214</v>
      </c>
      <c r="AN42" s="48">
        <v>840</v>
      </c>
      <c r="AO42" s="48">
        <f t="shared" si="8"/>
        <v>0.34706163161771131</v>
      </c>
      <c r="AP42" s="4">
        <v>15.53</v>
      </c>
      <c r="AQ42" s="51">
        <v>940.59</v>
      </c>
      <c r="AR42" s="48">
        <f t="shared" si="9"/>
        <v>0.36472913145344482</v>
      </c>
      <c r="AS42" s="77">
        <v>16.12</v>
      </c>
      <c r="AT42" s="48">
        <v>1266.4000000000001</v>
      </c>
      <c r="AU42" s="48">
        <f t="shared" si="10"/>
        <v>0.3902691454920848</v>
      </c>
      <c r="AV42" s="2">
        <v>15.7</v>
      </c>
      <c r="AW42" s="48">
        <v>1532.1</v>
      </c>
      <c r="AX42" s="76">
        <f t="shared" si="11"/>
        <v>0.46286488864838127</v>
      </c>
      <c r="AY42" s="21">
        <v>15.99</v>
      </c>
      <c r="AZ42" s="48">
        <v>970.1</v>
      </c>
      <c r="BA42" s="48">
        <f t="shared" si="29"/>
        <v>0.35601704962384428</v>
      </c>
      <c r="BB42" s="2">
        <v>15.73</v>
      </c>
      <c r="BC42" s="48">
        <v>1126.3900000000001</v>
      </c>
      <c r="BD42" s="48">
        <f t="shared" si="30"/>
        <v>0.3827802544532582</v>
      </c>
      <c r="BE42" s="77">
        <v>15.96</v>
      </c>
      <c r="BF42" s="48">
        <v>927.29</v>
      </c>
      <c r="BG42" s="48">
        <f t="shared" si="14"/>
        <v>0.40006027933249394</v>
      </c>
      <c r="BH42" s="2">
        <v>15.65</v>
      </c>
      <c r="BI42" s="48">
        <v>1072.02</v>
      </c>
      <c r="BJ42" s="76">
        <f t="shared" si="15"/>
        <v>0.43091747895306848</v>
      </c>
      <c r="BK42" s="21">
        <v>15.86</v>
      </c>
      <c r="BL42" s="48">
        <v>907.32</v>
      </c>
      <c r="BM42" s="48">
        <f t="shared" si="16"/>
        <v>0.41391469038125522</v>
      </c>
      <c r="BN42" s="2">
        <v>18.190000000000001</v>
      </c>
      <c r="BO42" s="48">
        <v>3395.76</v>
      </c>
      <c r="BP42" s="48">
        <f t="shared" si="17"/>
        <v>1.2660629103250927</v>
      </c>
      <c r="BQ42" s="77" t="s">
        <v>215</v>
      </c>
      <c r="BR42" s="48">
        <v>761.7</v>
      </c>
      <c r="BS42" s="48">
        <f t="shared" si="18"/>
        <v>0.30562445290935869</v>
      </c>
      <c r="BT42" s="2">
        <v>15.57</v>
      </c>
      <c r="BU42" s="48">
        <v>1125.9000000000001</v>
      </c>
      <c r="BV42" s="76">
        <f t="shared" si="19"/>
        <v>0.44136873277568223</v>
      </c>
      <c r="BX42"/>
      <c r="BY42"/>
    </row>
    <row r="43" spans="1:77">
      <c r="B43" s="13">
        <v>974</v>
      </c>
      <c r="C43" s="124" t="s">
        <v>217</v>
      </c>
      <c r="D43" s="128" t="s">
        <v>218</v>
      </c>
      <c r="E43" s="16">
        <v>0</v>
      </c>
      <c r="F43" s="134">
        <v>0</v>
      </c>
      <c r="G43" s="27">
        <v>0</v>
      </c>
      <c r="H43" s="139">
        <v>1</v>
      </c>
      <c r="I43" s="77">
        <v>17.989999999999998</v>
      </c>
      <c r="J43" s="48">
        <v>6160.34</v>
      </c>
      <c r="K43" s="48">
        <f t="shared" si="22"/>
        <v>2.8890587628382489</v>
      </c>
      <c r="L43" s="2">
        <v>18.11</v>
      </c>
      <c r="M43" s="48">
        <v>6614.51</v>
      </c>
      <c r="N43" s="100">
        <f t="shared" si="23"/>
        <v>2.939897335535671</v>
      </c>
      <c r="O43" s="77">
        <v>18.600000000000001</v>
      </c>
      <c r="P43" s="48">
        <v>10268.32</v>
      </c>
      <c r="Q43" s="48">
        <f t="shared" si="20"/>
        <v>4.646816941346624</v>
      </c>
      <c r="R43" s="2">
        <v>17.899999999999999</v>
      </c>
      <c r="S43" s="48">
        <v>10217.25</v>
      </c>
      <c r="T43" s="76">
        <f t="shared" si="24"/>
        <v>4.5660085360864269</v>
      </c>
      <c r="U43" s="77">
        <v>18.05</v>
      </c>
      <c r="V43" s="48">
        <v>11371.68</v>
      </c>
      <c r="W43" s="48">
        <f t="shared" si="21"/>
        <v>4.925168636118241</v>
      </c>
      <c r="X43" s="2">
        <v>18.059999999999999</v>
      </c>
      <c r="Y43" s="48">
        <v>12498.25</v>
      </c>
      <c r="Z43" s="76">
        <f t="shared" si="25"/>
        <v>4.2806297023521722</v>
      </c>
      <c r="AA43" s="77">
        <v>17.989999999999998</v>
      </c>
      <c r="AB43" s="48">
        <v>8664.43</v>
      </c>
      <c r="AC43" s="48">
        <f t="shared" si="26"/>
        <v>3.5905542444116998</v>
      </c>
      <c r="AD43" s="2">
        <v>18.03</v>
      </c>
      <c r="AE43" s="48">
        <v>6437.43</v>
      </c>
      <c r="AF43" s="76">
        <f t="shared" si="27"/>
        <v>2.2965172611503322</v>
      </c>
      <c r="AG43" s="77">
        <v>18.899999999999999</v>
      </c>
      <c r="AH43" s="48">
        <v>8474.08</v>
      </c>
      <c r="AI43" s="48">
        <f t="shared" si="28"/>
        <v>4.0666386889940958</v>
      </c>
      <c r="AJ43" s="3">
        <v>17.899999999999999</v>
      </c>
      <c r="AK43" s="48">
        <v>12583.71</v>
      </c>
      <c r="AL43" s="76">
        <f t="shared" si="7"/>
        <v>3.9275072323010827</v>
      </c>
      <c r="AM43" s="21">
        <v>18.53</v>
      </c>
      <c r="AN43" s="48">
        <v>9944.84</v>
      </c>
      <c r="AO43" s="48">
        <f t="shared" si="8"/>
        <v>4.1088957102108106</v>
      </c>
      <c r="AP43" s="2">
        <v>17.97</v>
      </c>
      <c r="AQ43" s="48">
        <v>7225.52</v>
      </c>
      <c r="AR43" s="48">
        <f t="shared" si="9"/>
        <v>2.801813365971884</v>
      </c>
      <c r="AS43" s="77">
        <v>18.87</v>
      </c>
      <c r="AT43" s="48">
        <v>18506.64</v>
      </c>
      <c r="AU43" s="48">
        <f t="shared" si="10"/>
        <v>5.7032300842779806</v>
      </c>
      <c r="AV43" s="2">
        <v>18.23</v>
      </c>
      <c r="AW43" s="48">
        <v>19326.07</v>
      </c>
      <c r="AX43" s="76">
        <f t="shared" si="11"/>
        <v>5.8386262245028542</v>
      </c>
      <c r="AY43" s="21">
        <v>18.329999999999998</v>
      </c>
      <c r="AZ43" s="48">
        <v>13538.71</v>
      </c>
      <c r="BA43" s="48">
        <f t="shared" si="29"/>
        <v>4.9685718894060784</v>
      </c>
      <c r="BB43" s="2">
        <v>18.149999999999999</v>
      </c>
      <c r="BC43" s="48">
        <v>14486.43</v>
      </c>
      <c r="BD43" s="48">
        <f t="shared" si="30"/>
        <v>4.9229124561824174</v>
      </c>
      <c r="BE43" s="77">
        <v>18.3</v>
      </c>
      <c r="BF43" s="48">
        <v>6554.93</v>
      </c>
      <c r="BG43" s="48">
        <f t="shared" si="14"/>
        <v>2.827990301636969</v>
      </c>
      <c r="BH43" s="2">
        <v>17.989999999999998</v>
      </c>
      <c r="BI43" s="48">
        <v>11920.81</v>
      </c>
      <c r="BJ43" s="76">
        <f t="shared" si="15"/>
        <v>4.7917813028474541</v>
      </c>
      <c r="BK43" s="21">
        <v>18.2</v>
      </c>
      <c r="BL43" s="48">
        <v>10318.83</v>
      </c>
      <c r="BM43" s="48">
        <f t="shared" si="16"/>
        <v>4.7073968660966452</v>
      </c>
      <c r="BN43" s="2">
        <v>15.67</v>
      </c>
      <c r="BO43" s="48">
        <v>1324.37</v>
      </c>
      <c r="BP43" s="48">
        <f t="shared" si="17"/>
        <v>0.49377333396566386</v>
      </c>
      <c r="BQ43" s="77">
        <v>18.04</v>
      </c>
      <c r="BR43" s="48">
        <v>9892.32</v>
      </c>
      <c r="BS43" s="48">
        <f t="shared" si="18"/>
        <v>3.9691937613290103</v>
      </c>
      <c r="BT43" s="2">
        <v>17.899999999999999</v>
      </c>
      <c r="BU43" s="48">
        <v>11379.59</v>
      </c>
      <c r="BV43" s="76">
        <f t="shared" si="19"/>
        <v>4.460960314243561</v>
      </c>
      <c r="BX43"/>
      <c r="BY43"/>
    </row>
    <row r="44" spans="1:77">
      <c r="B44" s="50" t="s">
        <v>219</v>
      </c>
      <c r="C44" s="124" t="s">
        <v>220</v>
      </c>
      <c r="D44" s="128" t="s">
        <v>525</v>
      </c>
      <c r="E44" s="16">
        <v>1</v>
      </c>
      <c r="F44" s="134" t="s">
        <v>109</v>
      </c>
      <c r="G44" s="27">
        <v>0</v>
      </c>
      <c r="H44" s="139">
        <v>1</v>
      </c>
      <c r="I44" s="77">
        <v>14.72</v>
      </c>
      <c r="J44" s="48">
        <v>601.69000000000005</v>
      </c>
      <c r="K44" s="48">
        <f t="shared" si="22"/>
        <v>0.28217886788913377</v>
      </c>
      <c r="L44" s="2">
        <v>14.87</v>
      </c>
      <c r="M44" s="48">
        <v>867.27</v>
      </c>
      <c r="N44" s="100">
        <f t="shared" si="23"/>
        <v>0.38546842656372449</v>
      </c>
      <c r="O44" s="77">
        <v>15.01</v>
      </c>
      <c r="P44" s="48">
        <v>2100.5100000000002</v>
      </c>
      <c r="Q44" s="48">
        <f t="shared" si="20"/>
        <v>0.95056303791350472</v>
      </c>
      <c r="R44" s="2">
        <v>17.739999999999998</v>
      </c>
      <c r="S44" s="48">
        <v>4957</v>
      </c>
      <c r="T44" s="76">
        <f t="shared" si="24"/>
        <v>2.2152442500066476</v>
      </c>
      <c r="U44" s="77">
        <v>14.72</v>
      </c>
      <c r="V44" s="48">
        <v>743.43</v>
      </c>
      <c r="W44" s="48">
        <f t="shared" si="21"/>
        <v>0.32198568014131451</v>
      </c>
      <c r="X44" s="2">
        <v>14.94</v>
      </c>
      <c r="Y44" s="48">
        <v>1225.46</v>
      </c>
      <c r="Z44" s="76">
        <f t="shared" si="25"/>
        <v>0.41971799852335273</v>
      </c>
      <c r="AA44" s="77">
        <v>14.83</v>
      </c>
      <c r="AB44" s="48">
        <v>5439.21</v>
      </c>
      <c r="AC44" s="48">
        <f t="shared" si="26"/>
        <v>2.2540176966917111</v>
      </c>
      <c r="AD44" s="2">
        <v>14.89</v>
      </c>
      <c r="AE44" s="48">
        <v>8898.36</v>
      </c>
      <c r="AF44" s="76">
        <f t="shared" si="27"/>
        <v>3.1744403179420471</v>
      </c>
      <c r="AG44" s="77">
        <v>15.32</v>
      </c>
      <c r="AH44" s="48">
        <v>1654.64</v>
      </c>
      <c r="AI44" s="48">
        <f t="shared" si="28"/>
        <v>0.79404761819066982</v>
      </c>
      <c r="AJ44" s="3">
        <v>14.75</v>
      </c>
      <c r="AK44" s="48">
        <v>2037.4</v>
      </c>
      <c r="AL44" s="76">
        <f t="shared" si="7"/>
        <v>0.6358938051727373</v>
      </c>
      <c r="AM44" s="21">
        <v>15.07</v>
      </c>
      <c r="AN44" s="48">
        <v>1656.47</v>
      </c>
      <c r="AO44" s="48">
        <f t="shared" si="8"/>
        <v>0.68440140586403608</v>
      </c>
      <c r="AP44" s="4" t="s">
        <v>221</v>
      </c>
      <c r="AQ44" s="51">
        <v>1288</v>
      </c>
      <c r="AR44" s="48">
        <f t="shared" si="9"/>
        <v>0.49944303183325028</v>
      </c>
      <c r="AS44" s="79" t="s">
        <v>31</v>
      </c>
      <c r="AT44" s="54">
        <v>0</v>
      </c>
      <c r="AU44" s="54">
        <f t="shared" si="10"/>
        <v>0</v>
      </c>
      <c r="AV44" s="36" t="s">
        <v>31</v>
      </c>
      <c r="AW44" s="54">
        <v>0</v>
      </c>
      <c r="AX44" s="102">
        <f t="shared" si="11"/>
        <v>0</v>
      </c>
      <c r="AY44" s="37" t="s">
        <v>31</v>
      </c>
      <c r="AZ44" s="54">
        <v>0</v>
      </c>
      <c r="BA44" s="54">
        <f t="shared" si="29"/>
        <v>0</v>
      </c>
      <c r="BB44" s="36" t="s">
        <v>31</v>
      </c>
      <c r="BC44" s="54">
        <v>0</v>
      </c>
      <c r="BD44" s="54">
        <f t="shared" si="30"/>
        <v>0</v>
      </c>
      <c r="BE44" s="77">
        <v>14.85</v>
      </c>
      <c r="BF44" s="48">
        <v>1414.01</v>
      </c>
      <c r="BG44" s="48">
        <f t="shared" si="14"/>
        <v>0.61004565516606435</v>
      </c>
      <c r="BH44" s="2">
        <v>14.75</v>
      </c>
      <c r="BI44" s="48">
        <v>841.01</v>
      </c>
      <c r="BJ44" s="76">
        <f t="shared" si="15"/>
        <v>0.33805890652629622</v>
      </c>
      <c r="BK44" s="21">
        <v>14.85</v>
      </c>
      <c r="BL44" s="48">
        <v>1165.94</v>
      </c>
      <c r="BM44" s="48">
        <f t="shared" si="16"/>
        <v>0.53189579652506369</v>
      </c>
      <c r="BN44" s="2">
        <v>17.989999999999998</v>
      </c>
      <c r="BO44" s="48">
        <v>12403.45</v>
      </c>
      <c r="BP44" s="48">
        <f t="shared" si="17"/>
        <v>4.6244575603316402</v>
      </c>
      <c r="BQ44" s="77">
        <v>14.79</v>
      </c>
      <c r="BR44" s="48">
        <v>1372.59</v>
      </c>
      <c r="BS44" s="48">
        <f t="shared" si="18"/>
        <v>0.55073791232618696</v>
      </c>
      <c r="BT44" s="2" t="s">
        <v>222</v>
      </c>
      <c r="BU44" s="48">
        <v>792.2</v>
      </c>
      <c r="BV44" s="76">
        <f t="shared" si="19"/>
        <v>0.31055361053814323</v>
      </c>
      <c r="BX44"/>
      <c r="BY44"/>
    </row>
    <row r="45" spans="1:77">
      <c r="B45" s="50" t="s">
        <v>223</v>
      </c>
      <c r="C45" s="124" t="s">
        <v>220</v>
      </c>
      <c r="D45" s="128" t="s">
        <v>224</v>
      </c>
      <c r="E45" s="16">
        <v>1</v>
      </c>
      <c r="F45" s="134" t="s">
        <v>109</v>
      </c>
      <c r="G45" s="27">
        <v>0</v>
      </c>
      <c r="H45" s="139">
        <v>1</v>
      </c>
      <c r="I45" s="77">
        <v>16.579999999999998</v>
      </c>
      <c r="J45" s="48">
        <v>1471.06</v>
      </c>
      <c r="K45" s="48">
        <f t="shared" si="22"/>
        <v>0.68989354218449539</v>
      </c>
      <c r="L45" s="2">
        <v>15.97</v>
      </c>
      <c r="M45" s="48">
        <v>1246.96</v>
      </c>
      <c r="N45" s="100">
        <f t="shared" si="23"/>
        <v>0.55422614547707394</v>
      </c>
      <c r="O45" s="77">
        <v>16.12</v>
      </c>
      <c r="P45" s="48">
        <v>2812.62</v>
      </c>
      <c r="Q45" s="48">
        <f t="shared" si="20"/>
        <v>1.272820701494533</v>
      </c>
      <c r="R45" s="2" t="s">
        <v>226</v>
      </c>
      <c r="S45" s="48">
        <v>1350.2</v>
      </c>
      <c r="T45" s="76">
        <f t="shared" si="24"/>
        <v>0.60339374346559926</v>
      </c>
      <c r="U45" s="87" t="s">
        <v>503</v>
      </c>
      <c r="V45" s="58">
        <v>559</v>
      </c>
      <c r="W45" s="48">
        <f t="shared" si="21"/>
        <v>0.24210752215944314</v>
      </c>
      <c r="X45" s="5" t="s">
        <v>504</v>
      </c>
      <c r="Y45" s="58">
        <v>899.1</v>
      </c>
      <c r="Z45" s="84">
        <f t="shared" si="25"/>
        <v>0.30794024486506821</v>
      </c>
      <c r="AA45" s="87" t="s">
        <v>505</v>
      </c>
      <c r="AB45" s="58">
        <v>1038.4000000000001</v>
      </c>
      <c r="AC45" s="58">
        <f t="shared" si="26"/>
        <v>0.43031469206827333</v>
      </c>
      <c r="AD45" s="5" t="s">
        <v>506</v>
      </c>
      <c r="AE45" s="58">
        <v>1261.5999999999999</v>
      </c>
      <c r="AF45" s="84">
        <f t="shared" si="27"/>
        <v>0.45006876605528273</v>
      </c>
      <c r="AG45" s="77">
        <v>16.440000000000001</v>
      </c>
      <c r="AH45" s="48">
        <v>3688.62</v>
      </c>
      <c r="AI45" s="48">
        <f t="shared" si="28"/>
        <v>1.7701372657559764</v>
      </c>
      <c r="AJ45" s="3" t="s">
        <v>225</v>
      </c>
      <c r="AK45" s="48">
        <v>829.2</v>
      </c>
      <c r="AL45" s="76">
        <f t="shared" si="7"/>
        <v>0.25880197469776861</v>
      </c>
      <c r="AM45" s="21">
        <v>16.190000000000001</v>
      </c>
      <c r="AN45" s="48">
        <v>3762.98</v>
      </c>
      <c r="AO45" s="48">
        <f t="shared" si="8"/>
        <v>1.5547452125533516</v>
      </c>
      <c r="AP45" s="2">
        <v>15.83</v>
      </c>
      <c r="AQ45" s="48">
        <v>2978.56</v>
      </c>
      <c r="AR45" s="48">
        <f t="shared" si="9"/>
        <v>1.1549852770941349</v>
      </c>
      <c r="AS45" s="79" t="s">
        <v>31</v>
      </c>
      <c r="AT45" s="54">
        <v>0</v>
      </c>
      <c r="AU45" s="54">
        <f t="shared" si="10"/>
        <v>0</v>
      </c>
      <c r="AV45" s="36" t="s">
        <v>31</v>
      </c>
      <c r="AW45" s="54">
        <v>0</v>
      </c>
      <c r="AX45" s="102">
        <f t="shared" si="11"/>
        <v>0</v>
      </c>
      <c r="AY45" s="37" t="s">
        <v>31</v>
      </c>
      <c r="AZ45" s="54">
        <v>0</v>
      </c>
      <c r="BA45" s="54">
        <f t="shared" si="29"/>
        <v>0</v>
      </c>
      <c r="BB45" s="36" t="s">
        <v>31</v>
      </c>
      <c r="BC45" s="54">
        <v>0</v>
      </c>
      <c r="BD45" s="54">
        <f t="shared" si="30"/>
        <v>0</v>
      </c>
      <c r="BE45" s="77">
        <v>15.96</v>
      </c>
      <c r="BF45" s="48">
        <v>3002.48</v>
      </c>
      <c r="BG45" s="48">
        <f t="shared" si="14"/>
        <v>1.2953585043408498</v>
      </c>
      <c r="BH45" s="2" t="s">
        <v>226</v>
      </c>
      <c r="BI45" s="48">
        <v>532.6</v>
      </c>
      <c r="BJ45" s="76">
        <f t="shared" si="15"/>
        <v>0.21408802941214181</v>
      </c>
      <c r="BK45" s="21">
        <v>16.579999999999998</v>
      </c>
      <c r="BL45" s="48">
        <v>2937.61</v>
      </c>
      <c r="BM45" s="48">
        <f t="shared" si="16"/>
        <v>1.3401224855738649</v>
      </c>
      <c r="BN45" s="2" t="s">
        <v>227</v>
      </c>
      <c r="BO45" s="48">
        <v>785.7</v>
      </c>
      <c r="BP45" s="48">
        <f t="shared" si="17"/>
        <v>0.29293755407991884</v>
      </c>
      <c r="BQ45" s="77">
        <v>15.89</v>
      </c>
      <c r="BR45" s="48">
        <v>3548.92</v>
      </c>
      <c r="BS45" s="48">
        <f t="shared" si="18"/>
        <v>1.4239684041211518</v>
      </c>
      <c r="BT45" s="2">
        <v>15.88</v>
      </c>
      <c r="BU45" s="48">
        <v>2399.4899999999998</v>
      </c>
      <c r="BV45" s="76">
        <f t="shared" si="19"/>
        <v>0.94063403553416958</v>
      </c>
      <c r="BX45"/>
      <c r="BY45"/>
    </row>
    <row r="46" spans="1:77">
      <c r="B46" s="50" t="s">
        <v>228</v>
      </c>
      <c r="C46" s="124" t="s">
        <v>220</v>
      </c>
      <c r="D46" s="128" t="s">
        <v>229</v>
      </c>
      <c r="E46" s="16">
        <v>1</v>
      </c>
      <c r="F46" s="134" t="s">
        <v>230</v>
      </c>
      <c r="G46" s="27">
        <v>0</v>
      </c>
      <c r="H46" s="139">
        <v>1</v>
      </c>
      <c r="I46" s="77" t="s">
        <v>31</v>
      </c>
      <c r="J46" s="48">
        <v>0</v>
      </c>
      <c r="K46" s="48">
        <f t="shared" si="22"/>
        <v>0</v>
      </c>
      <c r="L46" s="2" t="s">
        <v>31</v>
      </c>
      <c r="M46" s="48">
        <v>0</v>
      </c>
      <c r="N46" s="100">
        <f t="shared" si="23"/>
        <v>0</v>
      </c>
      <c r="O46" s="77" t="s">
        <v>31</v>
      </c>
      <c r="P46" s="48">
        <v>0</v>
      </c>
      <c r="Q46" s="48">
        <f t="shared" si="20"/>
        <v>0</v>
      </c>
      <c r="R46" s="2" t="s">
        <v>31</v>
      </c>
      <c r="S46" s="48">
        <v>0</v>
      </c>
      <c r="T46" s="76">
        <f t="shared" si="24"/>
        <v>0</v>
      </c>
      <c r="U46" s="77" t="s">
        <v>31</v>
      </c>
      <c r="V46" s="48">
        <v>0</v>
      </c>
      <c r="W46" s="48">
        <f t="shared" si="21"/>
        <v>0</v>
      </c>
      <c r="X46" s="2" t="s">
        <v>31</v>
      </c>
      <c r="Y46" s="48">
        <v>0</v>
      </c>
      <c r="Z46" s="76">
        <f t="shared" si="25"/>
        <v>0</v>
      </c>
      <c r="AA46" s="77" t="s">
        <v>31</v>
      </c>
      <c r="AB46" s="48">
        <v>0</v>
      </c>
      <c r="AC46" s="48">
        <f t="shared" si="26"/>
        <v>0</v>
      </c>
      <c r="AD46" s="2" t="s">
        <v>31</v>
      </c>
      <c r="AE46" s="48">
        <v>0</v>
      </c>
      <c r="AF46" s="76">
        <f t="shared" si="27"/>
        <v>0</v>
      </c>
      <c r="AG46" s="77" t="s">
        <v>31</v>
      </c>
      <c r="AH46" s="48">
        <v>0</v>
      </c>
      <c r="AI46" s="48">
        <f t="shared" si="28"/>
        <v>0</v>
      </c>
      <c r="AJ46" s="3" t="s">
        <v>31</v>
      </c>
      <c r="AK46" s="48">
        <v>0</v>
      </c>
      <c r="AL46" s="76">
        <f t="shared" si="7"/>
        <v>0</v>
      </c>
      <c r="AM46" s="21" t="s">
        <v>31</v>
      </c>
      <c r="AN46" s="48">
        <v>0</v>
      </c>
      <c r="AO46" s="48">
        <f t="shared" si="8"/>
        <v>0</v>
      </c>
      <c r="AP46" s="4" t="s">
        <v>31</v>
      </c>
      <c r="AQ46" s="51">
        <v>0</v>
      </c>
      <c r="AR46" s="48">
        <f t="shared" si="9"/>
        <v>0</v>
      </c>
      <c r="AS46" s="75">
        <v>17.43</v>
      </c>
      <c r="AT46" s="49">
        <v>3080.69</v>
      </c>
      <c r="AU46" s="49">
        <f t="shared" si="10"/>
        <v>0.94938270201043151</v>
      </c>
      <c r="AV46" s="34">
        <v>17.21</v>
      </c>
      <c r="AW46" s="49">
        <v>2497.46</v>
      </c>
      <c r="AX46" s="103">
        <f t="shared" si="11"/>
        <v>0.75451115775979793</v>
      </c>
      <c r="AY46" s="31">
        <v>17.2</v>
      </c>
      <c r="AZ46" s="49">
        <v>2384.14</v>
      </c>
      <c r="BA46" s="49">
        <f t="shared" si="29"/>
        <v>0.87495566301432015</v>
      </c>
      <c r="BB46" s="34">
        <v>17.23</v>
      </c>
      <c r="BC46" s="49">
        <v>2248.36</v>
      </c>
      <c r="BD46" s="49">
        <f t="shared" si="30"/>
        <v>0.76405846367823538</v>
      </c>
      <c r="BE46" s="77" t="s">
        <v>31</v>
      </c>
      <c r="BF46" s="48">
        <v>0</v>
      </c>
      <c r="BG46" s="48">
        <f t="shared" si="14"/>
        <v>0</v>
      </c>
      <c r="BH46" s="2" t="s">
        <v>31</v>
      </c>
      <c r="BI46" s="48">
        <v>0</v>
      </c>
      <c r="BJ46" s="76">
        <f t="shared" si="15"/>
        <v>0</v>
      </c>
      <c r="BK46" s="21" t="s">
        <v>31</v>
      </c>
      <c r="BL46" s="48">
        <v>0</v>
      </c>
      <c r="BM46" s="48">
        <f t="shared" si="16"/>
        <v>0</v>
      </c>
      <c r="BN46" s="2" t="s">
        <v>31</v>
      </c>
      <c r="BO46" s="48">
        <v>0</v>
      </c>
      <c r="BP46" s="48">
        <f t="shared" si="17"/>
        <v>0</v>
      </c>
      <c r="BQ46" s="77" t="s">
        <v>31</v>
      </c>
      <c r="BR46" s="48">
        <v>0</v>
      </c>
      <c r="BS46" s="48">
        <f t="shared" si="18"/>
        <v>0</v>
      </c>
      <c r="BT46" s="2" t="s">
        <v>31</v>
      </c>
      <c r="BU46" s="48">
        <v>0</v>
      </c>
      <c r="BV46" s="76">
        <f t="shared" si="19"/>
        <v>0</v>
      </c>
      <c r="BX46"/>
      <c r="BY46"/>
    </row>
    <row r="47" spans="1:77">
      <c r="B47" s="50" t="s">
        <v>231</v>
      </c>
      <c r="C47" s="124" t="s">
        <v>220</v>
      </c>
      <c r="D47" s="128" t="s">
        <v>232</v>
      </c>
      <c r="E47" s="16">
        <v>1</v>
      </c>
      <c r="F47" s="134" t="s">
        <v>497</v>
      </c>
      <c r="G47" s="27">
        <v>0</v>
      </c>
      <c r="H47" s="139">
        <v>1</v>
      </c>
      <c r="I47" s="77" t="s">
        <v>31</v>
      </c>
      <c r="J47" s="48">
        <v>0</v>
      </c>
      <c r="K47" s="48">
        <f t="shared" si="22"/>
        <v>0</v>
      </c>
      <c r="L47" s="2" t="s">
        <v>31</v>
      </c>
      <c r="M47" s="48">
        <v>0</v>
      </c>
      <c r="N47" s="100">
        <f t="shared" si="23"/>
        <v>0</v>
      </c>
      <c r="O47" s="77" t="s">
        <v>31</v>
      </c>
      <c r="P47" s="48">
        <v>0</v>
      </c>
      <c r="Q47" s="48">
        <f t="shared" si="20"/>
        <v>0</v>
      </c>
      <c r="R47" s="2" t="s">
        <v>31</v>
      </c>
      <c r="S47" s="48">
        <v>0</v>
      </c>
      <c r="T47" s="76">
        <f t="shared" si="24"/>
        <v>0</v>
      </c>
      <c r="U47" s="77" t="s">
        <v>31</v>
      </c>
      <c r="V47" s="48">
        <v>0</v>
      </c>
      <c r="W47" s="48">
        <f t="shared" si="21"/>
        <v>0</v>
      </c>
      <c r="X47" s="2" t="s">
        <v>31</v>
      </c>
      <c r="Y47" s="48">
        <v>0</v>
      </c>
      <c r="Z47" s="76">
        <f t="shared" si="25"/>
        <v>0</v>
      </c>
      <c r="AA47" s="77" t="s">
        <v>31</v>
      </c>
      <c r="AB47" s="48">
        <v>0</v>
      </c>
      <c r="AC47" s="48">
        <f t="shared" si="26"/>
        <v>0</v>
      </c>
      <c r="AD47" s="2" t="s">
        <v>31</v>
      </c>
      <c r="AE47" s="48">
        <v>0</v>
      </c>
      <c r="AF47" s="76">
        <f t="shared" si="27"/>
        <v>0</v>
      </c>
      <c r="AG47" s="77" t="s">
        <v>31</v>
      </c>
      <c r="AH47" s="48">
        <v>0</v>
      </c>
      <c r="AI47" s="48">
        <f t="shared" si="28"/>
        <v>0</v>
      </c>
      <c r="AJ47" s="3" t="s">
        <v>31</v>
      </c>
      <c r="AK47" s="48">
        <v>0</v>
      </c>
      <c r="AL47" s="76">
        <f t="shared" si="7"/>
        <v>0</v>
      </c>
      <c r="AM47" s="21" t="s">
        <v>31</v>
      </c>
      <c r="AN47" s="48">
        <v>0</v>
      </c>
      <c r="AO47" s="48">
        <f t="shared" si="8"/>
        <v>0</v>
      </c>
      <c r="AP47" s="2" t="s">
        <v>31</v>
      </c>
      <c r="AQ47" s="48">
        <v>0</v>
      </c>
      <c r="AR47" s="48">
        <f t="shared" si="9"/>
        <v>0</v>
      </c>
      <c r="AS47" s="75">
        <v>27.66</v>
      </c>
      <c r="AT47" s="49">
        <v>1406.59</v>
      </c>
      <c r="AU47" s="49">
        <f t="shared" si="10"/>
        <v>0.43347179197545121</v>
      </c>
      <c r="AV47" s="34">
        <v>27.11</v>
      </c>
      <c r="AW47" s="49">
        <v>2560.65</v>
      </c>
      <c r="AX47" s="103">
        <f t="shared" si="11"/>
        <v>0.77360157764994297</v>
      </c>
      <c r="AY47" s="31">
        <v>27.68</v>
      </c>
      <c r="AZ47" s="49">
        <v>1649.15</v>
      </c>
      <c r="BA47" s="49">
        <f t="shared" si="29"/>
        <v>0.60522164455949157</v>
      </c>
      <c r="BB47" s="34">
        <v>27.68</v>
      </c>
      <c r="BC47" s="49">
        <v>1920.98</v>
      </c>
      <c r="BD47" s="49">
        <f t="shared" si="30"/>
        <v>0.65280516801429334</v>
      </c>
      <c r="BE47" s="77" t="s">
        <v>31</v>
      </c>
      <c r="BF47" s="48">
        <v>0</v>
      </c>
      <c r="BG47" s="48">
        <f t="shared" si="14"/>
        <v>0</v>
      </c>
      <c r="BH47" s="2" t="s">
        <v>31</v>
      </c>
      <c r="BI47" s="48">
        <v>0</v>
      </c>
      <c r="BJ47" s="76">
        <f t="shared" si="15"/>
        <v>0</v>
      </c>
      <c r="BK47" s="21" t="s">
        <v>31</v>
      </c>
      <c r="BL47" s="48">
        <v>0</v>
      </c>
      <c r="BM47" s="48">
        <f t="shared" si="16"/>
        <v>0</v>
      </c>
      <c r="BN47" s="3" t="s">
        <v>31</v>
      </c>
      <c r="BO47" s="48">
        <v>0</v>
      </c>
      <c r="BP47" s="48">
        <f t="shared" si="17"/>
        <v>0</v>
      </c>
      <c r="BQ47" s="77" t="s">
        <v>31</v>
      </c>
      <c r="BR47" s="48">
        <v>0</v>
      </c>
      <c r="BS47" s="48">
        <f t="shared" si="18"/>
        <v>0</v>
      </c>
      <c r="BT47" s="2" t="s">
        <v>31</v>
      </c>
      <c r="BU47" s="48">
        <v>0</v>
      </c>
      <c r="BV47" s="76">
        <f t="shared" si="19"/>
        <v>0</v>
      </c>
      <c r="BX47"/>
      <c r="BY47"/>
    </row>
    <row r="48" spans="1:77">
      <c r="B48" s="50">
        <v>982</v>
      </c>
      <c r="C48" s="124" t="s">
        <v>233</v>
      </c>
      <c r="D48" s="128" t="s">
        <v>234</v>
      </c>
      <c r="E48" s="16">
        <v>0</v>
      </c>
      <c r="F48" s="134">
        <v>0</v>
      </c>
      <c r="G48" s="27">
        <v>0</v>
      </c>
      <c r="H48" s="139">
        <v>0</v>
      </c>
      <c r="I48" s="80">
        <v>15.55</v>
      </c>
      <c r="J48" s="51">
        <v>273.27</v>
      </c>
      <c r="K48" s="22">
        <f t="shared" si="22"/>
        <v>0.12815738873516855</v>
      </c>
      <c r="L48" s="4">
        <v>15.67</v>
      </c>
      <c r="M48" s="51">
        <v>450.62</v>
      </c>
      <c r="N48" s="100">
        <f t="shared" si="23"/>
        <v>0.20028339776326348</v>
      </c>
      <c r="O48" s="80" t="s">
        <v>239</v>
      </c>
      <c r="P48" s="51">
        <v>385.7</v>
      </c>
      <c r="Q48" s="48">
        <f t="shared" si="20"/>
        <v>0.17454435528668691</v>
      </c>
      <c r="R48" s="2">
        <v>15.45</v>
      </c>
      <c r="S48" s="48">
        <v>376.02</v>
      </c>
      <c r="T48" s="78">
        <f t="shared" si="24"/>
        <v>0.1680403758094613</v>
      </c>
      <c r="U48" s="80">
        <v>15.62</v>
      </c>
      <c r="V48" s="51">
        <v>302.82</v>
      </c>
      <c r="W48" s="48">
        <f t="shared" si="21"/>
        <v>0.131153845903976</v>
      </c>
      <c r="X48" s="2">
        <v>15.63</v>
      </c>
      <c r="Y48" s="48">
        <v>391</v>
      </c>
      <c r="Z48" s="78">
        <f t="shared" si="25"/>
        <v>0.13391684544793869</v>
      </c>
      <c r="AA48" s="80">
        <v>15.64</v>
      </c>
      <c r="AB48" s="51">
        <v>310.3</v>
      </c>
      <c r="AC48" s="22">
        <f t="shared" si="26"/>
        <v>0.12858883758550194</v>
      </c>
      <c r="AD48" s="2">
        <v>15.6</v>
      </c>
      <c r="AE48" s="48">
        <v>420.77</v>
      </c>
      <c r="AF48" s="78">
        <f t="shared" si="27"/>
        <v>0.15010735153224583</v>
      </c>
      <c r="AG48" s="80" t="s">
        <v>235</v>
      </c>
      <c r="AH48" s="51">
        <v>286.89999999999998</v>
      </c>
      <c r="AI48" s="22">
        <f t="shared" si="28"/>
        <v>0.13768086209622829</v>
      </c>
      <c r="AJ48" s="3">
        <v>15.47</v>
      </c>
      <c r="AK48" s="48">
        <v>597.28</v>
      </c>
      <c r="AL48" s="78">
        <f t="shared" si="7"/>
        <v>0.18641732205436956</v>
      </c>
      <c r="AM48" s="22" t="s">
        <v>236</v>
      </c>
      <c r="AN48" s="51">
        <v>343.03</v>
      </c>
      <c r="AO48" s="22">
        <f t="shared" si="8"/>
        <v>0.1417292279688375</v>
      </c>
      <c r="AP48" s="4">
        <v>15.53</v>
      </c>
      <c r="AQ48" s="51">
        <v>358.4</v>
      </c>
      <c r="AR48" s="22">
        <f t="shared" si="9"/>
        <v>0.13897545233620875</v>
      </c>
      <c r="AS48" s="80">
        <v>15.92</v>
      </c>
      <c r="AT48" s="51">
        <v>558.89</v>
      </c>
      <c r="AU48" s="22">
        <f t="shared" si="10"/>
        <v>0.1722343041093424</v>
      </c>
      <c r="AV48" s="2">
        <v>15.6</v>
      </c>
      <c r="AW48" s="48">
        <v>811.36</v>
      </c>
      <c r="AX48" s="78">
        <f t="shared" si="11"/>
        <v>0.24512111223402563</v>
      </c>
      <c r="AY48" s="22" t="s">
        <v>237</v>
      </c>
      <c r="AZ48" s="51">
        <v>482.78</v>
      </c>
      <c r="BA48" s="22">
        <f t="shared" si="29"/>
        <v>0.1771754573934641</v>
      </c>
      <c r="BB48" s="2" t="s">
        <v>238</v>
      </c>
      <c r="BC48" s="48">
        <v>94.7</v>
      </c>
      <c r="BD48" s="22">
        <f t="shared" si="30"/>
        <v>3.2181828759775523E-2</v>
      </c>
      <c r="BE48" s="80">
        <v>15.86</v>
      </c>
      <c r="BF48" s="51">
        <v>380.21</v>
      </c>
      <c r="BG48" s="22">
        <f t="shared" si="14"/>
        <v>0.1640338176891884</v>
      </c>
      <c r="BH48" s="2">
        <v>15.55</v>
      </c>
      <c r="BI48" s="48">
        <v>350.76</v>
      </c>
      <c r="BJ48" s="78">
        <f t="shared" si="15"/>
        <v>0.14099421178483451</v>
      </c>
      <c r="BK48" s="22">
        <v>17.75</v>
      </c>
      <c r="BL48" s="51">
        <v>387.47</v>
      </c>
      <c r="BM48" s="22">
        <f t="shared" si="16"/>
        <v>0.17676180959531915</v>
      </c>
      <c r="BN48" s="2">
        <v>15.57</v>
      </c>
      <c r="BO48" s="48">
        <v>659.53</v>
      </c>
      <c r="BP48" s="22">
        <f t="shared" si="17"/>
        <v>0.24589678635907963</v>
      </c>
      <c r="BQ48" s="80">
        <v>15.69</v>
      </c>
      <c r="BR48" s="51">
        <v>525.25</v>
      </c>
      <c r="BS48" s="22">
        <f t="shared" si="18"/>
        <v>0.21075127201081878</v>
      </c>
      <c r="BT48" s="2">
        <v>15.47</v>
      </c>
      <c r="BU48" s="48">
        <v>630.73</v>
      </c>
      <c r="BV48" s="78">
        <f t="shared" si="19"/>
        <v>0.24725508555254108</v>
      </c>
      <c r="BX48"/>
      <c r="BY48"/>
    </row>
    <row r="49" spans="1:77">
      <c r="B49" s="13" t="s">
        <v>240</v>
      </c>
      <c r="C49" s="124" t="s">
        <v>241</v>
      </c>
      <c r="D49" s="128" t="s">
        <v>242</v>
      </c>
      <c r="E49" s="16">
        <v>1</v>
      </c>
      <c r="F49" s="134" t="s">
        <v>109</v>
      </c>
      <c r="G49" s="27">
        <v>0</v>
      </c>
      <c r="H49" s="139">
        <v>1</v>
      </c>
      <c r="I49" s="77" t="s">
        <v>253</v>
      </c>
      <c r="J49" s="48">
        <v>2754.2</v>
      </c>
      <c r="K49" s="60">
        <f t="shared" si="22"/>
        <v>1.2916568963091493</v>
      </c>
      <c r="L49" s="2" t="s">
        <v>247</v>
      </c>
      <c r="M49" s="48">
        <v>3243</v>
      </c>
      <c r="N49" s="100">
        <f t="shared" si="23"/>
        <v>1.4413897717506181</v>
      </c>
      <c r="O49" s="77" t="s">
        <v>250</v>
      </c>
      <c r="P49" s="48">
        <v>6088.4</v>
      </c>
      <c r="Q49" s="48">
        <f t="shared" si="20"/>
        <v>2.7552394418653479</v>
      </c>
      <c r="R49" s="2" t="s">
        <v>226</v>
      </c>
      <c r="S49" s="48">
        <v>5536.4</v>
      </c>
      <c r="T49" s="86">
        <f t="shared" si="24"/>
        <v>2.4741735456398635</v>
      </c>
      <c r="U49" s="77" t="s">
        <v>239</v>
      </c>
      <c r="V49" s="48">
        <v>3128.3</v>
      </c>
      <c r="W49" s="48">
        <f t="shared" si="21"/>
        <v>1.3548925967287766</v>
      </c>
      <c r="X49" s="2" t="s">
        <v>251</v>
      </c>
      <c r="Y49" s="48">
        <v>4923.2</v>
      </c>
      <c r="Z49" s="86">
        <f t="shared" si="25"/>
        <v>1.6861877583357843</v>
      </c>
      <c r="AA49" s="77" t="s">
        <v>252</v>
      </c>
      <c r="AB49" s="48">
        <v>7542.3</v>
      </c>
      <c r="AC49" s="60">
        <f t="shared" si="26"/>
        <v>3.1255417006804098</v>
      </c>
      <c r="AD49" s="2" t="s">
        <v>151</v>
      </c>
      <c r="AE49" s="48">
        <v>8474.1</v>
      </c>
      <c r="AF49" s="86">
        <f t="shared" si="27"/>
        <v>3.0230879283680028</v>
      </c>
      <c r="AG49" s="77" t="s">
        <v>243</v>
      </c>
      <c r="AH49" s="48">
        <v>3985.6</v>
      </c>
      <c r="AI49" s="60">
        <f t="shared" si="28"/>
        <v>1.9126554338470807</v>
      </c>
      <c r="AJ49" s="3" t="s">
        <v>225</v>
      </c>
      <c r="AK49" s="48">
        <v>6382.6</v>
      </c>
      <c r="AL49" s="78">
        <f t="shared" si="7"/>
        <v>1.9920760777930271</v>
      </c>
      <c r="AM49" s="21" t="s">
        <v>244</v>
      </c>
      <c r="AN49" s="48">
        <v>4523.8999999999996</v>
      </c>
      <c r="AO49" s="60">
        <f t="shared" si="8"/>
        <v>1.8691334705659097</v>
      </c>
      <c r="AP49" s="2" t="s">
        <v>245</v>
      </c>
      <c r="AQ49" s="48">
        <v>3632</v>
      </c>
      <c r="AR49" s="60">
        <f t="shared" si="9"/>
        <v>1.4083673071571157</v>
      </c>
      <c r="AS49" s="113" t="s">
        <v>31</v>
      </c>
      <c r="AT49" s="61">
        <v>0</v>
      </c>
      <c r="AU49" s="62">
        <f t="shared" si="10"/>
        <v>0</v>
      </c>
      <c r="AV49" s="36" t="s">
        <v>31</v>
      </c>
      <c r="AW49" s="54">
        <v>0</v>
      </c>
      <c r="AX49" s="117">
        <f t="shared" si="11"/>
        <v>0</v>
      </c>
      <c r="AY49" s="37" t="s">
        <v>31</v>
      </c>
      <c r="AZ49" s="54">
        <v>0</v>
      </c>
      <c r="BA49" s="62">
        <f t="shared" si="29"/>
        <v>0</v>
      </c>
      <c r="BB49" s="36" t="s">
        <v>31</v>
      </c>
      <c r="BC49" s="54">
        <v>0</v>
      </c>
      <c r="BD49" s="62">
        <f t="shared" si="30"/>
        <v>0</v>
      </c>
      <c r="BE49" s="77" t="s">
        <v>246</v>
      </c>
      <c r="BF49" s="48">
        <v>2451.8000000000002</v>
      </c>
      <c r="BG49" s="60">
        <f t="shared" si="14"/>
        <v>1.0577788964265857</v>
      </c>
      <c r="BH49" s="2" t="s">
        <v>226</v>
      </c>
      <c r="BI49" s="48">
        <v>3970.3</v>
      </c>
      <c r="BJ49" s="86">
        <f t="shared" si="15"/>
        <v>1.5959326007792465</v>
      </c>
      <c r="BK49" s="21" t="s">
        <v>246</v>
      </c>
      <c r="BL49" s="48">
        <v>1569.6</v>
      </c>
      <c r="BM49" s="60">
        <f t="shared" si="16"/>
        <v>0.71604340036857794</v>
      </c>
      <c r="BN49" s="2" t="s">
        <v>247</v>
      </c>
      <c r="BO49" s="48">
        <v>4947.8</v>
      </c>
      <c r="BP49" s="60">
        <f t="shared" si="17"/>
        <v>1.8447199059139909</v>
      </c>
      <c r="BQ49" s="77" t="s">
        <v>248</v>
      </c>
      <c r="BR49" s="48">
        <v>5056.7</v>
      </c>
      <c r="BS49" s="60">
        <f t="shared" si="18"/>
        <v>2.0289499422695996</v>
      </c>
      <c r="BT49" s="2" t="s">
        <v>249</v>
      </c>
      <c r="BU49" s="48">
        <v>2063.8000000000002</v>
      </c>
      <c r="BV49" s="86">
        <f t="shared" si="19"/>
        <v>0.80903880513584958</v>
      </c>
      <c r="BX49"/>
      <c r="BY49"/>
    </row>
    <row r="50" spans="1:77">
      <c r="B50" s="13" t="s">
        <v>254</v>
      </c>
      <c r="C50" s="124" t="s">
        <v>241</v>
      </c>
      <c r="D50" s="128" t="s">
        <v>255</v>
      </c>
      <c r="E50" s="16">
        <v>1</v>
      </c>
      <c r="F50" s="134" t="s">
        <v>495</v>
      </c>
      <c r="G50" s="27">
        <v>0</v>
      </c>
      <c r="H50" s="139">
        <v>1</v>
      </c>
      <c r="I50" s="77" t="s">
        <v>267</v>
      </c>
      <c r="J50" s="48">
        <v>2527.3000000000002</v>
      </c>
      <c r="K50" s="60">
        <f t="shared" si="22"/>
        <v>1.1852459785208458</v>
      </c>
      <c r="L50" s="2" t="s">
        <v>268</v>
      </c>
      <c r="M50" s="48">
        <v>4210.2</v>
      </c>
      <c r="N50" s="100">
        <f t="shared" si="23"/>
        <v>1.8712732707445119</v>
      </c>
      <c r="O50" s="77" t="s">
        <v>263</v>
      </c>
      <c r="P50" s="48">
        <v>7640.5</v>
      </c>
      <c r="Q50" s="48">
        <f t="shared" si="20"/>
        <v>3.457625477230831</v>
      </c>
      <c r="R50" s="2" t="s">
        <v>261</v>
      </c>
      <c r="S50" s="48">
        <v>8197</v>
      </c>
      <c r="T50" s="86">
        <f t="shared" si="24"/>
        <v>3.6631747261054044</v>
      </c>
      <c r="U50" s="77" t="s">
        <v>264</v>
      </c>
      <c r="V50" s="48">
        <v>4461</v>
      </c>
      <c r="W50" s="48">
        <f t="shared" si="21"/>
        <v>1.9320959863207081</v>
      </c>
      <c r="X50" s="2" t="s">
        <v>265</v>
      </c>
      <c r="Y50" s="48">
        <v>7607.6</v>
      </c>
      <c r="Z50" s="86">
        <f t="shared" si="25"/>
        <v>2.6055902645261848</v>
      </c>
      <c r="AA50" s="77" t="s">
        <v>259</v>
      </c>
      <c r="AB50" s="48">
        <v>8028.2</v>
      </c>
      <c r="AC50" s="60">
        <f t="shared" si="26"/>
        <v>3.3268994711695989</v>
      </c>
      <c r="AD50" s="2" t="s">
        <v>266</v>
      </c>
      <c r="AE50" s="48">
        <v>12116</v>
      </c>
      <c r="AF50" s="86">
        <f t="shared" si="27"/>
        <v>4.3223154482607846</v>
      </c>
      <c r="AG50" s="77" t="s">
        <v>256</v>
      </c>
      <c r="AH50" s="48">
        <v>7111.7</v>
      </c>
      <c r="AI50" s="60">
        <f t="shared" si="28"/>
        <v>3.4128441511667709</v>
      </c>
      <c r="AJ50" s="3" t="s">
        <v>257</v>
      </c>
      <c r="AK50" s="48">
        <v>8953</v>
      </c>
      <c r="AL50" s="78">
        <f t="shared" si="7"/>
        <v>2.7943247461036207</v>
      </c>
      <c r="AM50" s="21" t="s">
        <v>258</v>
      </c>
      <c r="AN50" s="48">
        <v>6143.9</v>
      </c>
      <c r="AO50" s="60">
        <f t="shared" si="8"/>
        <v>2.5384666172572099</v>
      </c>
      <c r="AP50" s="2" t="s">
        <v>259</v>
      </c>
      <c r="AQ50" s="48">
        <v>7710.1</v>
      </c>
      <c r="AR50" s="60">
        <f t="shared" si="9"/>
        <v>2.9897171737092725</v>
      </c>
      <c r="AS50" s="113" t="s">
        <v>31</v>
      </c>
      <c r="AT50" s="61">
        <v>0</v>
      </c>
      <c r="AU50" s="62">
        <f t="shared" si="10"/>
        <v>0</v>
      </c>
      <c r="AV50" s="36" t="s">
        <v>31</v>
      </c>
      <c r="AW50" s="54">
        <v>0</v>
      </c>
      <c r="AX50" s="117">
        <f t="shared" si="11"/>
        <v>0</v>
      </c>
      <c r="AY50" s="37" t="s">
        <v>31</v>
      </c>
      <c r="AZ50" s="54">
        <v>0</v>
      </c>
      <c r="BA50" s="62">
        <f t="shared" si="29"/>
        <v>0</v>
      </c>
      <c r="BB50" s="36" t="s">
        <v>31</v>
      </c>
      <c r="BC50" s="54">
        <v>0</v>
      </c>
      <c r="BD50" s="62">
        <f t="shared" si="30"/>
        <v>0</v>
      </c>
      <c r="BE50" s="77" t="s">
        <v>260</v>
      </c>
      <c r="BF50" s="48">
        <v>1699.1</v>
      </c>
      <c r="BG50" s="60">
        <f t="shared" si="14"/>
        <v>0.73304189694037514</v>
      </c>
      <c r="BH50" s="2" t="s">
        <v>261</v>
      </c>
      <c r="BI50" s="48">
        <v>3593.5</v>
      </c>
      <c r="BJ50" s="86">
        <f t="shared" si="15"/>
        <v>1.444471148502688</v>
      </c>
      <c r="BK50" s="21" t="s">
        <v>260</v>
      </c>
      <c r="BL50" s="48">
        <v>1145.3</v>
      </c>
      <c r="BM50" s="60">
        <f t="shared" si="16"/>
        <v>0.52247993529697523</v>
      </c>
      <c r="BN50" s="2" t="s">
        <v>57</v>
      </c>
      <c r="BO50" s="48">
        <v>3063.5</v>
      </c>
      <c r="BP50" s="60">
        <f t="shared" si="17"/>
        <v>1.1421842903447008</v>
      </c>
      <c r="BQ50" s="77" t="s">
        <v>262</v>
      </c>
      <c r="BR50" s="48">
        <v>3996.3</v>
      </c>
      <c r="BS50" s="60">
        <f t="shared" si="18"/>
        <v>1.6034751229639888</v>
      </c>
      <c r="BT50" s="2" t="s">
        <v>257</v>
      </c>
      <c r="BU50" s="48">
        <v>5048.3</v>
      </c>
      <c r="BV50" s="86">
        <f t="shared" si="19"/>
        <v>1.9790050392321488</v>
      </c>
      <c r="BX50"/>
      <c r="BY50"/>
    </row>
    <row r="51" spans="1:77">
      <c r="B51" s="13" t="s">
        <v>269</v>
      </c>
      <c r="C51" s="124" t="s">
        <v>241</v>
      </c>
      <c r="D51" s="128" t="s">
        <v>270</v>
      </c>
      <c r="E51" s="16">
        <v>1</v>
      </c>
      <c r="F51" s="134" t="s">
        <v>495</v>
      </c>
      <c r="G51" s="27">
        <v>0</v>
      </c>
      <c r="H51" s="139">
        <v>1</v>
      </c>
      <c r="I51" s="77">
        <v>17.38</v>
      </c>
      <c r="J51" s="48">
        <v>15459.58</v>
      </c>
      <c r="K51" s="60">
        <f t="shared" si="22"/>
        <v>7.2501899357501269</v>
      </c>
      <c r="L51" s="2">
        <v>17.600000000000001</v>
      </c>
      <c r="M51" s="48">
        <v>13410.37</v>
      </c>
      <c r="N51" s="100">
        <f t="shared" si="23"/>
        <v>5.9603978271326978</v>
      </c>
      <c r="O51" s="77">
        <v>17.649999999999999</v>
      </c>
      <c r="P51" s="48">
        <v>13391.48</v>
      </c>
      <c r="Q51" s="48">
        <f t="shared" si="20"/>
        <v>6.0601691546138508</v>
      </c>
      <c r="R51" s="2">
        <v>17.38</v>
      </c>
      <c r="S51" s="48">
        <v>13158.38</v>
      </c>
      <c r="T51" s="86">
        <f t="shared" si="24"/>
        <v>5.8803763636075184</v>
      </c>
      <c r="U51" s="77">
        <v>17.45</v>
      </c>
      <c r="V51" s="48">
        <v>15377.83</v>
      </c>
      <c r="W51" s="48">
        <f t="shared" si="21"/>
        <v>6.6602653264564395</v>
      </c>
      <c r="X51" s="2">
        <v>17.46</v>
      </c>
      <c r="Y51" s="48">
        <v>16852.830000000002</v>
      </c>
      <c r="Z51" s="86">
        <f t="shared" si="25"/>
        <v>5.7720660625841038</v>
      </c>
      <c r="AA51" s="77">
        <v>17.48</v>
      </c>
      <c r="AB51" s="48">
        <v>17042.98</v>
      </c>
      <c r="AC51" s="60">
        <f t="shared" si="26"/>
        <v>7.0626393399708594</v>
      </c>
      <c r="AD51" s="2">
        <v>17.43</v>
      </c>
      <c r="AE51" s="48">
        <v>14939.67</v>
      </c>
      <c r="AF51" s="86">
        <f t="shared" si="27"/>
        <v>5.3296439776261302</v>
      </c>
      <c r="AG51" s="77">
        <v>17.98</v>
      </c>
      <c r="AH51" s="48">
        <v>12763.63</v>
      </c>
      <c r="AI51" s="60">
        <f t="shared" si="28"/>
        <v>6.1251571344624685</v>
      </c>
      <c r="AJ51" s="3">
        <v>17.29</v>
      </c>
      <c r="AK51" s="48">
        <v>18331.099999999999</v>
      </c>
      <c r="AL51" s="78">
        <f t="shared" si="7"/>
        <v>5.721327639148897</v>
      </c>
      <c r="AM51" s="21">
        <v>17.72</v>
      </c>
      <c r="AN51" s="48">
        <v>16507.55</v>
      </c>
      <c r="AO51" s="60">
        <f t="shared" si="8"/>
        <v>6.8204014726320832</v>
      </c>
      <c r="AP51" s="2">
        <v>17.46</v>
      </c>
      <c r="AQ51" s="48">
        <v>14933.4</v>
      </c>
      <c r="AR51" s="60">
        <f t="shared" si="9"/>
        <v>5.7906696984306363</v>
      </c>
      <c r="AS51" s="113" t="s">
        <v>31</v>
      </c>
      <c r="AT51" s="61">
        <v>0</v>
      </c>
      <c r="AU51" s="62">
        <f t="shared" si="10"/>
        <v>0</v>
      </c>
      <c r="AV51" s="36" t="s">
        <v>31</v>
      </c>
      <c r="AW51" s="54">
        <v>0</v>
      </c>
      <c r="AX51" s="117">
        <f t="shared" si="11"/>
        <v>0</v>
      </c>
      <c r="AY51" s="37" t="s">
        <v>31</v>
      </c>
      <c r="AZ51" s="54">
        <v>0</v>
      </c>
      <c r="BA51" s="62">
        <f t="shared" si="29"/>
        <v>0</v>
      </c>
      <c r="BB51" s="36" t="s">
        <v>31</v>
      </c>
      <c r="BC51" s="54">
        <v>0</v>
      </c>
      <c r="BD51" s="62">
        <f t="shared" si="30"/>
        <v>0</v>
      </c>
      <c r="BE51" s="77">
        <v>17.489999999999998</v>
      </c>
      <c r="BF51" s="48">
        <v>13349.81</v>
      </c>
      <c r="BG51" s="60">
        <f t="shared" si="14"/>
        <v>5.759502116528509</v>
      </c>
      <c r="BH51" s="2">
        <v>17.38</v>
      </c>
      <c r="BI51" s="48">
        <v>16331.34</v>
      </c>
      <c r="BJ51" s="86">
        <f t="shared" si="15"/>
        <v>6.5646721709720008</v>
      </c>
      <c r="BK51" s="21">
        <v>17.489999999999998</v>
      </c>
      <c r="BL51" s="48">
        <v>14142.06</v>
      </c>
      <c r="BM51" s="60">
        <f t="shared" si="16"/>
        <v>6.4515346143071168</v>
      </c>
      <c r="BN51" s="2">
        <v>17.39</v>
      </c>
      <c r="BO51" s="48">
        <v>17053.63</v>
      </c>
      <c r="BP51" s="60">
        <f t="shared" si="17"/>
        <v>6.3582138989231591</v>
      </c>
      <c r="BQ51" s="77">
        <v>17.43</v>
      </c>
      <c r="BR51" s="48">
        <v>17262.580000000002</v>
      </c>
      <c r="BS51" s="60">
        <f t="shared" si="18"/>
        <v>6.9264363506682916</v>
      </c>
      <c r="BT51" s="2">
        <v>17.39</v>
      </c>
      <c r="BU51" s="48">
        <v>17392.419999999998</v>
      </c>
      <c r="BV51" s="86">
        <f t="shared" si="19"/>
        <v>6.8180747626809035</v>
      </c>
      <c r="BX51"/>
      <c r="BY51"/>
    </row>
    <row r="52" spans="1:77">
      <c r="B52" s="13" t="s">
        <v>271</v>
      </c>
      <c r="C52" s="124" t="s">
        <v>241</v>
      </c>
      <c r="D52" s="128" t="s">
        <v>272</v>
      </c>
      <c r="E52" s="16">
        <v>1</v>
      </c>
      <c r="F52" s="134" t="s">
        <v>230</v>
      </c>
      <c r="G52" s="27">
        <v>0</v>
      </c>
      <c r="H52" s="139">
        <v>1</v>
      </c>
      <c r="I52" s="77" t="s">
        <v>31</v>
      </c>
      <c r="J52" s="48">
        <v>0</v>
      </c>
      <c r="K52" s="22">
        <f t="shared" si="22"/>
        <v>0</v>
      </c>
      <c r="L52" s="2" t="s">
        <v>31</v>
      </c>
      <c r="M52" s="48">
        <v>0</v>
      </c>
      <c r="N52" s="100">
        <f t="shared" si="23"/>
        <v>0</v>
      </c>
      <c r="O52" s="80" t="s">
        <v>31</v>
      </c>
      <c r="P52" s="51">
        <v>0</v>
      </c>
      <c r="Q52" s="48">
        <f t="shared" si="20"/>
        <v>0</v>
      </c>
      <c r="R52" s="2" t="s">
        <v>31</v>
      </c>
      <c r="S52" s="48">
        <v>0</v>
      </c>
      <c r="T52" s="76">
        <f t="shared" si="24"/>
        <v>0</v>
      </c>
      <c r="U52" s="80" t="s">
        <v>31</v>
      </c>
      <c r="V52" s="51">
        <v>0</v>
      </c>
      <c r="W52" s="48">
        <f t="shared" si="21"/>
        <v>0</v>
      </c>
      <c r="X52" s="2" t="s">
        <v>31</v>
      </c>
      <c r="Y52" s="48">
        <v>0</v>
      </c>
      <c r="Z52" s="78">
        <f t="shared" si="25"/>
        <v>0</v>
      </c>
      <c r="AA52" s="80" t="s">
        <v>31</v>
      </c>
      <c r="AB52" s="51">
        <v>0</v>
      </c>
      <c r="AC52" s="22">
        <f t="shared" si="26"/>
        <v>0</v>
      </c>
      <c r="AD52" s="2" t="s">
        <v>31</v>
      </c>
      <c r="AE52" s="48">
        <v>0</v>
      </c>
      <c r="AF52" s="78">
        <f t="shared" si="27"/>
        <v>0</v>
      </c>
      <c r="AG52" s="80" t="s">
        <v>31</v>
      </c>
      <c r="AH52" s="51">
        <v>0</v>
      </c>
      <c r="AI52" s="22">
        <f t="shared" si="28"/>
        <v>0</v>
      </c>
      <c r="AJ52" s="3" t="s">
        <v>31</v>
      </c>
      <c r="AK52" s="48">
        <v>0</v>
      </c>
      <c r="AL52" s="78">
        <f t="shared" si="7"/>
        <v>0</v>
      </c>
      <c r="AM52" s="22" t="s">
        <v>31</v>
      </c>
      <c r="AN52" s="51">
        <v>0</v>
      </c>
      <c r="AO52" s="22">
        <f t="shared" si="8"/>
        <v>0</v>
      </c>
      <c r="AP52" s="4" t="s">
        <v>31</v>
      </c>
      <c r="AQ52" s="51">
        <v>0</v>
      </c>
      <c r="AR52" s="22">
        <f t="shared" si="9"/>
        <v>0</v>
      </c>
      <c r="AS52" s="112">
        <v>18.36</v>
      </c>
      <c r="AT52" s="52">
        <v>11955.35</v>
      </c>
      <c r="AU52" s="53">
        <f t="shared" si="10"/>
        <v>3.6843052973458588</v>
      </c>
      <c r="AV52" s="34">
        <v>18.02</v>
      </c>
      <c r="AW52" s="49">
        <v>10053.84</v>
      </c>
      <c r="AX52" s="107">
        <f t="shared" si="11"/>
        <v>3.0373797611700555</v>
      </c>
      <c r="AY52" s="53">
        <v>18.02</v>
      </c>
      <c r="AZ52" s="52">
        <v>7960.44</v>
      </c>
      <c r="BA52" s="53">
        <f t="shared" si="29"/>
        <v>2.921402291008798</v>
      </c>
      <c r="BB52" s="34">
        <v>18.05</v>
      </c>
      <c r="BC52" s="49">
        <v>9499.1299999999992</v>
      </c>
      <c r="BD52" s="53">
        <f t="shared" si="30"/>
        <v>3.2280821016562453</v>
      </c>
      <c r="BE52" s="80" t="s">
        <v>31</v>
      </c>
      <c r="BF52" s="51">
        <v>0</v>
      </c>
      <c r="BG52" s="22">
        <f t="shared" si="14"/>
        <v>0</v>
      </c>
      <c r="BH52" s="2" t="s">
        <v>31</v>
      </c>
      <c r="BI52" s="48">
        <v>0</v>
      </c>
      <c r="BJ52" s="78">
        <f t="shared" si="15"/>
        <v>0</v>
      </c>
      <c r="BK52" s="22" t="s">
        <v>31</v>
      </c>
      <c r="BL52" s="51">
        <v>0</v>
      </c>
      <c r="BM52" s="22">
        <f t="shared" si="16"/>
        <v>0</v>
      </c>
      <c r="BN52" s="3" t="s">
        <v>31</v>
      </c>
      <c r="BO52" s="48">
        <v>0</v>
      </c>
      <c r="BP52" s="22">
        <f t="shared" si="17"/>
        <v>0</v>
      </c>
      <c r="BQ52" s="80" t="s">
        <v>31</v>
      </c>
      <c r="BR52" s="51">
        <v>0</v>
      </c>
      <c r="BS52" s="22">
        <f t="shared" si="18"/>
        <v>0</v>
      </c>
      <c r="BT52" s="2" t="s">
        <v>31</v>
      </c>
      <c r="BU52" s="48">
        <v>0</v>
      </c>
      <c r="BV52" s="78">
        <f t="shared" si="19"/>
        <v>0</v>
      </c>
      <c r="BX52"/>
      <c r="BY52"/>
    </row>
    <row r="53" spans="1:77">
      <c r="B53" s="13" t="s">
        <v>273</v>
      </c>
      <c r="C53" s="124" t="s">
        <v>241</v>
      </c>
      <c r="D53" s="130" t="s">
        <v>524</v>
      </c>
      <c r="E53" s="16">
        <v>1</v>
      </c>
      <c r="F53" s="134" t="s">
        <v>546</v>
      </c>
      <c r="G53" s="27">
        <v>0</v>
      </c>
      <c r="H53" s="139">
        <v>1</v>
      </c>
      <c r="I53" s="77">
        <v>19.62</v>
      </c>
      <c r="J53" s="48">
        <v>11012.4</v>
      </c>
      <c r="K53" s="48">
        <f t="shared" si="22"/>
        <v>5.1645640857290234</v>
      </c>
      <c r="L53" s="2">
        <v>19.84</v>
      </c>
      <c r="M53" s="48">
        <v>6366.15</v>
      </c>
      <c r="N53" s="100">
        <f t="shared" si="23"/>
        <v>2.8295107910669741</v>
      </c>
      <c r="O53" s="77" t="s">
        <v>172</v>
      </c>
      <c r="P53" s="48">
        <v>1304.5</v>
      </c>
      <c r="Q53" s="48">
        <f t="shared" si="20"/>
        <v>0.59033733853119807</v>
      </c>
      <c r="R53" s="2" t="s">
        <v>194</v>
      </c>
      <c r="S53" s="48">
        <v>1136.0999999999999</v>
      </c>
      <c r="T53" s="76">
        <f t="shared" si="24"/>
        <v>0.50771414009129556</v>
      </c>
      <c r="U53" s="77">
        <v>19.38</v>
      </c>
      <c r="V53" s="48">
        <v>2964.77</v>
      </c>
      <c r="W53" s="48">
        <f t="shared" si="21"/>
        <v>1.2840664015610954</v>
      </c>
      <c r="X53" s="2" t="s">
        <v>274</v>
      </c>
      <c r="Y53" s="48">
        <v>565.89</v>
      </c>
      <c r="Z53" s="76">
        <f t="shared" si="25"/>
        <v>0.19381637767400003</v>
      </c>
      <c r="AA53" s="77" t="s">
        <v>196</v>
      </c>
      <c r="AB53" s="48">
        <v>1451.6</v>
      </c>
      <c r="AC53" s="48">
        <f t="shared" si="26"/>
        <v>0.60154546129266717</v>
      </c>
      <c r="AD53" s="2" t="s">
        <v>275</v>
      </c>
      <c r="AE53" s="48">
        <v>1394</v>
      </c>
      <c r="AF53" s="76">
        <f t="shared" si="27"/>
        <v>0.49730172787021576</v>
      </c>
      <c r="AG53" s="77">
        <v>20.13</v>
      </c>
      <c r="AH53" s="48">
        <v>4926.76</v>
      </c>
      <c r="AI53" s="48">
        <f t="shared" si="28"/>
        <v>2.3643100876305811</v>
      </c>
      <c r="AJ53" s="3">
        <v>19.52</v>
      </c>
      <c r="AK53" s="48">
        <v>9521.7999999999993</v>
      </c>
      <c r="AL53" s="76">
        <f t="shared" si="7"/>
        <v>2.9718531629006426</v>
      </c>
      <c r="AM53" s="21">
        <v>19.96</v>
      </c>
      <c r="AN53" s="48">
        <v>6906.41</v>
      </c>
      <c r="AO53" s="48">
        <f t="shared" si="8"/>
        <v>2.8535118133581876</v>
      </c>
      <c r="AP53" s="2">
        <v>19.600000000000001</v>
      </c>
      <c r="AQ53" s="48">
        <v>13843.3</v>
      </c>
      <c r="AR53" s="48">
        <f t="shared" si="9"/>
        <v>5.3679656231189696</v>
      </c>
      <c r="AS53" s="77">
        <v>19.98</v>
      </c>
      <c r="AT53" s="48">
        <v>9048.56</v>
      </c>
      <c r="AU53" s="48">
        <f t="shared" si="10"/>
        <v>2.788513723257942</v>
      </c>
      <c r="AV53" s="2">
        <v>19.73</v>
      </c>
      <c r="AW53" s="48">
        <v>9417.73</v>
      </c>
      <c r="AX53" s="76">
        <f t="shared" si="11"/>
        <v>2.8452036732396842</v>
      </c>
      <c r="AY53" s="21">
        <v>19.649999999999999</v>
      </c>
      <c r="AZ53" s="48">
        <v>8157.86</v>
      </c>
      <c r="BA53" s="48">
        <f t="shared" si="29"/>
        <v>2.9938534671109926</v>
      </c>
      <c r="BB53" s="2">
        <v>19.66</v>
      </c>
      <c r="BC53" s="48">
        <v>8207</v>
      </c>
      <c r="BD53" s="48">
        <f t="shared" si="30"/>
        <v>2.7889785494348227</v>
      </c>
      <c r="BE53" s="77">
        <v>19.739999999999998</v>
      </c>
      <c r="BF53" s="48">
        <v>7490.25</v>
      </c>
      <c r="BG53" s="48">
        <f t="shared" si="14"/>
        <v>3.2315149600127393</v>
      </c>
      <c r="BH53" s="2">
        <v>19.61</v>
      </c>
      <c r="BI53" s="48">
        <v>8565.42</v>
      </c>
      <c r="BJ53" s="76">
        <f t="shared" si="15"/>
        <v>3.4430226978733525</v>
      </c>
      <c r="BK53" s="21">
        <v>19.73</v>
      </c>
      <c r="BL53" s="48">
        <v>7522.8</v>
      </c>
      <c r="BM53" s="48">
        <f t="shared" si="16"/>
        <v>3.4318624441212657</v>
      </c>
      <c r="BN53" s="2">
        <v>19.71</v>
      </c>
      <c r="BO53" s="48">
        <v>10553.39</v>
      </c>
      <c r="BP53" s="48">
        <f t="shared" si="17"/>
        <v>3.93468786286302</v>
      </c>
      <c r="BQ53" s="77">
        <v>19.670000000000002</v>
      </c>
      <c r="BR53" s="48">
        <v>8242.19</v>
      </c>
      <c r="BS53" s="48">
        <f t="shared" si="18"/>
        <v>3.3070957194761554</v>
      </c>
      <c r="BT53" s="2">
        <v>19.62</v>
      </c>
      <c r="BU53" s="48">
        <v>10770.28</v>
      </c>
      <c r="BV53" s="76">
        <f t="shared" si="19"/>
        <v>4.2221021718085749</v>
      </c>
      <c r="BX53"/>
      <c r="BY53"/>
    </row>
    <row r="54" spans="1:77">
      <c r="B54" s="13" t="s">
        <v>276</v>
      </c>
      <c r="C54" s="124" t="s">
        <v>241</v>
      </c>
      <c r="D54" s="128" t="s">
        <v>277</v>
      </c>
      <c r="E54" s="16">
        <v>1</v>
      </c>
      <c r="F54" s="134" t="s">
        <v>230</v>
      </c>
      <c r="G54" s="27">
        <v>0</v>
      </c>
      <c r="H54" s="139">
        <v>1</v>
      </c>
      <c r="I54" s="77">
        <v>23.73</v>
      </c>
      <c r="J54" s="48">
        <v>1814.55</v>
      </c>
      <c r="K54" s="48">
        <f t="shared" si="22"/>
        <v>0.85098250715190149</v>
      </c>
      <c r="L54" s="2">
        <v>23.85</v>
      </c>
      <c r="M54" s="48">
        <v>1964.87</v>
      </c>
      <c r="N54" s="100">
        <f t="shared" si="23"/>
        <v>0.87330975048400761</v>
      </c>
      <c r="O54" s="79" t="s">
        <v>31</v>
      </c>
      <c r="P54" s="54">
        <v>0</v>
      </c>
      <c r="Q54" s="54">
        <f t="shared" si="20"/>
        <v>0</v>
      </c>
      <c r="R54" s="36" t="s">
        <v>31</v>
      </c>
      <c r="S54" s="54">
        <v>0</v>
      </c>
      <c r="T54" s="102">
        <f t="shared" si="24"/>
        <v>0</v>
      </c>
      <c r="U54" s="79" t="s">
        <v>31</v>
      </c>
      <c r="V54" s="54">
        <v>0</v>
      </c>
      <c r="W54" s="54">
        <f t="shared" si="21"/>
        <v>0</v>
      </c>
      <c r="X54" s="36" t="s">
        <v>31</v>
      </c>
      <c r="Y54" s="54">
        <v>0</v>
      </c>
      <c r="Z54" s="102">
        <f t="shared" si="25"/>
        <v>0</v>
      </c>
      <c r="AA54" s="79" t="s">
        <v>31</v>
      </c>
      <c r="AB54" s="54">
        <v>0</v>
      </c>
      <c r="AC54" s="54">
        <f t="shared" si="26"/>
        <v>0</v>
      </c>
      <c r="AD54" s="36" t="s">
        <v>31</v>
      </c>
      <c r="AE54" s="54">
        <v>0</v>
      </c>
      <c r="AF54" s="102">
        <f t="shared" si="27"/>
        <v>0</v>
      </c>
      <c r="AG54" s="79" t="s">
        <v>31</v>
      </c>
      <c r="AH54" s="54">
        <v>0</v>
      </c>
      <c r="AI54" s="54">
        <f t="shared" si="28"/>
        <v>0</v>
      </c>
      <c r="AJ54" s="35" t="s">
        <v>31</v>
      </c>
      <c r="AK54" s="54">
        <v>0</v>
      </c>
      <c r="AL54" s="102">
        <f t="shared" si="7"/>
        <v>0</v>
      </c>
      <c r="AM54" s="37" t="s">
        <v>31</v>
      </c>
      <c r="AN54" s="54">
        <v>0</v>
      </c>
      <c r="AO54" s="54">
        <f t="shared" si="8"/>
        <v>0</v>
      </c>
      <c r="AP54" s="42" t="s">
        <v>31</v>
      </c>
      <c r="AQ54" s="63">
        <v>0</v>
      </c>
      <c r="AR54" s="54">
        <f t="shared" si="9"/>
        <v>0</v>
      </c>
      <c r="AS54" s="114">
        <v>23.78</v>
      </c>
      <c r="AT54" s="56">
        <v>22590.26</v>
      </c>
      <c r="AU54" s="56">
        <f t="shared" si="10"/>
        <v>6.9616878289987527</v>
      </c>
      <c r="AV54" s="6">
        <v>23.44</v>
      </c>
      <c r="AW54" s="56">
        <v>13633.37</v>
      </c>
      <c r="AX54" s="116">
        <f t="shared" si="11"/>
        <v>4.1187966105033507</v>
      </c>
      <c r="AY54" s="111">
        <v>23.77</v>
      </c>
      <c r="AZ54" s="56">
        <v>16786.38</v>
      </c>
      <c r="BA54" s="56">
        <f t="shared" si="29"/>
        <v>6.1604344721829785</v>
      </c>
      <c r="BB54" s="6">
        <v>23.66</v>
      </c>
      <c r="BC54" s="56">
        <v>18536.400000000001</v>
      </c>
      <c r="BD54" s="56">
        <f t="shared" si="30"/>
        <v>6.2992106718342447</v>
      </c>
      <c r="BE54" s="77">
        <v>23.93</v>
      </c>
      <c r="BF54" s="48">
        <v>1531.42</v>
      </c>
      <c r="BG54" s="48">
        <f t="shared" si="14"/>
        <v>0.66069979507529242</v>
      </c>
      <c r="BH54" s="2">
        <v>23.71</v>
      </c>
      <c r="BI54" s="48">
        <v>1884.88</v>
      </c>
      <c r="BJ54" s="76">
        <f t="shared" si="15"/>
        <v>0.75766099301231293</v>
      </c>
      <c r="BK54" s="21">
        <v>23.83</v>
      </c>
      <c r="BL54" s="48">
        <v>2024.64</v>
      </c>
      <c r="BM54" s="48">
        <f t="shared" si="16"/>
        <v>0.92363029442038591</v>
      </c>
      <c r="BN54" s="2">
        <v>23.72</v>
      </c>
      <c r="BO54" s="48">
        <v>3150.64</v>
      </c>
      <c r="BP54" s="48">
        <f t="shared" si="17"/>
        <v>1.1746732536417914</v>
      </c>
      <c r="BQ54" s="77">
        <v>23.78</v>
      </c>
      <c r="BR54" s="48">
        <v>2481.79</v>
      </c>
      <c r="BS54" s="48">
        <f t="shared" si="18"/>
        <v>0.99579324010229398</v>
      </c>
      <c r="BT54" s="2">
        <v>23.83</v>
      </c>
      <c r="BU54" s="48">
        <v>1984.76</v>
      </c>
      <c r="BV54" s="76">
        <f t="shared" si="19"/>
        <v>0.77805400662924151</v>
      </c>
      <c r="BX54"/>
      <c r="BY54"/>
    </row>
    <row r="55" spans="1:77">
      <c r="B55" s="50">
        <v>1024</v>
      </c>
      <c r="C55" s="124" t="s">
        <v>278</v>
      </c>
      <c r="D55" s="128" t="s">
        <v>526</v>
      </c>
      <c r="E55" s="16">
        <v>1</v>
      </c>
      <c r="F55" s="134" t="s">
        <v>109</v>
      </c>
      <c r="G55" s="27">
        <v>0</v>
      </c>
      <c r="H55" s="139">
        <v>0</v>
      </c>
      <c r="I55" s="80">
        <v>14.19</v>
      </c>
      <c r="J55" s="51">
        <v>255.46</v>
      </c>
      <c r="K55" s="22">
        <f t="shared" si="22"/>
        <v>0.11980490550110208</v>
      </c>
      <c r="L55" s="4">
        <v>14.35</v>
      </c>
      <c r="M55" s="51">
        <v>185.34</v>
      </c>
      <c r="N55" s="100">
        <f t="shared" si="23"/>
        <v>8.2376558833259186E-2</v>
      </c>
      <c r="O55" s="77">
        <v>14.33</v>
      </c>
      <c r="P55" s="48">
        <v>212.5</v>
      </c>
      <c r="Q55" s="48">
        <f t="shared" si="20"/>
        <v>9.6164572202284082E-2</v>
      </c>
      <c r="R55" s="2">
        <v>14.15</v>
      </c>
      <c r="S55" s="48">
        <v>170.43</v>
      </c>
      <c r="T55" s="78">
        <f t="shared" si="24"/>
        <v>7.6163824395528129E-2</v>
      </c>
      <c r="U55" s="77">
        <v>14.18</v>
      </c>
      <c r="V55" s="48">
        <v>170.51</v>
      </c>
      <c r="W55" s="48">
        <f t="shared" si="21"/>
        <v>7.3849290882659485E-2</v>
      </c>
      <c r="X55" s="2">
        <v>14.36</v>
      </c>
      <c r="Y55" s="48">
        <v>219.83</v>
      </c>
      <c r="Z55" s="78">
        <f t="shared" si="25"/>
        <v>7.5291406994425478E-2</v>
      </c>
      <c r="AA55" s="77">
        <v>14.23</v>
      </c>
      <c r="AB55" s="48">
        <v>346.54</v>
      </c>
      <c r="AC55" s="22">
        <f t="shared" si="26"/>
        <v>0.14360675403441778</v>
      </c>
      <c r="AD55" s="2">
        <v>14.2</v>
      </c>
      <c r="AE55" s="48">
        <v>334.77</v>
      </c>
      <c r="AF55" s="78">
        <f t="shared" si="27"/>
        <v>0.11942733101801443</v>
      </c>
      <c r="AG55" s="80">
        <v>14.64</v>
      </c>
      <c r="AH55" s="51">
        <v>218.83</v>
      </c>
      <c r="AI55" s="22">
        <f t="shared" si="28"/>
        <v>0.10501464988678158</v>
      </c>
      <c r="AJ55" s="3">
        <v>14.1</v>
      </c>
      <c r="AK55" s="48">
        <v>259.89999999999998</v>
      </c>
      <c r="AL55" s="78">
        <f t="shared" si="7"/>
        <v>8.1117502682043E-2</v>
      </c>
      <c r="AM55" s="21">
        <v>14.53</v>
      </c>
      <c r="AN55" s="48">
        <v>215.82</v>
      </c>
      <c r="AO55" s="22">
        <f t="shared" si="8"/>
        <v>8.9170049209207694E-2</v>
      </c>
      <c r="AP55" s="2">
        <v>14.16</v>
      </c>
      <c r="AQ55" s="48">
        <v>221.5</v>
      </c>
      <c r="AR55" s="22">
        <f t="shared" si="9"/>
        <v>8.5890241887472768E-2</v>
      </c>
      <c r="AS55" s="79" t="s">
        <v>31</v>
      </c>
      <c r="AT55" s="54">
        <v>0</v>
      </c>
      <c r="AU55" s="55">
        <f t="shared" si="10"/>
        <v>0</v>
      </c>
      <c r="AV55" s="36" t="s">
        <v>31</v>
      </c>
      <c r="AW55" s="54">
        <v>0</v>
      </c>
      <c r="AX55" s="82">
        <f t="shared" si="11"/>
        <v>0</v>
      </c>
      <c r="AY55" s="37" t="s">
        <v>31</v>
      </c>
      <c r="AZ55" s="54">
        <v>0</v>
      </c>
      <c r="BA55" s="55">
        <f t="shared" si="29"/>
        <v>0</v>
      </c>
      <c r="BB55" s="36" t="s">
        <v>31</v>
      </c>
      <c r="BC55" s="54">
        <v>0</v>
      </c>
      <c r="BD55" s="55">
        <f t="shared" si="30"/>
        <v>0</v>
      </c>
      <c r="BE55" s="77">
        <v>14.28</v>
      </c>
      <c r="BF55" s="48">
        <v>176.21</v>
      </c>
      <c r="BG55" s="22">
        <f t="shared" si="14"/>
        <v>7.6022195668214651E-2</v>
      </c>
      <c r="BH55" s="2">
        <v>14.19</v>
      </c>
      <c r="BI55" s="48">
        <v>148.30000000000001</v>
      </c>
      <c r="BJ55" s="78">
        <f t="shared" si="15"/>
        <v>5.9611818929441673E-2</v>
      </c>
      <c r="BK55" s="21">
        <v>14.2</v>
      </c>
      <c r="BL55" s="48">
        <v>146.12</v>
      </c>
      <c r="BM55" s="22">
        <f t="shared" si="16"/>
        <v>6.665918811280365E-2</v>
      </c>
      <c r="BN55" s="2" t="s">
        <v>279</v>
      </c>
      <c r="BO55" s="48">
        <v>84.4</v>
      </c>
      <c r="BP55" s="22">
        <f t="shared" si="17"/>
        <v>3.1467391579922559E-2</v>
      </c>
      <c r="BQ55" s="77">
        <v>14.21</v>
      </c>
      <c r="BR55" s="48">
        <v>186.75</v>
      </c>
      <c r="BS55" s="22">
        <f t="shared" si="18"/>
        <v>7.4931556493137361E-2</v>
      </c>
      <c r="BT55" s="2">
        <v>14.1</v>
      </c>
      <c r="BU55" s="48">
        <v>165.62</v>
      </c>
      <c r="BV55" s="78">
        <f t="shared" si="19"/>
        <v>6.4925383712859483E-2</v>
      </c>
      <c r="BX55"/>
      <c r="BY55"/>
    </row>
    <row r="56" spans="1:77" s="9" customFormat="1">
      <c r="A56" s="13"/>
      <c r="B56" s="50" t="s">
        <v>280</v>
      </c>
      <c r="C56" s="124" t="s">
        <v>281</v>
      </c>
      <c r="D56" s="128" t="s">
        <v>522</v>
      </c>
      <c r="E56" s="16">
        <v>0</v>
      </c>
      <c r="F56" s="134">
        <v>0</v>
      </c>
      <c r="G56" s="16">
        <v>0</v>
      </c>
      <c r="H56" s="140">
        <v>1</v>
      </c>
      <c r="I56" s="87" t="s">
        <v>31</v>
      </c>
      <c r="J56" s="58">
        <v>0</v>
      </c>
      <c r="K56" s="58">
        <f t="shared" si="22"/>
        <v>0</v>
      </c>
      <c r="L56" s="5" t="s">
        <v>31</v>
      </c>
      <c r="M56" s="58">
        <v>0</v>
      </c>
      <c r="N56" s="58">
        <f t="shared" si="23"/>
        <v>0</v>
      </c>
      <c r="O56" s="104">
        <v>20.59</v>
      </c>
      <c r="P56" s="64">
        <v>2031.71</v>
      </c>
      <c r="Q56" s="49">
        <f t="shared" si="20"/>
        <v>0.91942834347812985</v>
      </c>
      <c r="R56" s="33">
        <v>20.43</v>
      </c>
      <c r="S56" s="64">
        <v>2139.65</v>
      </c>
      <c r="T56" s="105">
        <f t="shared" si="24"/>
        <v>0.95619272937799549</v>
      </c>
      <c r="U56" s="104">
        <v>20.48</v>
      </c>
      <c r="V56" s="64">
        <v>1919.44</v>
      </c>
      <c r="W56" s="49">
        <f t="shared" si="21"/>
        <v>0.8313253351229366</v>
      </c>
      <c r="X56" s="33" t="s">
        <v>282</v>
      </c>
      <c r="Y56" s="64">
        <v>2371.4</v>
      </c>
      <c r="Z56" s="105">
        <f t="shared" si="25"/>
        <v>0.81220053016685878</v>
      </c>
      <c r="AA56" s="104">
        <v>20.22</v>
      </c>
      <c r="AB56" s="64">
        <v>2349.8200000000002</v>
      </c>
      <c r="AC56" s="64">
        <f t="shared" si="26"/>
        <v>0.97376932753839573</v>
      </c>
      <c r="AD56" s="33">
        <v>20.46</v>
      </c>
      <c r="AE56" s="64">
        <v>2350.14</v>
      </c>
      <c r="AF56" s="105">
        <f t="shared" si="27"/>
        <v>0.83839934199204358</v>
      </c>
      <c r="AG56" s="87" t="s">
        <v>31</v>
      </c>
      <c r="AH56" s="58">
        <v>0</v>
      </c>
      <c r="AI56" s="58">
        <f t="shared" si="28"/>
        <v>0</v>
      </c>
      <c r="AJ56" s="7" t="s">
        <v>31</v>
      </c>
      <c r="AK56" s="58">
        <v>0</v>
      </c>
      <c r="AL56" s="84">
        <f t="shared" si="7"/>
        <v>0</v>
      </c>
      <c r="AM56" s="25" t="s">
        <v>31</v>
      </c>
      <c r="AN56" s="58">
        <v>0</v>
      </c>
      <c r="AO56" s="58">
        <f t="shared" si="8"/>
        <v>0</v>
      </c>
      <c r="AP56" s="8" t="s">
        <v>31</v>
      </c>
      <c r="AQ56" s="58">
        <v>0</v>
      </c>
      <c r="AR56" s="58">
        <f t="shared" si="9"/>
        <v>0</v>
      </c>
      <c r="AS56" s="104">
        <v>20.76</v>
      </c>
      <c r="AT56" s="64">
        <v>7351.53</v>
      </c>
      <c r="AU56" s="64">
        <f t="shared" si="10"/>
        <v>2.2655364270052316</v>
      </c>
      <c r="AV56" s="33">
        <v>20.420000000000002</v>
      </c>
      <c r="AW56" s="64">
        <v>5214.82</v>
      </c>
      <c r="AX56" s="105">
        <f t="shared" si="11"/>
        <v>1.5754566142036106</v>
      </c>
      <c r="AY56" s="95">
        <v>20.45</v>
      </c>
      <c r="AZ56" s="64">
        <v>3054.04</v>
      </c>
      <c r="BA56" s="64">
        <f t="shared" si="29"/>
        <v>1.1208022989724826</v>
      </c>
      <c r="BB56" s="33">
        <v>20.45</v>
      </c>
      <c r="BC56" s="64">
        <v>3719.59</v>
      </c>
      <c r="BD56" s="64">
        <f t="shared" si="30"/>
        <v>1.2640254322763826</v>
      </c>
      <c r="BE56" s="87" t="s">
        <v>31</v>
      </c>
      <c r="BF56" s="58">
        <v>0</v>
      </c>
      <c r="BG56" s="58">
        <f t="shared" si="14"/>
        <v>0</v>
      </c>
      <c r="BH56" s="5" t="s">
        <v>31</v>
      </c>
      <c r="BI56" s="58">
        <v>0</v>
      </c>
      <c r="BJ56" s="84">
        <f t="shared" si="15"/>
        <v>0</v>
      </c>
      <c r="BK56" s="25" t="s">
        <v>31</v>
      </c>
      <c r="BL56" s="58">
        <v>0</v>
      </c>
      <c r="BM56" s="58">
        <f t="shared" si="16"/>
        <v>0</v>
      </c>
      <c r="BN56" s="7" t="s">
        <v>31</v>
      </c>
      <c r="BO56" s="58">
        <v>0</v>
      </c>
      <c r="BP56" s="58">
        <f t="shared" si="17"/>
        <v>0</v>
      </c>
      <c r="BQ56" s="87" t="s">
        <v>31</v>
      </c>
      <c r="BR56" s="58">
        <v>0</v>
      </c>
      <c r="BS56" s="58">
        <f t="shared" si="18"/>
        <v>0</v>
      </c>
      <c r="BT56" s="5" t="s">
        <v>31</v>
      </c>
      <c r="BU56" s="58">
        <v>0</v>
      </c>
      <c r="BV56" s="84">
        <f t="shared" si="19"/>
        <v>0</v>
      </c>
    </row>
    <row r="57" spans="1:77">
      <c r="B57" s="50" t="s">
        <v>283</v>
      </c>
      <c r="C57" s="124" t="s">
        <v>281</v>
      </c>
      <c r="D57" s="131" t="s">
        <v>523</v>
      </c>
      <c r="E57" s="16">
        <v>0</v>
      </c>
      <c r="F57" s="134">
        <v>0</v>
      </c>
      <c r="G57" s="27">
        <v>0</v>
      </c>
      <c r="H57" s="139">
        <v>1</v>
      </c>
      <c r="I57" s="77" t="s">
        <v>31</v>
      </c>
      <c r="J57" s="48">
        <v>0</v>
      </c>
      <c r="K57" s="22">
        <f t="shared" si="22"/>
        <v>0</v>
      </c>
      <c r="L57" s="2" t="s">
        <v>31</v>
      </c>
      <c r="M57" s="48">
        <v>0</v>
      </c>
      <c r="N57" s="100">
        <f t="shared" si="23"/>
        <v>0</v>
      </c>
      <c r="O57" s="80" t="s">
        <v>31</v>
      </c>
      <c r="P57" s="51">
        <v>0</v>
      </c>
      <c r="Q57" s="48">
        <f t="shared" si="20"/>
        <v>0</v>
      </c>
      <c r="R57" s="2" t="s">
        <v>31</v>
      </c>
      <c r="S57" s="48">
        <v>0</v>
      </c>
      <c r="T57" s="78">
        <f t="shared" si="24"/>
        <v>0</v>
      </c>
      <c r="U57" s="80" t="s">
        <v>31</v>
      </c>
      <c r="V57" s="51">
        <v>0</v>
      </c>
      <c r="W57" s="48">
        <f t="shared" si="21"/>
        <v>0</v>
      </c>
      <c r="X57" s="2" t="s">
        <v>31</v>
      </c>
      <c r="Y57" s="48">
        <v>0</v>
      </c>
      <c r="Z57" s="78">
        <f t="shared" si="25"/>
        <v>0</v>
      </c>
      <c r="AA57" s="80" t="s">
        <v>31</v>
      </c>
      <c r="AB57" s="51">
        <v>0</v>
      </c>
      <c r="AC57" s="22">
        <f t="shared" si="26"/>
        <v>0</v>
      </c>
      <c r="AD57" s="2" t="s">
        <v>31</v>
      </c>
      <c r="AE57" s="48">
        <v>0</v>
      </c>
      <c r="AF57" s="78">
        <f t="shared" si="27"/>
        <v>0</v>
      </c>
      <c r="AG57" s="80" t="s">
        <v>31</v>
      </c>
      <c r="AH57" s="51">
        <v>0</v>
      </c>
      <c r="AI57" s="22">
        <f t="shared" si="28"/>
        <v>0</v>
      </c>
      <c r="AJ57" s="3" t="s">
        <v>31</v>
      </c>
      <c r="AK57" s="48">
        <v>0</v>
      </c>
      <c r="AL57" s="78">
        <f t="shared" si="7"/>
        <v>0</v>
      </c>
      <c r="AM57" s="22" t="s">
        <v>31</v>
      </c>
      <c r="AN57" s="51">
        <v>0</v>
      </c>
      <c r="AO57" s="22">
        <f t="shared" si="8"/>
        <v>0</v>
      </c>
      <c r="AP57" s="2" t="s">
        <v>31</v>
      </c>
      <c r="AQ57" s="48">
        <v>0</v>
      </c>
      <c r="AR57" s="22">
        <f t="shared" si="9"/>
        <v>0</v>
      </c>
      <c r="AS57" s="112">
        <v>22.76</v>
      </c>
      <c r="AT57" s="52">
        <v>9475.89</v>
      </c>
      <c r="AU57" s="49">
        <f t="shared" si="10"/>
        <v>2.9202049060936437</v>
      </c>
      <c r="AV57" s="34">
        <v>22.43</v>
      </c>
      <c r="AW57" s="49">
        <v>8557.75</v>
      </c>
      <c r="AX57" s="103">
        <f t="shared" si="11"/>
        <v>2.5853939043343677</v>
      </c>
      <c r="AY57" s="53">
        <v>22.66</v>
      </c>
      <c r="AZ57" s="52">
        <v>6487.18</v>
      </c>
      <c r="BA57" s="53">
        <f t="shared" si="29"/>
        <v>2.380730526727977</v>
      </c>
      <c r="BB57" s="34">
        <v>22.55</v>
      </c>
      <c r="BC57" s="49">
        <v>7916.23</v>
      </c>
      <c r="BD57" s="53">
        <f t="shared" si="30"/>
        <v>2.6901664021435878</v>
      </c>
      <c r="BE57" s="80" t="s">
        <v>31</v>
      </c>
      <c r="BF57" s="51">
        <v>0</v>
      </c>
      <c r="BG57" s="22">
        <f t="shared" si="14"/>
        <v>0</v>
      </c>
      <c r="BH57" s="2" t="s">
        <v>31</v>
      </c>
      <c r="BI57" s="48">
        <v>0</v>
      </c>
      <c r="BJ57" s="78">
        <f t="shared" si="15"/>
        <v>0</v>
      </c>
      <c r="BK57" s="22" t="s">
        <v>31</v>
      </c>
      <c r="BL57" s="51">
        <v>0</v>
      </c>
      <c r="BM57" s="22">
        <f t="shared" si="16"/>
        <v>0</v>
      </c>
      <c r="BN57" s="3" t="s">
        <v>31</v>
      </c>
      <c r="BO57" s="48">
        <v>0</v>
      </c>
      <c r="BP57" s="22">
        <f t="shared" si="17"/>
        <v>0</v>
      </c>
      <c r="BQ57" s="80" t="s">
        <v>31</v>
      </c>
      <c r="BR57" s="51">
        <v>0</v>
      </c>
      <c r="BS57" s="22">
        <f t="shared" si="18"/>
        <v>0</v>
      </c>
      <c r="BT57" s="2" t="s">
        <v>31</v>
      </c>
      <c r="BU57" s="48">
        <v>0</v>
      </c>
      <c r="BV57" s="78">
        <f t="shared" si="19"/>
        <v>0</v>
      </c>
      <c r="BX57"/>
      <c r="BY57"/>
    </row>
    <row r="58" spans="1:77">
      <c r="B58" s="50">
        <v>1040</v>
      </c>
      <c r="C58" s="124" t="s">
        <v>284</v>
      </c>
      <c r="D58" s="128" t="s">
        <v>285</v>
      </c>
      <c r="E58" s="16">
        <v>1</v>
      </c>
      <c r="F58" s="134" t="s">
        <v>109</v>
      </c>
      <c r="G58" s="27">
        <v>0</v>
      </c>
      <c r="H58" s="139">
        <v>0</v>
      </c>
      <c r="I58" s="77">
        <v>14.04</v>
      </c>
      <c r="J58" s="48">
        <v>233.88</v>
      </c>
      <c r="K58" s="22">
        <f t="shared" si="22"/>
        <v>0.10968437837077331</v>
      </c>
      <c r="L58" s="2">
        <v>14.19</v>
      </c>
      <c r="M58" s="48">
        <v>267.37</v>
      </c>
      <c r="N58" s="100">
        <f t="shared" si="23"/>
        <v>0.11883576419147789</v>
      </c>
      <c r="O58" s="77">
        <v>14.23</v>
      </c>
      <c r="P58" s="48">
        <v>264.37</v>
      </c>
      <c r="Q58" s="48">
        <f t="shared" si="20"/>
        <v>0.11963777860290749</v>
      </c>
      <c r="R58" s="2">
        <v>14.05</v>
      </c>
      <c r="S58" s="48">
        <v>226.44</v>
      </c>
      <c r="T58" s="78">
        <f t="shared" si="24"/>
        <v>0.10119425216290202</v>
      </c>
      <c r="U58" s="77">
        <v>14.08</v>
      </c>
      <c r="V58" s="48">
        <v>261.77999999999997</v>
      </c>
      <c r="W58" s="48">
        <f t="shared" si="21"/>
        <v>0.1133790825597478</v>
      </c>
      <c r="X58" s="2">
        <v>14.16</v>
      </c>
      <c r="Y58" s="48">
        <v>267.18</v>
      </c>
      <c r="Z58" s="78">
        <f t="shared" si="25"/>
        <v>9.1508702728338248E-2</v>
      </c>
      <c r="AA58" s="77">
        <v>14.03</v>
      </c>
      <c r="AB58" s="48">
        <v>518.97</v>
      </c>
      <c r="AC58" s="22">
        <f t="shared" si="26"/>
        <v>0.21506203365049287</v>
      </c>
      <c r="AD58" s="2">
        <v>14.1</v>
      </c>
      <c r="AE58" s="48">
        <v>514.99</v>
      </c>
      <c r="AF58" s="78">
        <f t="shared" si="27"/>
        <v>0.18371981121655839</v>
      </c>
      <c r="AG58" s="77">
        <v>14.54</v>
      </c>
      <c r="AH58" s="48">
        <v>288.99</v>
      </c>
      <c r="AI58" s="22">
        <f t="shared" si="28"/>
        <v>0.13868383526381672</v>
      </c>
      <c r="AJ58" s="3">
        <v>13.97</v>
      </c>
      <c r="AK58" s="48">
        <v>397.12</v>
      </c>
      <c r="AL58" s="78">
        <f t="shared" si="7"/>
        <v>0.1239452969030124</v>
      </c>
      <c r="AM58" s="21">
        <v>14.32</v>
      </c>
      <c r="AN58" s="48">
        <v>277.3</v>
      </c>
      <c r="AO58" s="22">
        <f t="shared" si="8"/>
        <v>0.11457165529475161</v>
      </c>
      <c r="AP58" s="2">
        <v>14.06</v>
      </c>
      <c r="AQ58" s="48">
        <v>305.56</v>
      </c>
      <c r="AR58" s="22">
        <f t="shared" si="9"/>
        <v>0.11848587950851548</v>
      </c>
      <c r="AS58" s="79" t="s">
        <v>31</v>
      </c>
      <c r="AT58" s="54">
        <v>0</v>
      </c>
      <c r="AU58" s="55">
        <f t="shared" si="10"/>
        <v>0</v>
      </c>
      <c r="AV58" s="36" t="s">
        <v>31</v>
      </c>
      <c r="AW58" s="54">
        <v>0</v>
      </c>
      <c r="AX58" s="82">
        <f t="shared" si="11"/>
        <v>0</v>
      </c>
      <c r="AY58" s="37" t="s">
        <v>31</v>
      </c>
      <c r="AZ58" s="54">
        <v>0</v>
      </c>
      <c r="BA58" s="55">
        <f t="shared" si="29"/>
        <v>0</v>
      </c>
      <c r="BB58" s="36" t="s">
        <v>31</v>
      </c>
      <c r="BC58" s="54">
        <v>0</v>
      </c>
      <c r="BD58" s="55">
        <f t="shared" si="30"/>
        <v>0</v>
      </c>
      <c r="BE58" s="77">
        <v>14.08</v>
      </c>
      <c r="BF58" s="48">
        <v>299.08999999999997</v>
      </c>
      <c r="BG58" s="22">
        <f t="shared" si="14"/>
        <v>0.12903625505026001</v>
      </c>
      <c r="BH58" s="2">
        <v>14</v>
      </c>
      <c r="BI58" s="48">
        <v>213.64</v>
      </c>
      <c r="BJ58" s="78">
        <f t="shared" si="15"/>
        <v>8.587639242134805E-2</v>
      </c>
      <c r="BK58" s="21">
        <v>14.15</v>
      </c>
      <c r="BL58" s="48">
        <v>93.57</v>
      </c>
      <c r="BM58" s="22">
        <f t="shared" si="16"/>
        <v>4.2686149956987662E-2</v>
      </c>
      <c r="BN58" s="2">
        <v>14.1</v>
      </c>
      <c r="BO58" s="48">
        <v>230.96</v>
      </c>
      <c r="BP58" s="22">
        <f t="shared" si="17"/>
        <v>8.6110293356622195E-2</v>
      </c>
      <c r="BQ58" s="77">
        <v>14.11</v>
      </c>
      <c r="BR58" s="48">
        <v>234.7</v>
      </c>
      <c r="BS58" s="22">
        <f t="shared" si="18"/>
        <v>9.4171011025110246E-2</v>
      </c>
      <c r="BT58" s="2">
        <v>14.1</v>
      </c>
      <c r="BU58" s="48">
        <v>172.69</v>
      </c>
      <c r="BV58" s="78">
        <f t="shared" si="19"/>
        <v>6.7696923761464203E-2</v>
      </c>
      <c r="BX58"/>
      <c r="BY58"/>
    </row>
    <row r="59" spans="1:77" ht="14.7" customHeight="1">
      <c r="B59" s="50" t="s">
        <v>286</v>
      </c>
      <c r="C59" s="124" t="s">
        <v>287</v>
      </c>
      <c r="D59" s="128" t="s">
        <v>288</v>
      </c>
      <c r="E59" s="16">
        <v>2</v>
      </c>
      <c r="F59" s="135" t="s">
        <v>545</v>
      </c>
      <c r="G59" s="27">
        <v>0</v>
      </c>
      <c r="H59" s="141">
        <v>1</v>
      </c>
      <c r="I59" s="77" t="s">
        <v>295</v>
      </c>
      <c r="J59" s="48">
        <v>455.6</v>
      </c>
      <c r="K59" s="22">
        <f t="shared" si="22"/>
        <v>0.21366599446606946</v>
      </c>
      <c r="L59" s="2">
        <v>16.18</v>
      </c>
      <c r="M59" s="48">
        <v>673.49</v>
      </c>
      <c r="N59" s="100">
        <f t="shared" si="23"/>
        <v>0.29934060973676346</v>
      </c>
      <c r="O59" s="77" t="s">
        <v>292</v>
      </c>
      <c r="P59" s="48">
        <v>752.6</v>
      </c>
      <c r="Q59" s="48">
        <f t="shared" si="20"/>
        <v>0.34058097430324241</v>
      </c>
      <c r="R59" s="2">
        <v>15.96</v>
      </c>
      <c r="S59" s="48">
        <v>1178.97</v>
      </c>
      <c r="T59" s="78">
        <f t="shared" si="24"/>
        <v>0.52687240537226898</v>
      </c>
      <c r="U59" s="77" t="s">
        <v>250</v>
      </c>
      <c r="V59" s="48">
        <v>427.2</v>
      </c>
      <c r="W59" s="48">
        <f t="shared" si="21"/>
        <v>0.18502385235512364</v>
      </c>
      <c r="X59" s="2" t="s">
        <v>293</v>
      </c>
      <c r="Y59" s="48">
        <v>997.86</v>
      </c>
      <c r="Z59" s="78">
        <f t="shared" si="25"/>
        <v>0.34176537953626623</v>
      </c>
      <c r="AA59" s="77" t="s">
        <v>294</v>
      </c>
      <c r="AB59" s="48">
        <v>954</v>
      </c>
      <c r="AC59" s="22">
        <f t="shared" si="26"/>
        <v>0.39533919128768563</v>
      </c>
      <c r="AD59" s="2">
        <v>16</v>
      </c>
      <c r="AE59" s="48">
        <v>1606.21</v>
      </c>
      <c r="AF59" s="78">
        <f t="shared" si="27"/>
        <v>0.57300646221120466</v>
      </c>
      <c r="AG59" s="77">
        <v>16.850000000000001</v>
      </c>
      <c r="AH59" s="48">
        <v>1146.25</v>
      </c>
      <c r="AI59" s="22">
        <f t="shared" si="28"/>
        <v>0.55007559490345648</v>
      </c>
      <c r="AJ59" s="3">
        <v>15.87</v>
      </c>
      <c r="AK59" s="48">
        <v>1587.73</v>
      </c>
      <c r="AL59" s="78">
        <f t="shared" si="7"/>
        <v>0.49554710478399444</v>
      </c>
      <c r="AM59" s="21" t="s">
        <v>258</v>
      </c>
      <c r="AN59" s="48">
        <v>1304.7</v>
      </c>
      <c r="AO59" s="22">
        <f t="shared" si="8"/>
        <v>0.53906108425193799</v>
      </c>
      <c r="AP59" s="2">
        <v>15.94</v>
      </c>
      <c r="AQ59" s="48">
        <v>1096.1199999999999</v>
      </c>
      <c r="AR59" s="22">
        <f t="shared" si="9"/>
        <v>0.42503842861262592</v>
      </c>
      <c r="AS59" s="79" t="s">
        <v>31</v>
      </c>
      <c r="AT59" s="54">
        <v>0</v>
      </c>
      <c r="AU59" s="55">
        <f t="shared" si="10"/>
        <v>0</v>
      </c>
      <c r="AV59" s="36" t="s">
        <v>31</v>
      </c>
      <c r="AW59" s="54">
        <v>0</v>
      </c>
      <c r="AX59" s="82">
        <f t="shared" si="11"/>
        <v>0</v>
      </c>
      <c r="AY59" s="37" t="s">
        <v>31</v>
      </c>
      <c r="AZ59" s="54">
        <v>0</v>
      </c>
      <c r="BA59" s="55">
        <f t="shared" si="29"/>
        <v>0</v>
      </c>
      <c r="BB59" s="36" t="s">
        <v>31</v>
      </c>
      <c r="BC59" s="54">
        <v>0</v>
      </c>
      <c r="BD59" s="55">
        <f t="shared" si="30"/>
        <v>0</v>
      </c>
      <c r="BE59" s="77" t="s">
        <v>267</v>
      </c>
      <c r="BF59" s="48">
        <v>459.7</v>
      </c>
      <c r="BG59" s="22">
        <f t="shared" si="14"/>
        <v>0.19832815021098843</v>
      </c>
      <c r="BH59" s="2" t="s">
        <v>246</v>
      </c>
      <c r="BI59" s="48">
        <v>754.42</v>
      </c>
      <c r="BJ59" s="78">
        <f t="shared" si="15"/>
        <v>0.30325251811698839</v>
      </c>
      <c r="BK59" s="21">
        <v>16.260000000000002</v>
      </c>
      <c r="BL59" s="48">
        <v>684.35</v>
      </c>
      <c r="BM59" s="22">
        <f t="shared" si="16"/>
        <v>0.31219692981793851</v>
      </c>
      <c r="BN59" s="2" t="s">
        <v>289</v>
      </c>
      <c r="BO59" s="48">
        <v>835.37</v>
      </c>
      <c r="BP59" s="22">
        <f t="shared" si="17"/>
        <v>0.31145633772653913</v>
      </c>
      <c r="BQ59" s="77" t="s">
        <v>290</v>
      </c>
      <c r="BR59" s="48">
        <v>953.6</v>
      </c>
      <c r="BS59" s="22">
        <f t="shared" si="18"/>
        <v>0.38262239503001766</v>
      </c>
      <c r="BT59" s="2" t="s">
        <v>291</v>
      </c>
      <c r="BU59" s="48">
        <v>707.68</v>
      </c>
      <c r="BV59" s="78">
        <f t="shared" si="19"/>
        <v>0.27742057448325319</v>
      </c>
      <c r="BX59"/>
      <c r="BY59"/>
    </row>
    <row r="60" spans="1:77">
      <c r="B60" s="50" t="s">
        <v>296</v>
      </c>
      <c r="C60" s="124" t="s">
        <v>287</v>
      </c>
      <c r="D60" s="128" t="s">
        <v>297</v>
      </c>
      <c r="E60" s="16">
        <v>2</v>
      </c>
      <c r="F60" s="135" t="s">
        <v>545</v>
      </c>
      <c r="G60" s="27">
        <v>0</v>
      </c>
      <c r="H60" s="141">
        <v>1</v>
      </c>
      <c r="I60" s="80" t="s">
        <v>120</v>
      </c>
      <c r="J60" s="51">
        <v>2130.5</v>
      </c>
      <c r="K60" s="22">
        <f t="shared" si="22"/>
        <v>0.99915584111053768</v>
      </c>
      <c r="L60" s="4">
        <v>17.190000000000001</v>
      </c>
      <c r="M60" s="51">
        <v>2112.15</v>
      </c>
      <c r="N60" s="100">
        <f t="shared" si="23"/>
        <v>0.93877009139780088</v>
      </c>
      <c r="O60" s="77">
        <v>17.350000000000001</v>
      </c>
      <c r="P60" s="48">
        <v>1477.97</v>
      </c>
      <c r="Q60" s="48">
        <f t="shared" si="20"/>
        <v>0.66883930718969331</v>
      </c>
      <c r="R60" s="2" t="s">
        <v>303</v>
      </c>
      <c r="S60" s="48">
        <v>2069.67</v>
      </c>
      <c r="T60" s="78">
        <f t="shared" si="24"/>
        <v>0.9249192186627514</v>
      </c>
      <c r="U60" s="77" t="s">
        <v>304</v>
      </c>
      <c r="V60" s="48">
        <v>1892.8</v>
      </c>
      <c r="W60" s="48">
        <f t="shared" si="21"/>
        <v>0.81978733084685873</v>
      </c>
      <c r="X60" s="2" t="s">
        <v>305</v>
      </c>
      <c r="Y60" s="48">
        <v>2980.98</v>
      </c>
      <c r="Z60" s="78">
        <f t="shared" si="25"/>
        <v>1.0209806597017808</v>
      </c>
      <c r="AA60" s="77">
        <v>17.079999999999998</v>
      </c>
      <c r="AB60" s="48">
        <v>1767.32</v>
      </c>
      <c r="AC60" s="22">
        <f t="shared" si="26"/>
        <v>0.73238035591881812</v>
      </c>
      <c r="AD60" s="2">
        <v>17.12</v>
      </c>
      <c r="AE60" s="48">
        <v>2612.8000000000002</v>
      </c>
      <c r="AF60" s="78">
        <f t="shared" si="27"/>
        <v>0.9321018325532997</v>
      </c>
      <c r="AG60" s="80" t="s">
        <v>298</v>
      </c>
      <c r="AH60" s="51">
        <v>1348.3</v>
      </c>
      <c r="AI60" s="22">
        <f t="shared" si="28"/>
        <v>0.64703766596146595</v>
      </c>
      <c r="AJ60" s="3" t="s">
        <v>299</v>
      </c>
      <c r="AK60" s="48">
        <v>2159.1999999999998</v>
      </c>
      <c r="AL60" s="78">
        <f t="shared" si="7"/>
        <v>0.67390885644889287</v>
      </c>
      <c r="AM60" s="21">
        <v>17.62</v>
      </c>
      <c r="AN60" s="48">
        <v>1802.54</v>
      </c>
      <c r="AO60" s="22">
        <f t="shared" si="8"/>
        <v>0.74475294459070163</v>
      </c>
      <c r="AP60" s="2">
        <v>17.059999999999999</v>
      </c>
      <c r="AQ60" s="48">
        <v>1962.34</v>
      </c>
      <c r="AR60" s="22">
        <f t="shared" si="9"/>
        <v>0.76092937817364925</v>
      </c>
      <c r="AS60" s="79" t="s">
        <v>31</v>
      </c>
      <c r="AT60" s="54">
        <v>0</v>
      </c>
      <c r="AU60" s="55">
        <f t="shared" si="10"/>
        <v>0</v>
      </c>
      <c r="AV60" s="36" t="s">
        <v>31</v>
      </c>
      <c r="AW60" s="54">
        <v>0</v>
      </c>
      <c r="AX60" s="82">
        <f t="shared" si="11"/>
        <v>0</v>
      </c>
      <c r="AY60" s="37" t="s">
        <v>31</v>
      </c>
      <c r="AZ60" s="54">
        <v>0</v>
      </c>
      <c r="BA60" s="55">
        <f t="shared" si="29"/>
        <v>0</v>
      </c>
      <c r="BB60" s="36" t="s">
        <v>31</v>
      </c>
      <c r="BC60" s="54">
        <v>0</v>
      </c>
      <c r="BD60" s="55">
        <f t="shared" si="30"/>
        <v>0</v>
      </c>
      <c r="BE60" s="77">
        <v>17.29</v>
      </c>
      <c r="BF60" s="48">
        <v>1854.78</v>
      </c>
      <c r="BG60" s="22">
        <f t="shared" si="14"/>
        <v>0.8002068445689301</v>
      </c>
      <c r="BH60" s="2">
        <v>17.079999999999998</v>
      </c>
      <c r="BI60" s="48">
        <v>1861.92</v>
      </c>
      <c r="BJ60" s="78">
        <f t="shared" si="15"/>
        <v>0.74843181322391117</v>
      </c>
      <c r="BK60" s="21" t="s">
        <v>300</v>
      </c>
      <c r="BL60" s="48">
        <v>2240.9</v>
      </c>
      <c r="BM60" s="22">
        <f t="shared" si="16"/>
        <v>1.0222869876949199</v>
      </c>
      <c r="BN60" s="2">
        <v>17.09</v>
      </c>
      <c r="BO60" s="48">
        <v>2508.21</v>
      </c>
      <c r="BP60" s="22">
        <f t="shared" si="17"/>
        <v>0.93515196960518421</v>
      </c>
      <c r="BQ60" s="77" t="s">
        <v>301</v>
      </c>
      <c r="BR60" s="48">
        <v>2624.9</v>
      </c>
      <c r="BS60" s="22">
        <f t="shared" si="18"/>
        <v>1.0532146861517337</v>
      </c>
      <c r="BT60" s="2" t="s">
        <v>302</v>
      </c>
      <c r="BU60" s="48">
        <v>2244.23</v>
      </c>
      <c r="BV60" s="78">
        <f t="shared" si="19"/>
        <v>0.87976991842718644</v>
      </c>
      <c r="BX60"/>
      <c r="BY60"/>
    </row>
    <row r="61" spans="1:77">
      <c r="A61" s="13"/>
      <c r="B61" s="50">
        <v>1079</v>
      </c>
      <c r="C61" s="124" t="s">
        <v>306</v>
      </c>
      <c r="D61" s="128" t="s">
        <v>307</v>
      </c>
      <c r="E61" s="16">
        <v>1</v>
      </c>
      <c r="F61" s="135" t="s">
        <v>545</v>
      </c>
      <c r="G61" s="27">
        <v>0</v>
      </c>
      <c r="H61" s="141">
        <v>1</v>
      </c>
      <c r="I61" s="77">
        <v>13.48</v>
      </c>
      <c r="J61" s="48">
        <v>958.88</v>
      </c>
      <c r="K61" s="65">
        <f t="shared" si="22"/>
        <v>0.44969281995966787</v>
      </c>
      <c r="L61" s="2">
        <v>13.64</v>
      </c>
      <c r="M61" s="48">
        <v>1076.46</v>
      </c>
      <c r="N61" s="100">
        <f t="shared" si="23"/>
        <v>0.47844540046212475</v>
      </c>
      <c r="O61" s="77">
        <v>13.73</v>
      </c>
      <c r="P61" s="48">
        <v>451.95</v>
      </c>
      <c r="Q61" s="48">
        <f t="shared" si="20"/>
        <v>0.20452507485563429</v>
      </c>
      <c r="R61" s="2">
        <v>13.46</v>
      </c>
      <c r="S61" s="48">
        <v>1105.1400000000001</v>
      </c>
      <c r="T61" s="88">
        <f t="shared" si="24"/>
        <v>0.49387835998635193</v>
      </c>
      <c r="U61" s="77">
        <v>13.68</v>
      </c>
      <c r="V61" s="48">
        <v>969.17</v>
      </c>
      <c r="W61" s="48">
        <f t="shared" si="21"/>
        <v>0.41975554069994192</v>
      </c>
      <c r="X61" s="2">
        <v>13.55</v>
      </c>
      <c r="Y61" s="48">
        <v>1367.54</v>
      </c>
      <c r="Z61" s="88">
        <f t="shared" si="25"/>
        <v>0.46838016067486971</v>
      </c>
      <c r="AA61" s="77">
        <v>13.63</v>
      </c>
      <c r="AB61" s="48">
        <v>1190.96</v>
      </c>
      <c r="AC61" s="65">
        <f t="shared" si="26"/>
        <v>0.49353581054086165</v>
      </c>
      <c r="AD61" s="2" t="s">
        <v>309</v>
      </c>
      <c r="AE61" s="48">
        <v>688.41</v>
      </c>
      <c r="AF61" s="88">
        <f t="shared" si="27"/>
        <v>0.24558642932793057</v>
      </c>
      <c r="AG61" s="77">
        <v>14.15</v>
      </c>
      <c r="AH61" s="48">
        <v>1007.34</v>
      </c>
      <c r="AI61" s="65">
        <f t="shared" si="28"/>
        <v>0.48341387111890766</v>
      </c>
      <c r="AJ61" s="3">
        <v>13.47</v>
      </c>
      <c r="AK61" s="48">
        <v>1376.37</v>
      </c>
      <c r="AL61" s="88">
        <f t="shared" si="7"/>
        <v>0.42957944273368032</v>
      </c>
      <c r="AM61" s="21">
        <v>14.03</v>
      </c>
      <c r="AN61" s="48">
        <v>1066.1199999999999</v>
      </c>
      <c r="AO61" s="65">
        <f t="shared" si="8"/>
        <v>0.44048731750032666</v>
      </c>
      <c r="AP61" s="2">
        <v>13.55</v>
      </c>
      <c r="AQ61" s="48">
        <v>1116.8399999999999</v>
      </c>
      <c r="AR61" s="65">
        <f t="shared" si="9"/>
        <v>0.43307294695081305</v>
      </c>
      <c r="AS61" s="79" t="s">
        <v>31</v>
      </c>
      <c r="AT61" s="54">
        <v>0</v>
      </c>
      <c r="AU61" s="66">
        <f t="shared" si="10"/>
        <v>0</v>
      </c>
      <c r="AV61" s="36" t="s">
        <v>31</v>
      </c>
      <c r="AW61" s="54">
        <v>0</v>
      </c>
      <c r="AX61" s="106">
        <f t="shared" si="11"/>
        <v>0</v>
      </c>
      <c r="AY61" s="21">
        <v>13.66</v>
      </c>
      <c r="AZ61" s="48">
        <v>460.01</v>
      </c>
      <c r="BA61" s="65">
        <f t="shared" si="29"/>
        <v>0.168819093905231</v>
      </c>
      <c r="BB61" s="2" t="s">
        <v>308</v>
      </c>
      <c r="BC61" s="48">
        <v>351.38</v>
      </c>
      <c r="BD61" s="65">
        <f t="shared" si="30"/>
        <v>0.11940919735596539</v>
      </c>
      <c r="BE61" s="77">
        <v>13.78</v>
      </c>
      <c r="BF61" s="48">
        <v>1234.48</v>
      </c>
      <c r="BG61" s="65">
        <f t="shared" si="14"/>
        <v>0.53259111349241028</v>
      </c>
      <c r="BH61" s="2">
        <v>13.49</v>
      </c>
      <c r="BI61" s="48">
        <v>915.92</v>
      </c>
      <c r="BJ61" s="88">
        <f t="shared" si="15"/>
        <v>0.36817031148923945</v>
      </c>
      <c r="BK61" s="21">
        <v>13.66</v>
      </c>
      <c r="BL61" s="48">
        <v>355.41</v>
      </c>
      <c r="BM61" s="65">
        <f t="shared" si="16"/>
        <v>0.16213620344355015</v>
      </c>
      <c r="BN61" s="2">
        <v>13.5</v>
      </c>
      <c r="BO61" s="48">
        <v>1517.14</v>
      </c>
      <c r="BP61" s="65">
        <f t="shared" si="17"/>
        <v>0.56564500546876428</v>
      </c>
      <c r="BQ61" s="77">
        <v>13.71</v>
      </c>
      <c r="BR61" s="48">
        <v>627.13</v>
      </c>
      <c r="BS61" s="65">
        <f t="shared" si="18"/>
        <v>0.25162959584225564</v>
      </c>
      <c r="BT61" s="2" t="s">
        <v>308</v>
      </c>
      <c r="BU61" s="48">
        <v>631.82000000000005</v>
      </c>
      <c r="BV61" s="88">
        <f t="shared" si="19"/>
        <v>0.24768238097729067</v>
      </c>
      <c r="BX61"/>
      <c r="BY61"/>
    </row>
    <row r="62" spans="1:77">
      <c r="B62" s="13" t="s">
        <v>310</v>
      </c>
      <c r="C62" s="124" t="s">
        <v>311</v>
      </c>
      <c r="D62" s="128" t="s">
        <v>312</v>
      </c>
      <c r="E62" s="16">
        <v>1</v>
      </c>
      <c r="F62" s="135" t="s">
        <v>105</v>
      </c>
      <c r="G62" s="27">
        <v>0</v>
      </c>
      <c r="H62" s="141">
        <v>1</v>
      </c>
      <c r="I62" s="77">
        <v>16.68</v>
      </c>
      <c r="J62" s="48">
        <v>5034.28</v>
      </c>
      <c r="K62" s="65">
        <f t="shared" si="22"/>
        <v>2.3609623411339862</v>
      </c>
      <c r="L62" s="2">
        <v>16.79</v>
      </c>
      <c r="M62" s="48">
        <v>4147.17</v>
      </c>
      <c r="N62" s="100">
        <f t="shared" si="23"/>
        <v>1.8432588404905987</v>
      </c>
      <c r="O62" s="77">
        <v>16.940000000000001</v>
      </c>
      <c r="P62" s="48">
        <v>4273.97</v>
      </c>
      <c r="Q62" s="48">
        <f t="shared" si="20"/>
        <v>1.9341388077900996</v>
      </c>
      <c r="R62" s="2">
        <v>16.579999999999998</v>
      </c>
      <c r="S62" s="48">
        <v>4637.8500000000004</v>
      </c>
      <c r="T62" s="88">
        <f t="shared" si="24"/>
        <v>2.0726186291896975</v>
      </c>
      <c r="U62" s="77">
        <v>16.739999999999998</v>
      </c>
      <c r="V62" s="48">
        <v>4081.1</v>
      </c>
      <c r="W62" s="48">
        <f t="shared" si="21"/>
        <v>1.7675581550713835</v>
      </c>
      <c r="X62" s="2">
        <v>16.75</v>
      </c>
      <c r="Y62" s="48">
        <v>7711.96</v>
      </c>
      <c r="Z62" s="88">
        <f t="shared" si="25"/>
        <v>2.6413333898227238</v>
      </c>
      <c r="AA62" s="77">
        <v>16.670000000000002</v>
      </c>
      <c r="AB62" s="48">
        <v>3392.38</v>
      </c>
      <c r="AC62" s="65">
        <f t="shared" si="26"/>
        <v>1.4058079305456173</v>
      </c>
      <c r="AD62" s="2">
        <v>16.72</v>
      </c>
      <c r="AE62" s="48">
        <v>5168.3100000000004</v>
      </c>
      <c r="AF62" s="88">
        <f t="shared" si="27"/>
        <v>1.8437657770221771</v>
      </c>
      <c r="AG62" s="77">
        <v>17.47</v>
      </c>
      <c r="AH62" s="48">
        <v>4226.9799999999996</v>
      </c>
      <c r="AI62" s="65">
        <f t="shared" si="28"/>
        <v>2.0284916363315268</v>
      </c>
      <c r="AJ62" s="3">
        <v>16.489999999999998</v>
      </c>
      <c r="AK62" s="48">
        <v>5912.27</v>
      </c>
      <c r="AL62" s="88">
        <f t="shared" si="7"/>
        <v>1.8452811757674585</v>
      </c>
      <c r="AM62" s="21">
        <v>17.11</v>
      </c>
      <c r="AN62" s="48">
        <v>5178.05</v>
      </c>
      <c r="AO62" s="65">
        <f t="shared" si="8"/>
        <v>2.1394077161882028</v>
      </c>
      <c r="AP62" s="2">
        <v>16.559999999999999</v>
      </c>
      <c r="AQ62" s="48">
        <v>4139.22</v>
      </c>
      <c r="AR62" s="65">
        <f t="shared" si="9"/>
        <v>1.6050501445844925</v>
      </c>
      <c r="AS62" s="79" t="s">
        <v>31</v>
      </c>
      <c r="AT62" s="54">
        <v>0</v>
      </c>
      <c r="AU62" s="66">
        <f t="shared" si="10"/>
        <v>0</v>
      </c>
      <c r="AV62" s="36" t="s">
        <v>31</v>
      </c>
      <c r="AW62" s="54">
        <v>0</v>
      </c>
      <c r="AX62" s="106">
        <f t="shared" si="11"/>
        <v>0</v>
      </c>
      <c r="AY62" s="37" t="s">
        <v>31</v>
      </c>
      <c r="AZ62" s="54">
        <v>0</v>
      </c>
      <c r="BA62" s="66">
        <f t="shared" si="29"/>
        <v>0</v>
      </c>
      <c r="BB62" s="36" t="s">
        <v>31</v>
      </c>
      <c r="BC62" s="54">
        <v>0</v>
      </c>
      <c r="BD62" s="66">
        <f t="shared" si="30"/>
        <v>0</v>
      </c>
      <c r="BE62" s="77">
        <v>16.89</v>
      </c>
      <c r="BF62" s="48">
        <v>4293.8900000000003</v>
      </c>
      <c r="BG62" s="65">
        <f t="shared" si="14"/>
        <v>1.8525109003903879</v>
      </c>
      <c r="BH62" s="2">
        <v>16.579999999999998</v>
      </c>
      <c r="BI62" s="48">
        <v>4829.7299999999996</v>
      </c>
      <c r="BJ62" s="88">
        <f t="shared" si="15"/>
        <v>1.9413957534598265</v>
      </c>
      <c r="BK62" s="21">
        <v>16.78</v>
      </c>
      <c r="BL62" s="48">
        <v>5177.29</v>
      </c>
      <c r="BM62" s="65">
        <f t="shared" si="16"/>
        <v>2.3618529155799153</v>
      </c>
      <c r="BN62" s="2">
        <v>16.690000000000001</v>
      </c>
      <c r="BO62" s="48">
        <v>5447.19</v>
      </c>
      <c r="BP62" s="65">
        <f t="shared" si="17"/>
        <v>2.0309106722777055</v>
      </c>
      <c r="BQ62" s="77">
        <v>16.72</v>
      </c>
      <c r="BR62" s="48">
        <v>5707.26</v>
      </c>
      <c r="BS62" s="65">
        <f t="shared" si="18"/>
        <v>2.2899805896172594</v>
      </c>
      <c r="BT62" s="2">
        <v>16.59</v>
      </c>
      <c r="BU62" s="48">
        <v>5272.03</v>
      </c>
      <c r="BV62" s="88">
        <f t="shared" si="19"/>
        <v>2.0667103652681229</v>
      </c>
      <c r="BX62"/>
      <c r="BY62"/>
    </row>
    <row r="63" spans="1:77">
      <c r="B63" s="13" t="s">
        <v>313</v>
      </c>
      <c r="C63" s="124" t="s">
        <v>311</v>
      </c>
      <c r="D63" s="128" t="s">
        <v>314</v>
      </c>
      <c r="E63" s="16">
        <v>1</v>
      </c>
      <c r="F63" s="135" t="s">
        <v>545</v>
      </c>
      <c r="G63" s="27">
        <v>0</v>
      </c>
      <c r="H63" s="141">
        <v>1</v>
      </c>
      <c r="I63" s="77">
        <v>17.38</v>
      </c>
      <c r="J63" s="48">
        <v>5850.85</v>
      </c>
      <c r="K63" s="65">
        <f t="shared" si="22"/>
        <v>2.7439150213384602</v>
      </c>
      <c r="L63" s="2">
        <v>17.489999999999998</v>
      </c>
      <c r="M63" s="48">
        <v>5711.76</v>
      </c>
      <c r="N63" s="100">
        <f t="shared" si="23"/>
        <v>2.5386594026192757</v>
      </c>
      <c r="O63" s="77">
        <v>17.75</v>
      </c>
      <c r="P63" s="48">
        <v>5721.94</v>
      </c>
      <c r="Q63" s="48">
        <f t="shared" si="20"/>
        <v>2.5894019400806467</v>
      </c>
      <c r="R63" s="2">
        <v>17.28</v>
      </c>
      <c r="S63" s="48">
        <v>5965.95</v>
      </c>
      <c r="T63" s="88">
        <f t="shared" si="24"/>
        <v>2.666136056753512</v>
      </c>
      <c r="U63" s="77">
        <v>17.45</v>
      </c>
      <c r="V63" s="48">
        <v>6085.25</v>
      </c>
      <c r="W63" s="48">
        <f t="shared" si="21"/>
        <v>2.6355720916292515</v>
      </c>
      <c r="X63" s="2">
        <v>17.46</v>
      </c>
      <c r="Y63" s="48">
        <v>6284.95</v>
      </c>
      <c r="Z63" s="88">
        <f t="shared" si="25"/>
        <v>2.1525848537033814</v>
      </c>
      <c r="AA63" s="77">
        <v>17.38</v>
      </c>
      <c r="AB63" s="48">
        <v>5420.88</v>
      </c>
      <c r="AC63" s="65">
        <f t="shared" si="26"/>
        <v>2.2464217141169698</v>
      </c>
      <c r="AD63" s="2">
        <v>17.43</v>
      </c>
      <c r="AE63" s="48">
        <v>7597.59</v>
      </c>
      <c r="AF63" s="88">
        <f t="shared" si="27"/>
        <v>2.7103978727758054</v>
      </c>
      <c r="AG63" s="77">
        <v>18.29</v>
      </c>
      <c r="AH63" s="48">
        <v>4696.41</v>
      </c>
      <c r="AI63" s="65">
        <f t="shared" si="28"/>
        <v>2.2537670880353695</v>
      </c>
      <c r="AJ63" s="3">
        <v>17.190000000000001</v>
      </c>
      <c r="AK63" s="48">
        <v>9380.17</v>
      </c>
      <c r="AL63" s="88">
        <f t="shared" si="7"/>
        <v>2.9276489616507093</v>
      </c>
      <c r="AM63" s="21">
        <v>18.02</v>
      </c>
      <c r="AN63" s="48">
        <v>6619.75</v>
      </c>
      <c r="AO63" s="65">
        <f t="shared" si="8"/>
        <v>2.7350728998825531</v>
      </c>
      <c r="AP63" s="2">
        <v>17.36</v>
      </c>
      <c r="AQ63" s="48">
        <v>6329.89</v>
      </c>
      <c r="AR63" s="65">
        <f t="shared" si="9"/>
        <v>2.4545182086731154</v>
      </c>
      <c r="AS63" s="79" t="s">
        <v>31</v>
      </c>
      <c r="AT63" s="54">
        <v>0</v>
      </c>
      <c r="AU63" s="66">
        <f t="shared" si="10"/>
        <v>0</v>
      </c>
      <c r="AV63" s="36" t="s">
        <v>31</v>
      </c>
      <c r="AW63" s="54">
        <v>0</v>
      </c>
      <c r="AX63" s="106">
        <f t="shared" si="11"/>
        <v>0</v>
      </c>
      <c r="AY63" s="37" t="s">
        <v>31</v>
      </c>
      <c r="AZ63" s="54">
        <v>0</v>
      </c>
      <c r="BA63" s="66">
        <f t="shared" si="29"/>
        <v>0</v>
      </c>
      <c r="BB63" s="36" t="s">
        <v>31</v>
      </c>
      <c r="BC63" s="54">
        <v>0</v>
      </c>
      <c r="BD63" s="66">
        <f t="shared" si="30"/>
        <v>0</v>
      </c>
      <c r="BE63" s="77">
        <v>17.690000000000001</v>
      </c>
      <c r="BF63" s="48">
        <v>5648.04</v>
      </c>
      <c r="BG63" s="65">
        <f t="shared" si="14"/>
        <v>2.4367311845065722</v>
      </c>
      <c r="BH63" s="2">
        <v>17.38</v>
      </c>
      <c r="BI63" s="48">
        <v>7525.18</v>
      </c>
      <c r="BJ63" s="88">
        <f t="shared" si="15"/>
        <v>3.0248797543591088</v>
      </c>
      <c r="BK63" s="21">
        <v>17.59</v>
      </c>
      <c r="BL63" s="48">
        <v>6313.94</v>
      </c>
      <c r="BM63" s="65">
        <f t="shared" si="16"/>
        <v>2.8803867656238396</v>
      </c>
      <c r="BN63" s="2">
        <v>17.39</v>
      </c>
      <c r="BO63" s="48">
        <v>7481.41</v>
      </c>
      <c r="BP63" s="65">
        <f t="shared" si="17"/>
        <v>2.7893419199046017</v>
      </c>
      <c r="BQ63" s="77">
        <v>17.43</v>
      </c>
      <c r="BR63" s="48">
        <v>7993.03</v>
      </c>
      <c r="BS63" s="65">
        <f t="shared" si="18"/>
        <v>3.2071227790968768</v>
      </c>
      <c r="BT63" s="2">
        <v>17.29</v>
      </c>
      <c r="BU63" s="48">
        <v>6893.2</v>
      </c>
      <c r="BV63" s="88">
        <f t="shared" si="19"/>
        <v>2.702231946682061</v>
      </c>
      <c r="BX63"/>
      <c r="BY63"/>
    </row>
    <row r="64" spans="1:77">
      <c r="B64" s="13" t="s">
        <v>315</v>
      </c>
      <c r="C64" s="124" t="s">
        <v>316</v>
      </c>
      <c r="D64" s="132" t="s">
        <v>317</v>
      </c>
      <c r="E64" s="16">
        <v>2</v>
      </c>
      <c r="F64" s="135" t="s">
        <v>318</v>
      </c>
      <c r="G64" s="27">
        <v>0</v>
      </c>
      <c r="H64" s="141">
        <v>1</v>
      </c>
      <c r="I64" s="77">
        <v>15.45</v>
      </c>
      <c r="J64" s="48">
        <v>1390.57</v>
      </c>
      <c r="K64" s="65">
        <f t="shared" si="22"/>
        <v>0.65214557051071587</v>
      </c>
      <c r="L64" s="2">
        <v>15.56</v>
      </c>
      <c r="M64" s="48">
        <v>1262.6400000000001</v>
      </c>
      <c r="N64" s="100">
        <f t="shared" si="23"/>
        <v>0.56119530724736377</v>
      </c>
      <c r="O64" s="77">
        <v>15.61</v>
      </c>
      <c r="P64" s="48">
        <v>1451.78</v>
      </c>
      <c r="Q64" s="48">
        <f t="shared" si="20"/>
        <v>0.65698730650273873</v>
      </c>
      <c r="R64" s="2">
        <v>15.45</v>
      </c>
      <c r="S64" s="48">
        <v>1858.67</v>
      </c>
      <c r="T64" s="88">
        <f t="shared" si="24"/>
        <v>0.8306249808674312</v>
      </c>
      <c r="U64" s="77">
        <v>15.41</v>
      </c>
      <c r="V64" s="48">
        <v>1140.9000000000001</v>
      </c>
      <c r="W64" s="48">
        <f t="shared" si="21"/>
        <v>0.49413322367031975</v>
      </c>
      <c r="X64" s="2">
        <v>15.53</v>
      </c>
      <c r="Y64" s="48">
        <v>1873.19</v>
      </c>
      <c r="Z64" s="88">
        <f t="shared" si="25"/>
        <v>0.64156443919341244</v>
      </c>
      <c r="AA64" s="79" t="s">
        <v>31</v>
      </c>
      <c r="AB64" s="54">
        <v>0</v>
      </c>
      <c r="AC64" s="66">
        <f t="shared" si="26"/>
        <v>0</v>
      </c>
      <c r="AD64" s="36" t="s">
        <v>31</v>
      </c>
      <c r="AE64" s="54">
        <v>0</v>
      </c>
      <c r="AF64" s="106">
        <f t="shared" si="27"/>
        <v>0</v>
      </c>
      <c r="AG64" s="77">
        <v>15.92</v>
      </c>
      <c r="AH64" s="48">
        <v>2514.31</v>
      </c>
      <c r="AI64" s="65">
        <f t="shared" si="28"/>
        <v>1.2065959162675766</v>
      </c>
      <c r="AJ64" s="3">
        <v>15.36</v>
      </c>
      <c r="AK64" s="48">
        <v>3310.82</v>
      </c>
      <c r="AL64" s="88">
        <f t="shared" si="7"/>
        <v>1.0333414783753814</v>
      </c>
      <c r="AM64" s="21">
        <v>15.78</v>
      </c>
      <c r="AN64" s="48">
        <v>3740.6</v>
      </c>
      <c r="AO64" s="65">
        <f t="shared" si="8"/>
        <v>1.5454984990823939</v>
      </c>
      <c r="AP64" s="2">
        <v>15.43</v>
      </c>
      <c r="AQ64" s="48">
        <v>2518.7399999999998</v>
      </c>
      <c r="AR64" s="65">
        <f t="shared" si="9"/>
        <v>0.97668256366434825</v>
      </c>
      <c r="AS64" s="79" t="s">
        <v>31</v>
      </c>
      <c r="AT64" s="54">
        <v>0</v>
      </c>
      <c r="AU64" s="66">
        <f t="shared" si="10"/>
        <v>0</v>
      </c>
      <c r="AV64" s="36" t="s">
        <v>31</v>
      </c>
      <c r="AW64" s="54">
        <v>0</v>
      </c>
      <c r="AX64" s="106">
        <f t="shared" si="11"/>
        <v>0</v>
      </c>
      <c r="AY64" s="37" t="s">
        <v>31</v>
      </c>
      <c r="AZ64" s="54">
        <v>0</v>
      </c>
      <c r="BA64" s="66">
        <f t="shared" si="29"/>
        <v>0</v>
      </c>
      <c r="BB64" s="36" t="s">
        <v>31</v>
      </c>
      <c r="BC64" s="54">
        <v>0</v>
      </c>
      <c r="BD64" s="66">
        <f t="shared" si="30"/>
        <v>0</v>
      </c>
      <c r="BE64" s="77">
        <v>15.55</v>
      </c>
      <c r="BF64" s="48">
        <v>1678.45</v>
      </c>
      <c r="BG64" s="65">
        <f t="shared" si="14"/>
        <v>0.72413287735835008</v>
      </c>
      <c r="BH64" s="2">
        <v>15.45</v>
      </c>
      <c r="BI64" s="48">
        <v>1229.46</v>
      </c>
      <c r="BJ64" s="88">
        <f t="shared" si="15"/>
        <v>0.49420328321639478</v>
      </c>
      <c r="BK64" s="21">
        <v>15.44</v>
      </c>
      <c r="BL64" s="48">
        <v>1984.24</v>
      </c>
      <c r="BM64" s="65">
        <f t="shared" si="16"/>
        <v>0.9052000234119183</v>
      </c>
      <c r="BN64" s="2">
        <v>15.57</v>
      </c>
      <c r="BO64" s="48">
        <v>2256.62</v>
      </c>
      <c r="BP64" s="65">
        <f t="shared" si="17"/>
        <v>0.84135006145835112</v>
      </c>
      <c r="BQ64" s="77">
        <v>15.49</v>
      </c>
      <c r="BR64" s="48">
        <v>2360.66</v>
      </c>
      <c r="BS64" s="65">
        <f t="shared" si="18"/>
        <v>0.94719104766313078</v>
      </c>
      <c r="BT64" s="2">
        <v>15.37</v>
      </c>
      <c r="BU64" s="48">
        <v>1651.02</v>
      </c>
      <c r="BV64" s="88">
        <f t="shared" si="19"/>
        <v>0.64722320382565657</v>
      </c>
      <c r="BX64"/>
      <c r="BY64"/>
    </row>
    <row r="65" spans="2:77">
      <c r="B65" s="13" t="s">
        <v>319</v>
      </c>
      <c r="C65" s="124" t="s">
        <v>316</v>
      </c>
      <c r="D65" s="128" t="s">
        <v>320</v>
      </c>
      <c r="E65" s="16">
        <v>2</v>
      </c>
      <c r="F65" s="135" t="s">
        <v>498</v>
      </c>
      <c r="G65" s="27">
        <v>0</v>
      </c>
      <c r="H65" s="141">
        <v>1</v>
      </c>
      <c r="I65" s="77">
        <v>27.57</v>
      </c>
      <c r="J65" s="48">
        <v>1573.91</v>
      </c>
      <c r="K65" s="65">
        <f t="shared" si="22"/>
        <v>0.73812784317403723</v>
      </c>
      <c r="L65" s="2">
        <v>27.78</v>
      </c>
      <c r="M65" s="48">
        <v>1856.94</v>
      </c>
      <c r="N65" s="100">
        <f t="shared" si="23"/>
        <v>0.82533898327307831</v>
      </c>
      <c r="O65" s="79" t="s">
        <v>31</v>
      </c>
      <c r="P65" s="54">
        <v>0</v>
      </c>
      <c r="Q65" s="54">
        <f t="shared" si="20"/>
        <v>0</v>
      </c>
      <c r="R65" s="36" t="s">
        <v>31</v>
      </c>
      <c r="S65" s="54">
        <v>0</v>
      </c>
      <c r="T65" s="106">
        <f t="shared" si="24"/>
        <v>0</v>
      </c>
      <c r="U65" s="80">
        <v>27.71</v>
      </c>
      <c r="V65" s="51">
        <v>872.88</v>
      </c>
      <c r="W65" s="48">
        <f t="shared" si="21"/>
        <v>0.37805154551437342</v>
      </c>
      <c r="X65" s="2">
        <v>27.7</v>
      </c>
      <c r="Y65" s="48">
        <v>1484.91</v>
      </c>
      <c r="Z65" s="78">
        <f t="shared" si="25"/>
        <v>0.50857918919206802</v>
      </c>
      <c r="AA65" s="79" t="s">
        <v>31</v>
      </c>
      <c r="AB65" s="54">
        <v>0</v>
      </c>
      <c r="AC65" s="66">
        <f t="shared" si="26"/>
        <v>0</v>
      </c>
      <c r="AD65" s="36" t="s">
        <v>31</v>
      </c>
      <c r="AE65" s="54">
        <v>0</v>
      </c>
      <c r="AF65" s="106">
        <f t="shared" si="27"/>
        <v>0</v>
      </c>
      <c r="AG65" s="79" t="s">
        <v>31</v>
      </c>
      <c r="AH65" s="54">
        <v>0</v>
      </c>
      <c r="AI65" s="66">
        <f t="shared" si="28"/>
        <v>0</v>
      </c>
      <c r="AJ65" s="35" t="s">
        <v>31</v>
      </c>
      <c r="AK65" s="54">
        <v>0</v>
      </c>
      <c r="AL65" s="106">
        <f t="shared" si="7"/>
        <v>0</v>
      </c>
      <c r="AM65" s="37" t="s">
        <v>31</v>
      </c>
      <c r="AN65" s="54">
        <v>0</v>
      </c>
      <c r="AO65" s="66">
        <f t="shared" si="8"/>
        <v>0</v>
      </c>
      <c r="AP65" s="36" t="s">
        <v>31</v>
      </c>
      <c r="AQ65" s="54">
        <v>0</v>
      </c>
      <c r="AR65" s="66">
        <f t="shared" si="9"/>
        <v>0</v>
      </c>
      <c r="AS65" s="79" t="s">
        <v>31</v>
      </c>
      <c r="AT65" s="54">
        <v>0</v>
      </c>
      <c r="AU65" s="66">
        <f t="shared" si="10"/>
        <v>0</v>
      </c>
      <c r="AV65" s="36" t="s">
        <v>31</v>
      </c>
      <c r="AW65" s="54">
        <v>0</v>
      </c>
      <c r="AX65" s="106">
        <f t="shared" si="11"/>
        <v>0</v>
      </c>
      <c r="AY65" s="37" t="s">
        <v>31</v>
      </c>
      <c r="AZ65" s="54">
        <v>0</v>
      </c>
      <c r="BA65" s="66">
        <f t="shared" si="29"/>
        <v>0</v>
      </c>
      <c r="BB65" s="36" t="s">
        <v>31</v>
      </c>
      <c r="BC65" s="54">
        <v>0</v>
      </c>
      <c r="BD65" s="66">
        <f t="shared" si="30"/>
        <v>0</v>
      </c>
      <c r="BE65" s="77">
        <v>27.77</v>
      </c>
      <c r="BF65" s="48">
        <v>1980.14</v>
      </c>
      <c r="BG65" s="65">
        <f t="shared" si="14"/>
        <v>0.85429084915985798</v>
      </c>
      <c r="BH65" s="2" t="s">
        <v>321</v>
      </c>
      <c r="BI65" s="48">
        <v>2140.9</v>
      </c>
      <c r="BJ65" s="88">
        <f t="shared" si="15"/>
        <v>0.86057277913716557</v>
      </c>
      <c r="BK65" s="21" t="s">
        <v>322</v>
      </c>
      <c r="BL65" s="48">
        <v>1983.4</v>
      </c>
      <c r="BM65" s="65">
        <f t="shared" si="16"/>
        <v>0.90481681975728701</v>
      </c>
      <c r="BN65" s="2">
        <v>27.65</v>
      </c>
      <c r="BO65" s="48">
        <v>2173.9699999999998</v>
      </c>
      <c r="BP65" s="65">
        <f t="shared" si="17"/>
        <v>0.81053513356640094</v>
      </c>
      <c r="BQ65" s="77">
        <v>27.6</v>
      </c>
      <c r="BR65" s="48">
        <v>1968.59</v>
      </c>
      <c r="BS65" s="65">
        <f t="shared" si="18"/>
        <v>0.78987690921994802</v>
      </c>
      <c r="BT65" s="2">
        <v>27.77</v>
      </c>
      <c r="BU65" s="48">
        <v>1876.33</v>
      </c>
      <c r="BV65" s="88">
        <f t="shared" si="19"/>
        <v>0.73554791222044213</v>
      </c>
      <c r="BX65"/>
      <c r="BY65"/>
    </row>
    <row r="66" spans="2:77">
      <c r="B66" s="50" t="s">
        <v>323</v>
      </c>
      <c r="C66" s="124" t="s">
        <v>316</v>
      </c>
      <c r="D66" s="128" t="s">
        <v>324</v>
      </c>
      <c r="E66" s="16">
        <v>2</v>
      </c>
      <c r="F66" s="135" t="s">
        <v>499</v>
      </c>
      <c r="G66" s="27">
        <v>0</v>
      </c>
      <c r="H66" s="141">
        <v>1</v>
      </c>
      <c r="I66" s="80" t="s">
        <v>31</v>
      </c>
      <c r="J66" s="51">
        <v>0</v>
      </c>
      <c r="K66" s="22">
        <f t="shared" si="22"/>
        <v>0</v>
      </c>
      <c r="L66" s="2" t="s">
        <v>31</v>
      </c>
      <c r="M66" s="48">
        <v>0</v>
      </c>
      <c r="N66" s="100">
        <f t="shared" si="23"/>
        <v>0</v>
      </c>
      <c r="O66" s="80" t="s">
        <v>31</v>
      </c>
      <c r="P66" s="51">
        <v>0</v>
      </c>
      <c r="Q66" s="48">
        <f t="shared" si="20"/>
        <v>0</v>
      </c>
      <c r="R66" s="2" t="s">
        <v>31</v>
      </c>
      <c r="S66" s="48">
        <v>0</v>
      </c>
      <c r="T66" s="78">
        <f t="shared" si="24"/>
        <v>0</v>
      </c>
      <c r="U66" s="77" t="s">
        <v>31</v>
      </c>
      <c r="V66" s="48">
        <v>0</v>
      </c>
      <c r="W66" s="48">
        <f t="shared" si="21"/>
        <v>0</v>
      </c>
      <c r="X66" s="2" t="s">
        <v>31</v>
      </c>
      <c r="Y66" s="48">
        <v>0</v>
      </c>
      <c r="Z66" s="88">
        <f t="shared" si="25"/>
        <v>0</v>
      </c>
      <c r="AA66" s="80" t="s">
        <v>31</v>
      </c>
      <c r="AB66" s="51">
        <v>0</v>
      </c>
      <c r="AC66" s="22">
        <f t="shared" si="26"/>
        <v>0</v>
      </c>
      <c r="AD66" s="2" t="s">
        <v>31</v>
      </c>
      <c r="AE66" s="48">
        <v>0</v>
      </c>
      <c r="AF66" s="78">
        <f t="shared" si="27"/>
        <v>0</v>
      </c>
      <c r="AG66" s="80" t="s">
        <v>31</v>
      </c>
      <c r="AH66" s="51">
        <v>0</v>
      </c>
      <c r="AI66" s="22">
        <f t="shared" si="28"/>
        <v>0</v>
      </c>
      <c r="AJ66" s="3" t="s">
        <v>31</v>
      </c>
      <c r="AK66" s="48">
        <v>0</v>
      </c>
      <c r="AL66" s="78">
        <f t="shared" si="7"/>
        <v>0</v>
      </c>
      <c r="AM66" s="22" t="s">
        <v>31</v>
      </c>
      <c r="AN66" s="51">
        <v>0</v>
      </c>
      <c r="AO66" s="22">
        <f t="shared" si="8"/>
        <v>0</v>
      </c>
      <c r="AP66" s="4" t="s">
        <v>31</v>
      </c>
      <c r="AQ66" s="51">
        <v>0</v>
      </c>
      <c r="AR66" s="22">
        <f t="shared" si="9"/>
        <v>0</v>
      </c>
      <c r="AS66" s="112">
        <v>27.66</v>
      </c>
      <c r="AT66" s="52">
        <v>2350.69</v>
      </c>
      <c r="AU66" s="53">
        <f t="shared" si="10"/>
        <v>0.72441707013328227</v>
      </c>
      <c r="AV66" s="34">
        <v>27.21</v>
      </c>
      <c r="AW66" s="49">
        <v>2475.62</v>
      </c>
      <c r="AX66" s="107">
        <f t="shared" si="11"/>
        <v>0.74791304460264063</v>
      </c>
      <c r="AY66" s="53">
        <v>27.68</v>
      </c>
      <c r="AZ66" s="52">
        <v>2118.7399999999998</v>
      </c>
      <c r="BA66" s="53">
        <f t="shared" si="29"/>
        <v>0.77755650316464664</v>
      </c>
      <c r="BB66" s="34">
        <v>27.68</v>
      </c>
      <c r="BC66" s="49">
        <v>2407.5700000000002</v>
      </c>
      <c r="BD66" s="53">
        <f t="shared" si="30"/>
        <v>0.81816267652769537</v>
      </c>
      <c r="BE66" s="80" t="s">
        <v>31</v>
      </c>
      <c r="BF66" s="51">
        <v>0</v>
      </c>
      <c r="BG66" s="22">
        <f t="shared" si="14"/>
        <v>0</v>
      </c>
      <c r="BH66" s="2" t="s">
        <v>31</v>
      </c>
      <c r="BI66" s="48">
        <v>0</v>
      </c>
      <c r="BJ66" s="78">
        <f t="shared" si="15"/>
        <v>0</v>
      </c>
      <c r="BK66" s="22" t="s">
        <v>31</v>
      </c>
      <c r="BL66" s="51">
        <v>0</v>
      </c>
      <c r="BM66" s="22">
        <f t="shared" si="16"/>
        <v>0</v>
      </c>
      <c r="BN66" s="3" t="s">
        <v>31</v>
      </c>
      <c r="BO66" s="48">
        <v>0</v>
      </c>
      <c r="BP66" s="22">
        <f t="shared" si="17"/>
        <v>0</v>
      </c>
      <c r="BQ66" s="80" t="s">
        <v>31</v>
      </c>
      <c r="BR66" s="51">
        <v>0</v>
      </c>
      <c r="BS66" s="22">
        <f t="shared" si="18"/>
        <v>0</v>
      </c>
      <c r="BT66" s="2" t="s">
        <v>31</v>
      </c>
      <c r="BU66" s="48">
        <v>0</v>
      </c>
      <c r="BV66" s="78">
        <f t="shared" si="19"/>
        <v>0</v>
      </c>
      <c r="BX66"/>
      <c r="BY66"/>
    </row>
    <row r="67" spans="2:77">
      <c r="B67" s="50" t="s">
        <v>325</v>
      </c>
      <c r="C67" s="124" t="s">
        <v>326</v>
      </c>
      <c r="D67" s="128" t="s">
        <v>327</v>
      </c>
      <c r="E67" s="16">
        <v>0</v>
      </c>
      <c r="F67" s="135">
        <v>0</v>
      </c>
      <c r="G67" s="27">
        <v>0</v>
      </c>
      <c r="H67" s="141">
        <v>1</v>
      </c>
      <c r="I67" s="80">
        <v>19.420000000000002</v>
      </c>
      <c r="J67" s="51">
        <v>1879.17</v>
      </c>
      <c r="K67" s="22">
        <f t="shared" si="22"/>
        <v>0.88128781128359035</v>
      </c>
      <c r="L67" s="4">
        <v>19.64</v>
      </c>
      <c r="M67" s="51">
        <v>1532.63</v>
      </c>
      <c r="N67" s="100">
        <f t="shared" si="23"/>
        <v>0.68119556147954052</v>
      </c>
      <c r="O67" s="77">
        <v>19.690000000000001</v>
      </c>
      <c r="P67" s="48">
        <v>3245.13</v>
      </c>
      <c r="Q67" s="48">
        <f t="shared" si="20"/>
        <v>1.4685484150155208</v>
      </c>
      <c r="R67" s="2">
        <v>19.43</v>
      </c>
      <c r="S67" s="48">
        <v>2578.08</v>
      </c>
      <c r="T67" s="78">
        <f t="shared" si="24"/>
        <v>1.1521236425372479</v>
      </c>
      <c r="U67" s="77">
        <v>19.579999999999998</v>
      </c>
      <c r="V67" s="48">
        <v>4216.18</v>
      </c>
      <c r="W67" s="48">
        <f t="shared" si="21"/>
        <v>1.8260624199967819</v>
      </c>
      <c r="X67" s="2">
        <v>19.489999999999998</v>
      </c>
      <c r="Y67" s="48">
        <v>2687.81</v>
      </c>
      <c r="Z67" s="78">
        <f t="shared" si="25"/>
        <v>0.92057042548190293</v>
      </c>
      <c r="AA67" s="77">
        <v>19.420000000000002</v>
      </c>
      <c r="AB67" s="48">
        <v>3287.57</v>
      </c>
      <c r="AC67" s="22">
        <f t="shared" si="26"/>
        <v>1.362374491720814</v>
      </c>
      <c r="AD67" s="2">
        <v>19.46</v>
      </c>
      <c r="AE67" s="48">
        <v>4655.1099999999997</v>
      </c>
      <c r="AF67" s="78">
        <f t="shared" si="27"/>
        <v>1.6606845383256241</v>
      </c>
      <c r="AG67" s="77">
        <v>20.13</v>
      </c>
      <c r="AH67" s="48">
        <v>1142.9100000000001</v>
      </c>
      <c r="AI67" s="22">
        <f t="shared" si="28"/>
        <v>0.54847275740118606</v>
      </c>
      <c r="AJ67" s="3">
        <v>19.32</v>
      </c>
      <c r="AK67" s="48">
        <v>6024.1</v>
      </c>
      <c r="AL67" s="78">
        <f t="shared" si="7"/>
        <v>1.8801844859826677</v>
      </c>
      <c r="AM67" s="21" t="s">
        <v>207</v>
      </c>
      <c r="AN67" s="48">
        <v>1439.4</v>
      </c>
      <c r="AO67" s="22">
        <f t="shared" si="8"/>
        <v>0.59471489589349247</v>
      </c>
      <c r="AP67" s="2">
        <v>19.399999999999999</v>
      </c>
      <c r="AQ67" s="48">
        <v>2416.9</v>
      </c>
      <c r="AR67" s="22">
        <f t="shared" si="9"/>
        <v>0.93719244071256402</v>
      </c>
      <c r="AS67" s="77">
        <v>20.07</v>
      </c>
      <c r="AT67" s="48">
        <v>5751.35</v>
      </c>
      <c r="AU67" s="22">
        <f t="shared" si="10"/>
        <v>1.7724055984885516</v>
      </c>
      <c r="AV67" s="2">
        <v>19.53</v>
      </c>
      <c r="AW67" s="48">
        <v>6293.77</v>
      </c>
      <c r="AX67" s="78">
        <f t="shared" si="11"/>
        <v>1.9014197181832275</v>
      </c>
      <c r="AY67" s="21">
        <v>19.55</v>
      </c>
      <c r="AZ67" s="48">
        <v>4427.53</v>
      </c>
      <c r="BA67" s="22">
        <f t="shared" si="29"/>
        <v>1.6248594657468911</v>
      </c>
      <c r="BB67" s="2">
        <v>19.96</v>
      </c>
      <c r="BC67" s="48">
        <v>2846.79</v>
      </c>
      <c r="BD67" s="22">
        <f t="shared" si="30"/>
        <v>0.9674224740764662</v>
      </c>
      <c r="BE67" s="77">
        <v>19.739999999999998</v>
      </c>
      <c r="BF67" s="48">
        <v>1908.74</v>
      </c>
      <c r="BG67" s="22">
        <f t="shared" si="14"/>
        <v>0.82348678145251708</v>
      </c>
      <c r="BH67" s="2">
        <v>19.420000000000002</v>
      </c>
      <c r="BI67" s="48">
        <v>3761</v>
      </c>
      <c r="BJ67" s="78">
        <f t="shared" si="15"/>
        <v>1.5118007484398523</v>
      </c>
      <c r="BK67" s="21">
        <v>19.63</v>
      </c>
      <c r="BL67" s="48">
        <v>1842.48</v>
      </c>
      <c r="BM67" s="22">
        <f t="shared" si="16"/>
        <v>0.84052984474458303</v>
      </c>
      <c r="BN67" s="2">
        <v>19.41</v>
      </c>
      <c r="BO67" s="48">
        <v>3974.16</v>
      </c>
      <c r="BP67" s="22">
        <f t="shared" si="17"/>
        <v>1.481711480109775</v>
      </c>
      <c r="BQ67" s="77">
        <v>19.579999999999998</v>
      </c>
      <c r="BR67" s="48">
        <v>1772.68</v>
      </c>
      <c r="BS67" s="22">
        <f t="shared" si="18"/>
        <v>0.71126999498931598</v>
      </c>
      <c r="BT67" s="2">
        <v>19.420000000000002</v>
      </c>
      <c r="BU67" s="48">
        <v>3631.8</v>
      </c>
      <c r="BV67" s="78">
        <f t="shared" si="19"/>
        <v>1.4237169941333359</v>
      </c>
      <c r="BX67"/>
      <c r="BY67"/>
    </row>
    <row r="68" spans="2:77">
      <c r="B68" s="50" t="s">
        <v>328</v>
      </c>
      <c r="C68" s="124" t="s">
        <v>326</v>
      </c>
      <c r="D68" s="128" t="s">
        <v>508</v>
      </c>
      <c r="E68" s="16">
        <v>0</v>
      </c>
      <c r="F68" s="135">
        <v>0</v>
      </c>
      <c r="G68" s="27">
        <v>0</v>
      </c>
      <c r="H68" s="141">
        <v>1</v>
      </c>
      <c r="I68" s="77" t="s">
        <v>31</v>
      </c>
      <c r="J68" s="48">
        <v>0</v>
      </c>
      <c r="K68" s="65">
        <f t="shared" si="22"/>
        <v>0</v>
      </c>
      <c r="L68" s="2" t="s">
        <v>31</v>
      </c>
      <c r="M68" s="48">
        <v>0</v>
      </c>
      <c r="N68" s="100">
        <f t="shared" si="23"/>
        <v>0</v>
      </c>
      <c r="O68" s="77" t="s">
        <v>31</v>
      </c>
      <c r="P68" s="48">
        <v>0</v>
      </c>
      <c r="Q68" s="48">
        <f t="shared" si="20"/>
        <v>0</v>
      </c>
      <c r="R68" s="2" t="s">
        <v>31</v>
      </c>
      <c r="S68" s="48">
        <v>0</v>
      </c>
      <c r="T68" s="88">
        <f t="shared" si="24"/>
        <v>0</v>
      </c>
      <c r="U68" s="77" t="s">
        <v>31</v>
      </c>
      <c r="V68" s="48">
        <v>0</v>
      </c>
      <c r="W68" s="48">
        <f t="shared" si="21"/>
        <v>0</v>
      </c>
      <c r="X68" s="2" t="s">
        <v>31</v>
      </c>
      <c r="Y68" s="48">
        <v>0</v>
      </c>
      <c r="Z68" s="88">
        <f t="shared" si="25"/>
        <v>0</v>
      </c>
      <c r="AA68" s="77" t="s">
        <v>31</v>
      </c>
      <c r="AB68" s="48">
        <v>0</v>
      </c>
      <c r="AC68" s="65">
        <f t="shared" si="26"/>
        <v>0</v>
      </c>
      <c r="AD68" s="2" t="s">
        <v>31</v>
      </c>
      <c r="AE68" s="48">
        <v>0</v>
      </c>
      <c r="AF68" s="88">
        <f t="shared" si="27"/>
        <v>0</v>
      </c>
      <c r="AG68" s="77" t="s">
        <v>31</v>
      </c>
      <c r="AH68" s="48">
        <v>0</v>
      </c>
      <c r="AI68" s="65">
        <f t="shared" si="28"/>
        <v>0</v>
      </c>
      <c r="AJ68" s="3" t="s">
        <v>31</v>
      </c>
      <c r="AK68" s="48">
        <v>0</v>
      </c>
      <c r="AL68" s="88">
        <f t="shared" si="7"/>
        <v>0</v>
      </c>
      <c r="AM68" s="21" t="s">
        <v>31</v>
      </c>
      <c r="AN68" s="48">
        <v>0</v>
      </c>
      <c r="AO68" s="65">
        <f t="shared" si="8"/>
        <v>0</v>
      </c>
      <c r="AP68" s="4" t="s">
        <v>31</v>
      </c>
      <c r="AQ68" s="51">
        <v>0</v>
      </c>
      <c r="AR68" s="65">
        <f t="shared" si="9"/>
        <v>0</v>
      </c>
      <c r="AS68" s="75">
        <v>21.45</v>
      </c>
      <c r="AT68" s="49">
        <v>3248.56</v>
      </c>
      <c r="AU68" s="67">
        <f t="shared" si="10"/>
        <v>1.0011155521792219</v>
      </c>
      <c r="AV68" s="34">
        <v>20.92</v>
      </c>
      <c r="AW68" s="49">
        <v>6545.97</v>
      </c>
      <c r="AX68" s="118">
        <f t="shared" si="11"/>
        <v>1.9776122153551627</v>
      </c>
      <c r="AY68" s="31">
        <v>21.05</v>
      </c>
      <c r="AZ68" s="49">
        <v>3912.19</v>
      </c>
      <c r="BA68" s="67">
        <f t="shared" si="29"/>
        <v>1.4357348122543114</v>
      </c>
      <c r="BB68" s="34">
        <v>20.95</v>
      </c>
      <c r="BC68" s="49">
        <v>3310.86</v>
      </c>
      <c r="BD68" s="67">
        <f t="shared" si="30"/>
        <v>1.125127028168853</v>
      </c>
      <c r="BE68" s="77" t="s">
        <v>31</v>
      </c>
      <c r="BF68" s="48">
        <v>0</v>
      </c>
      <c r="BG68" s="65">
        <f t="shared" si="14"/>
        <v>0</v>
      </c>
      <c r="BH68" s="2" t="s">
        <v>31</v>
      </c>
      <c r="BI68" s="48">
        <v>0</v>
      </c>
      <c r="BJ68" s="88">
        <f t="shared" si="15"/>
        <v>0</v>
      </c>
      <c r="BK68" s="21" t="s">
        <v>31</v>
      </c>
      <c r="BL68" s="48">
        <v>0</v>
      </c>
      <c r="BM68" s="65">
        <f t="shared" si="16"/>
        <v>0</v>
      </c>
      <c r="BN68" s="3" t="s">
        <v>31</v>
      </c>
      <c r="BO68" s="48">
        <v>0</v>
      </c>
      <c r="BP68" s="65">
        <f t="shared" si="17"/>
        <v>0</v>
      </c>
      <c r="BQ68" s="77" t="s">
        <v>31</v>
      </c>
      <c r="BR68" s="48">
        <v>0</v>
      </c>
      <c r="BS68" s="65">
        <f t="shared" si="18"/>
        <v>0</v>
      </c>
      <c r="BT68" s="2" t="s">
        <v>31</v>
      </c>
      <c r="BU68" s="48">
        <v>0</v>
      </c>
      <c r="BV68" s="88">
        <f t="shared" si="19"/>
        <v>0</v>
      </c>
      <c r="BX68"/>
      <c r="BY68"/>
    </row>
    <row r="69" spans="2:77">
      <c r="B69" s="50" t="s">
        <v>329</v>
      </c>
      <c r="C69" s="124" t="s">
        <v>330</v>
      </c>
      <c r="D69" s="128" t="s">
        <v>331</v>
      </c>
      <c r="E69" s="16">
        <v>1</v>
      </c>
      <c r="F69" s="134" t="s">
        <v>545</v>
      </c>
      <c r="G69" s="27">
        <v>0</v>
      </c>
      <c r="H69" s="141">
        <v>1</v>
      </c>
      <c r="I69" s="77" t="s">
        <v>31</v>
      </c>
      <c r="J69" s="48">
        <v>0</v>
      </c>
      <c r="K69" s="22">
        <f t="shared" si="22"/>
        <v>0</v>
      </c>
      <c r="L69" s="2" t="s">
        <v>31</v>
      </c>
      <c r="M69" s="48">
        <v>0</v>
      </c>
      <c r="N69" s="100">
        <f t="shared" si="23"/>
        <v>0</v>
      </c>
      <c r="O69" s="75">
        <v>18.559999999999999</v>
      </c>
      <c r="P69" s="49">
        <v>5386.6</v>
      </c>
      <c r="Q69" s="49">
        <f t="shared" si="20"/>
        <v>2.4376474570579929</v>
      </c>
      <c r="R69" s="34">
        <v>18.41</v>
      </c>
      <c r="S69" s="49">
        <v>5756.21</v>
      </c>
      <c r="T69" s="107">
        <f t="shared" si="24"/>
        <v>2.5724049030322305</v>
      </c>
      <c r="U69" s="75">
        <v>18.46</v>
      </c>
      <c r="V69" s="49">
        <v>3385.33</v>
      </c>
      <c r="W69" s="49">
        <f t="shared" si="21"/>
        <v>1.466214415012572</v>
      </c>
      <c r="X69" s="34">
        <v>18.47</v>
      </c>
      <c r="Y69" s="49">
        <v>3994.94</v>
      </c>
      <c r="Z69" s="107">
        <f t="shared" si="25"/>
        <v>1.3682602622859033</v>
      </c>
      <c r="AA69" s="75">
        <v>18.399999999999999</v>
      </c>
      <c r="AB69" s="49">
        <v>10259.219999999999</v>
      </c>
      <c r="AC69" s="53">
        <f t="shared" si="26"/>
        <v>4.2514378805476412</v>
      </c>
      <c r="AD69" s="34">
        <v>18.440000000000001</v>
      </c>
      <c r="AE69" s="49">
        <v>10832.89</v>
      </c>
      <c r="AF69" s="107">
        <f t="shared" si="27"/>
        <v>3.8645731096326985</v>
      </c>
      <c r="AG69" s="75">
        <v>18.899999999999999</v>
      </c>
      <c r="AH69" s="49">
        <v>1993.61</v>
      </c>
      <c r="AI69" s="53">
        <f t="shared" si="28"/>
        <v>0.95671642901241427</v>
      </c>
      <c r="AJ69" s="30">
        <v>18.2</v>
      </c>
      <c r="AK69" s="49">
        <v>3813.6</v>
      </c>
      <c r="AL69" s="107">
        <f t="shared" si="7"/>
        <v>1.1902643640948027</v>
      </c>
      <c r="AM69" s="31">
        <v>17.32</v>
      </c>
      <c r="AN69" s="49">
        <v>1956.4</v>
      </c>
      <c r="AO69" s="53">
        <f t="shared" si="8"/>
        <v>0.80832306678201238</v>
      </c>
      <c r="AP69" s="34" t="s">
        <v>183</v>
      </c>
      <c r="AQ69" s="49">
        <v>2393.4</v>
      </c>
      <c r="AR69" s="53">
        <f t="shared" si="9"/>
        <v>0.92807993197958172</v>
      </c>
      <c r="AS69" s="77" t="s">
        <v>31</v>
      </c>
      <c r="AT69" s="48">
        <v>0</v>
      </c>
      <c r="AU69" s="22">
        <f t="shared" si="10"/>
        <v>0</v>
      </c>
      <c r="AV69" s="2" t="s">
        <v>31</v>
      </c>
      <c r="AW69" s="48">
        <v>0</v>
      </c>
      <c r="AX69" s="78">
        <f t="shared" si="11"/>
        <v>0</v>
      </c>
      <c r="AY69" s="21" t="s">
        <v>31</v>
      </c>
      <c r="AZ69" s="48">
        <v>0</v>
      </c>
      <c r="BA69" s="22">
        <f t="shared" si="29"/>
        <v>0</v>
      </c>
      <c r="BB69" s="2" t="s">
        <v>31</v>
      </c>
      <c r="BC69" s="48">
        <v>0</v>
      </c>
      <c r="BD69" s="22">
        <f t="shared" si="30"/>
        <v>0</v>
      </c>
      <c r="BE69" s="77" t="s">
        <v>31</v>
      </c>
      <c r="BF69" s="48">
        <v>0</v>
      </c>
      <c r="BG69" s="22">
        <f t="shared" si="14"/>
        <v>0</v>
      </c>
      <c r="BH69" s="2" t="s">
        <v>31</v>
      </c>
      <c r="BI69" s="48">
        <v>0</v>
      </c>
      <c r="BJ69" s="78">
        <f t="shared" si="15"/>
        <v>0</v>
      </c>
      <c r="BK69" s="21" t="s">
        <v>31</v>
      </c>
      <c r="BL69" s="48">
        <v>0</v>
      </c>
      <c r="BM69" s="22">
        <f t="shared" si="16"/>
        <v>0</v>
      </c>
      <c r="BN69" s="3" t="s">
        <v>31</v>
      </c>
      <c r="BO69" s="48">
        <v>0</v>
      </c>
      <c r="BP69" s="22">
        <f t="shared" si="17"/>
        <v>0</v>
      </c>
      <c r="BQ69" s="77" t="s">
        <v>31</v>
      </c>
      <c r="BR69" s="48">
        <v>0</v>
      </c>
      <c r="BS69" s="22">
        <f t="shared" si="18"/>
        <v>0</v>
      </c>
      <c r="BT69" s="2" t="s">
        <v>31</v>
      </c>
      <c r="BU69" s="48">
        <v>0</v>
      </c>
      <c r="BV69" s="78">
        <f t="shared" si="19"/>
        <v>0</v>
      </c>
      <c r="BX69"/>
      <c r="BY69"/>
    </row>
    <row r="70" spans="2:77">
      <c r="B70" s="50">
        <v>1201</v>
      </c>
      <c r="C70" s="124" t="s">
        <v>332</v>
      </c>
      <c r="D70" s="128" t="s">
        <v>490</v>
      </c>
      <c r="E70" s="16">
        <v>2</v>
      </c>
      <c r="F70" s="135" t="s">
        <v>496</v>
      </c>
      <c r="G70" s="27">
        <v>0</v>
      </c>
      <c r="H70" s="141">
        <v>1</v>
      </c>
      <c r="I70" s="77" t="s">
        <v>333</v>
      </c>
      <c r="J70" s="48">
        <v>948.71</v>
      </c>
      <c r="K70" s="68">
        <f t="shared" si="22"/>
        <v>0.44492332223420711</v>
      </c>
      <c r="L70" s="2">
        <v>27.57</v>
      </c>
      <c r="M70" s="48">
        <v>842.25</v>
      </c>
      <c r="N70" s="100">
        <f t="shared" si="23"/>
        <v>0.37434799113689732</v>
      </c>
      <c r="O70" s="79" t="s">
        <v>31</v>
      </c>
      <c r="P70" s="54">
        <v>0</v>
      </c>
      <c r="Q70" s="54">
        <f t="shared" si="20"/>
        <v>0</v>
      </c>
      <c r="R70" s="36" t="s">
        <v>31</v>
      </c>
      <c r="S70" s="54">
        <v>0</v>
      </c>
      <c r="T70" s="108">
        <f t="shared" si="24"/>
        <v>0</v>
      </c>
      <c r="U70" s="77">
        <v>27.61</v>
      </c>
      <c r="V70" s="48">
        <v>888.66</v>
      </c>
      <c r="W70" s="48">
        <f t="shared" si="21"/>
        <v>0.38488599399322138</v>
      </c>
      <c r="X70" s="2">
        <v>27.5</v>
      </c>
      <c r="Y70" s="48">
        <v>936.4</v>
      </c>
      <c r="Z70" s="89">
        <f t="shared" si="25"/>
        <v>0.32071543242314521</v>
      </c>
      <c r="AA70" s="79" t="s">
        <v>31</v>
      </c>
      <c r="AB70" s="54">
        <v>0</v>
      </c>
      <c r="AC70" s="69">
        <f t="shared" si="26"/>
        <v>0</v>
      </c>
      <c r="AD70" s="36" t="s">
        <v>31</v>
      </c>
      <c r="AE70" s="54">
        <v>0</v>
      </c>
      <c r="AF70" s="108">
        <f t="shared" si="27"/>
        <v>0</v>
      </c>
      <c r="AG70" s="79" t="s">
        <v>31</v>
      </c>
      <c r="AH70" s="54">
        <v>0</v>
      </c>
      <c r="AI70" s="69">
        <f t="shared" si="28"/>
        <v>0</v>
      </c>
      <c r="AJ70" s="35" t="s">
        <v>31</v>
      </c>
      <c r="AK70" s="54">
        <v>0</v>
      </c>
      <c r="AL70" s="108">
        <f t="shared" si="7"/>
        <v>0</v>
      </c>
      <c r="AM70" s="37" t="s">
        <v>31</v>
      </c>
      <c r="AN70" s="54">
        <v>0</v>
      </c>
      <c r="AO70" s="69">
        <f t="shared" si="8"/>
        <v>0</v>
      </c>
      <c r="AP70" s="42" t="s">
        <v>31</v>
      </c>
      <c r="AQ70" s="63">
        <v>0</v>
      </c>
      <c r="AR70" s="69">
        <f t="shared" si="9"/>
        <v>0</v>
      </c>
      <c r="AS70" s="79" t="s">
        <v>31</v>
      </c>
      <c r="AT70" s="54">
        <v>0</v>
      </c>
      <c r="AU70" s="69">
        <f t="shared" si="10"/>
        <v>0</v>
      </c>
      <c r="AV70" s="36" t="s">
        <v>31</v>
      </c>
      <c r="AW70" s="54">
        <v>0</v>
      </c>
      <c r="AX70" s="108">
        <f t="shared" si="11"/>
        <v>0</v>
      </c>
      <c r="AY70" s="37" t="s">
        <v>31</v>
      </c>
      <c r="AZ70" s="54">
        <v>0</v>
      </c>
      <c r="BA70" s="69">
        <f t="shared" si="29"/>
        <v>0</v>
      </c>
      <c r="BB70" s="36" t="s">
        <v>31</v>
      </c>
      <c r="BC70" s="54">
        <v>0</v>
      </c>
      <c r="BD70" s="69">
        <f t="shared" si="30"/>
        <v>0</v>
      </c>
      <c r="BE70" s="77">
        <v>27.87</v>
      </c>
      <c r="BF70" s="48">
        <v>948.71</v>
      </c>
      <c r="BG70" s="68">
        <f t="shared" si="14"/>
        <v>0.4093014996446962</v>
      </c>
      <c r="BH70" s="2">
        <v>27.44</v>
      </c>
      <c r="BI70" s="48">
        <v>734.42</v>
      </c>
      <c r="BJ70" s="89">
        <f t="shared" si="15"/>
        <v>0.29521316290061056</v>
      </c>
      <c r="BK70" s="21">
        <v>27.66</v>
      </c>
      <c r="BL70" s="48">
        <v>371.58</v>
      </c>
      <c r="BM70" s="68">
        <f t="shared" si="16"/>
        <v>0.16951287379520655</v>
      </c>
      <c r="BN70" s="2">
        <v>27.45</v>
      </c>
      <c r="BO70" s="48">
        <v>744.95</v>
      </c>
      <c r="BP70" s="68">
        <f t="shared" si="17"/>
        <v>0.27774447105999178</v>
      </c>
      <c r="BQ70" s="77">
        <v>27.5</v>
      </c>
      <c r="BR70" s="48">
        <v>808.36</v>
      </c>
      <c r="BS70" s="68">
        <f t="shared" si="18"/>
        <v>0.32434630793463204</v>
      </c>
      <c r="BT70" s="2">
        <v>27.46</v>
      </c>
      <c r="BU70" s="48">
        <v>331.54</v>
      </c>
      <c r="BV70" s="89">
        <f t="shared" si="19"/>
        <v>0.12996837167106287</v>
      </c>
      <c r="BX70"/>
      <c r="BY70"/>
    </row>
    <row r="71" spans="2:77">
      <c r="B71" s="13" t="s">
        <v>334</v>
      </c>
      <c r="C71" s="124" t="s">
        <v>335</v>
      </c>
      <c r="D71" s="128" t="s">
        <v>336</v>
      </c>
      <c r="E71" s="16">
        <v>1</v>
      </c>
      <c r="F71" s="134" t="s">
        <v>109</v>
      </c>
      <c r="G71" s="27">
        <v>0</v>
      </c>
      <c r="H71" s="139">
        <v>0</v>
      </c>
      <c r="I71" s="77" t="s">
        <v>339</v>
      </c>
      <c r="J71" s="48">
        <v>2628.4</v>
      </c>
      <c r="K71" s="48">
        <f t="shared" ref="K71:K102" si="31">J71/$J$115*100</f>
        <v>1.2326595694789662</v>
      </c>
      <c r="L71" s="2" t="s">
        <v>345</v>
      </c>
      <c r="M71" s="48">
        <v>1399.72</v>
      </c>
      <c r="N71" s="100">
        <f t="shared" ref="N71:N102" si="32">M71/$M$115*100</f>
        <v>0.62212213731568766</v>
      </c>
      <c r="O71" s="77" t="s">
        <v>341</v>
      </c>
      <c r="P71" s="48">
        <v>2032.3</v>
      </c>
      <c r="Q71" s="48">
        <f t="shared" si="20"/>
        <v>0.91969534158447974</v>
      </c>
      <c r="R71" s="2">
        <v>18.41</v>
      </c>
      <c r="S71" s="48">
        <v>975.11</v>
      </c>
      <c r="T71" s="76">
        <f t="shared" ref="T71:T102" si="33">S71/$S$115*100</f>
        <v>0.43576897732983294</v>
      </c>
      <c r="U71" s="77" t="s">
        <v>342</v>
      </c>
      <c r="V71" s="48">
        <v>2240.9</v>
      </c>
      <c r="W71" s="48">
        <f t="shared" si="21"/>
        <v>0.97055231915401818</v>
      </c>
      <c r="X71" s="2" t="s">
        <v>343</v>
      </c>
      <c r="Y71" s="48">
        <v>2838.9</v>
      </c>
      <c r="Z71" s="76">
        <f t="shared" ref="Z71:Z102" si="34">Y71/$Y$115*100</f>
        <v>0.97231849755026367</v>
      </c>
      <c r="AA71" s="77" t="s">
        <v>344</v>
      </c>
      <c r="AB71" s="48">
        <v>4274.3</v>
      </c>
      <c r="AC71" s="48">
        <f t="shared" ref="AC71:AC102" si="35">AB71/$AB$115*100</f>
        <v>1.7712770496026777</v>
      </c>
      <c r="AD71" s="2" t="s">
        <v>185</v>
      </c>
      <c r="AE71" s="48">
        <v>692.95</v>
      </c>
      <c r="AF71" s="76">
        <f t="shared" ref="AF71:AF102" si="36">AE71/$AE$115*100</f>
        <v>0.24720604901554236</v>
      </c>
      <c r="AG71" s="77">
        <v>18.489999999999998</v>
      </c>
      <c r="AH71" s="48">
        <v>3571.48</v>
      </c>
      <c r="AI71" s="48">
        <f t="shared" ref="AI71:AI102" si="37">AH71/$AH$115*100</f>
        <v>1.7139227792242504</v>
      </c>
      <c r="AJ71" s="3">
        <v>17.899999999999999</v>
      </c>
      <c r="AK71" s="48">
        <v>3222.6</v>
      </c>
      <c r="AL71" s="76">
        <f t="shared" ref="AL71:AL114" si="38">AK71/$AK$115*100</f>
        <v>1.0058070955873482</v>
      </c>
      <c r="AM71" s="21">
        <v>18.53</v>
      </c>
      <c r="AN71" s="48">
        <v>3757.55</v>
      </c>
      <c r="AO71" s="48">
        <f t="shared" ref="AO71:AO114" si="39">AN71/$AN$115*100</f>
        <v>1.5525017070061087</v>
      </c>
      <c r="AP71" s="2" t="s">
        <v>337</v>
      </c>
      <c r="AQ71" s="48">
        <v>3827.6</v>
      </c>
      <c r="AR71" s="48">
        <f t="shared" ref="AR71:AR114" si="40">AQ71/$AQ$115*100</f>
        <v>1.4842144011218545</v>
      </c>
      <c r="AS71" s="79" t="s">
        <v>31</v>
      </c>
      <c r="AT71" s="54">
        <v>0</v>
      </c>
      <c r="AU71" s="54">
        <f t="shared" ref="AU71:AU114" si="41">AT71/$AT$115*100</f>
        <v>0</v>
      </c>
      <c r="AV71" s="36" t="s">
        <v>31</v>
      </c>
      <c r="AW71" s="54">
        <v>0</v>
      </c>
      <c r="AX71" s="102">
        <f t="shared" ref="AX71:AX114" si="42">AW71/$AW$115*100</f>
        <v>0</v>
      </c>
      <c r="AY71" s="37" t="s">
        <v>31</v>
      </c>
      <c r="AZ71" s="54">
        <v>0</v>
      </c>
      <c r="BA71" s="54">
        <f t="shared" ref="BA71:BA102" si="43">AZ71/$AZ$115*100</f>
        <v>0</v>
      </c>
      <c r="BB71" s="36" t="s">
        <v>31</v>
      </c>
      <c r="BC71" s="54">
        <v>0</v>
      </c>
      <c r="BD71" s="54">
        <f t="shared" ref="BD71:BD102" si="44">BC71/$BC$115*100</f>
        <v>0</v>
      </c>
      <c r="BE71" s="77" t="s">
        <v>338</v>
      </c>
      <c r="BF71" s="48">
        <v>2637</v>
      </c>
      <c r="BG71" s="48">
        <f t="shared" ref="BG71:BG114" si="45">BF71/$BF$115*100</f>
        <v>1.1376796434769991</v>
      </c>
      <c r="BH71" s="2" t="s">
        <v>339</v>
      </c>
      <c r="BI71" s="48">
        <v>2410.67</v>
      </c>
      <c r="BJ71" s="76">
        <f t="shared" ref="BJ71:BJ114" si="46">BI71/$BI$115*100</f>
        <v>0.96901162197327806</v>
      </c>
      <c r="BK71" s="21" t="s">
        <v>338</v>
      </c>
      <c r="BL71" s="48">
        <v>1860.2</v>
      </c>
      <c r="BM71" s="48">
        <f t="shared" ref="BM71:BM114" si="47">BL71/$BL$115*100</f>
        <v>0.84861361707799998</v>
      </c>
      <c r="BN71" s="2" t="s">
        <v>339</v>
      </c>
      <c r="BO71" s="48">
        <v>1828.04</v>
      </c>
      <c r="BP71" s="48">
        <f t="shared" ref="BP71:BP114" si="48">BO71/$BO$115*100</f>
        <v>0.68155984009196235</v>
      </c>
      <c r="BQ71" s="77" t="s">
        <v>340</v>
      </c>
      <c r="BR71" s="48">
        <v>3046.8</v>
      </c>
      <c r="BS71" s="48">
        <f t="shared" ref="BS71:BS114" si="49">BR71/$BR$115*100</f>
        <v>1.2224978116374348</v>
      </c>
      <c r="BT71" s="2" t="s">
        <v>338</v>
      </c>
      <c r="BU71" s="48">
        <v>2732.35</v>
      </c>
      <c r="BV71" s="76">
        <f t="shared" ref="BV71:BV114" si="50">BU71/$BU$115*100</f>
        <v>1.0711198658847458</v>
      </c>
      <c r="BX71"/>
      <c r="BY71"/>
    </row>
    <row r="72" spans="2:77">
      <c r="B72" s="13" t="s">
        <v>346</v>
      </c>
      <c r="C72" s="124" t="s">
        <v>335</v>
      </c>
      <c r="D72" s="128" t="s">
        <v>347</v>
      </c>
      <c r="E72" s="16">
        <v>1</v>
      </c>
      <c r="F72" s="134" t="s">
        <v>230</v>
      </c>
      <c r="G72" s="27">
        <v>0</v>
      </c>
      <c r="H72" s="139">
        <v>0</v>
      </c>
      <c r="I72" s="77" t="s">
        <v>31</v>
      </c>
      <c r="J72" s="48">
        <v>0</v>
      </c>
      <c r="K72" s="48">
        <f t="shared" si="31"/>
        <v>0</v>
      </c>
      <c r="L72" s="2" t="s">
        <v>31</v>
      </c>
      <c r="M72" s="48">
        <v>0</v>
      </c>
      <c r="N72" s="100">
        <f t="shared" si="32"/>
        <v>0</v>
      </c>
      <c r="O72" s="77" t="s">
        <v>31</v>
      </c>
      <c r="P72" s="48">
        <v>0</v>
      </c>
      <c r="Q72" s="48">
        <f t="shared" ref="Q72:Q114" si="51">P72/$P$115*100</f>
        <v>0</v>
      </c>
      <c r="R72" s="2" t="s">
        <v>31</v>
      </c>
      <c r="S72" s="48">
        <v>0</v>
      </c>
      <c r="T72" s="76">
        <f t="shared" si="33"/>
        <v>0</v>
      </c>
      <c r="U72" s="77" t="s">
        <v>31</v>
      </c>
      <c r="V72" s="48">
        <v>0</v>
      </c>
      <c r="W72" s="48">
        <f t="shared" si="21"/>
        <v>0</v>
      </c>
      <c r="X72" s="2" t="s">
        <v>31</v>
      </c>
      <c r="Y72" s="48">
        <v>0</v>
      </c>
      <c r="Z72" s="76">
        <f t="shared" si="34"/>
        <v>0</v>
      </c>
      <c r="AA72" s="77" t="s">
        <v>31</v>
      </c>
      <c r="AB72" s="48">
        <v>0</v>
      </c>
      <c r="AC72" s="48">
        <f t="shared" si="35"/>
        <v>0</v>
      </c>
      <c r="AD72" s="2" t="s">
        <v>31</v>
      </c>
      <c r="AE72" s="48">
        <v>0</v>
      </c>
      <c r="AF72" s="76">
        <f t="shared" si="36"/>
        <v>0</v>
      </c>
      <c r="AG72" s="77" t="s">
        <v>31</v>
      </c>
      <c r="AH72" s="48">
        <v>0</v>
      </c>
      <c r="AI72" s="48">
        <f t="shared" si="37"/>
        <v>0</v>
      </c>
      <c r="AJ72" s="3" t="s">
        <v>31</v>
      </c>
      <c r="AK72" s="48">
        <v>0</v>
      </c>
      <c r="AL72" s="76">
        <f t="shared" si="38"/>
        <v>0</v>
      </c>
      <c r="AM72" s="21" t="s">
        <v>31</v>
      </c>
      <c r="AN72" s="48">
        <v>0</v>
      </c>
      <c r="AO72" s="48">
        <f t="shared" si="39"/>
        <v>0</v>
      </c>
      <c r="AP72" s="4" t="s">
        <v>31</v>
      </c>
      <c r="AQ72" s="51">
        <v>0</v>
      </c>
      <c r="AR72" s="48">
        <f t="shared" si="40"/>
        <v>0</v>
      </c>
      <c r="AS72" s="75">
        <v>23.47</v>
      </c>
      <c r="AT72" s="49">
        <v>2877.97</v>
      </c>
      <c r="AU72" s="49">
        <f t="shared" si="41"/>
        <v>0.8869100542102456</v>
      </c>
      <c r="AV72" s="34">
        <v>23.24</v>
      </c>
      <c r="AW72" s="49">
        <v>2519.66</v>
      </c>
      <c r="AX72" s="103">
        <f t="shared" si="42"/>
        <v>0.76121803102394126</v>
      </c>
      <c r="AY72" s="31">
        <v>23.46</v>
      </c>
      <c r="AZ72" s="49">
        <v>3646.38</v>
      </c>
      <c r="BA72" s="49">
        <f t="shared" si="43"/>
        <v>1.3381851864832424</v>
      </c>
      <c r="BB72" s="34">
        <v>23.5</v>
      </c>
      <c r="BC72" s="49">
        <v>3305.76</v>
      </c>
      <c r="BD72" s="49">
        <f t="shared" si="44"/>
        <v>1.1233938990592982</v>
      </c>
      <c r="BE72" s="77" t="s">
        <v>31</v>
      </c>
      <c r="BF72" s="48">
        <v>0</v>
      </c>
      <c r="BG72" s="48">
        <f t="shared" si="45"/>
        <v>0</v>
      </c>
      <c r="BH72" s="2" t="s">
        <v>31</v>
      </c>
      <c r="BI72" s="48">
        <v>0</v>
      </c>
      <c r="BJ72" s="76">
        <f t="shared" si="46"/>
        <v>0</v>
      </c>
      <c r="BK72" s="21" t="s">
        <v>31</v>
      </c>
      <c r="BL72" s="48">
        <v>0</v>
      </c>
      <c r="BM72" s="48">
        <f t="shared" si="47"/>
        <v>0</v>
      </c>
      <c r="BN72" s="3" t="s">
        <v>31</v>
      </c>
      <c r="BO72" s="48">
        <v>0</v>
      </c>
      <c r="BP72" s="48">
        <f t="shared" si="48"/>
        <v>0</v>
      </c>
      <c r="BQ72" s="77" t="s">
        <v>31</v>
      </c>
      <c r="BR72" s="48">
        <v>0</v>
      </c>
      <c r="BS72" s="48">
        <f t="shared" si="49"/>
        <v>0</v>
      </c>
      <c r="BT72" s="2" t="s">
        <v>31</v>
      </c>
      <c r="BU72" s="48">
        <v>0</v>
      </c>
      <c r="BV72" s="76">
        <f t="shared" si="50"/>
        <v>0</v>
      </c>
      <c r="BX72"/>
      <c r="BY72"/>
    </row>
    <row r="73" spans="2:77">
      <c r="B73" s="13">
        <v>1219</v>
      </c>
      <c r="C73" s="124" t="s">
        <v>348</v>
      </c>
      <c r="D73" s="128" t="s">
        <v>349</v>
      </c>
      <c r="E73" s="16">
        <v>1</v>
      </c>
      <c r="F73" s="134" t="s">
        <v>546</v>
      </c>
      <c r="G73" s="27">
        <v>1</v>
      </c>
      <c r="H73" s="139">
        <v>1</v>
      </c>
      <c r="I73" s="77">
        <v>18.09</v>
      </c>
      <c r="J73" s="48">
        <v>2588.2600000000002</v>
      </c>
      <c r="K73" s="48">
        <f t="shared" si="31"/>
        <v>1.2138348262439618</v>
      </c>
      <c r="L73" s="2">
        <v>18.309999999999999</v>
      </c>
      <c r="M73" s="48">
        <v>2259.48</v>
      </c>
      <c r="N73" s="100">
        <f t="shared" si="32"/>
        <v>1.0042526554039737</v>
      </c>
      <c r="O73" s="77">
        <v>18.36</v>
      </c>
      <c r="P73" s="48">
        <v>2578.3000000000002</v>
      </c>
      <c r="Q73" s="48">
        <f t="shared" si="51"/>
        <v>1.1667817247489367</v>
      </c>
      <c r="R73" s="2">
        <v>18.100000000000001</v>
      </c>
      <c r="S73" s="48">
        <v>2413.5700000000002</v>
      </c>
      <c r="T73" s="76">
        <f t="shared" si="33"/>
        <v>1.078605419505456</v>
      </c>
      <c r="U73" s="77">
        <v>18.16</v>
      </c>
      <c r="V73" s="48">
        <v>2865.17</v>
      </c>
      <c r="W73" s="48">
        <f t="shared" ref="W73:W114" si="52">V73/$V$115*100</f>
        <v>1.2409288180063895</v>
      </c>
      <c r="X73" s="2">
        <v>18.16</v>
      </c>
      <c r="Y73" s="48">
        <v>2910.79</v>
      </c>
      <c r="Z73" s="76">
        <f t="shared" si="34"/>
        <v>0.99694070220308284</v>
      </c>
      <c r="AA73" s="77">
        <v>18.09</v>
      </c>
      <c r="AB73" s="48">
        <v>2133.7600000000002</v>
      </c>
      <c r="AC73" s="48">
        <f t="shared" si="35"/>
        <v>0.88423370314676331</v>
      </c>
      <c r="AD73" s="2">
        <v>18.14</v>
      </c>
      <c r="AE73" s="48">
        <v>2344.0500000000002</v>
      </c>
      <c r="AF73" s="76">
        <f t="shared" si="36"/>
        <v>0.83622676844632671</v>
      </c>
      <c r="AG73" s="77">
        <v>18.59</v>
      </c>
      <c r="AH73" s="48">
        <v>2503.73</v>
      </c>
      <c r="AI73" s="48">
        <f t="shared" si="37"/>
        <v>1.2015186645388276</v>
      </c>
      <c r="AJ73" s="3">
        <v>18.2</v>
      </c>
      <c r="AK73" s="48">
        <v>3326.5</v>
      </c>
      <c r="AL73" s="76">
        <f t="shared" si="38"/>
        <v>1.0382353700339211</v>
      </c>
      <c r="AM73" s="21">
        <v>18.443000000000001</v>
      </c>
      <c r="AN73" s="48">
        <v>2533.56</v>
      </c>
      <c r="AO73" s="48">
        <f t="shared" si="39"/>
        <v>1.0467874611921055</v>
      </c>
      <c r="AP73" s="2">
        <v>18.07</v>
      </c>
      <c r="AQ73" s="48">
        <v>2618.17</v>
      </c>
      <c r="AR73" s="48">
        <f t="shared" si="40"/>
        <v>1.0152381697630908</v>
      </c>
      <c r="AS73" s="77">
        <v>18.559999999999999</v>
      </c>
      <c r="AT73" s="48">
        <v>6413.9</v>
      </c>
      <c r="AU73" s="48">
        <f t="shared" si="41"/>
        <v>1.976585022324449</v>
      </c>
      <c r="AV73" s="2">
        <v>18.34</v>
      </c>
      <c r="AW73" s="48">
        <v>6225.69</v>
      </c>
      <c r="AX73" s="76">
        <f t="shared" si="42"/>
        <v>1.880851973506521</v>
      </c>
      <c r="AY73" s="21">
        <v>18.23</v>
      </c>
      <c r="AZ73" s="48">
        <v>3863.57</v>
      </c>
      <c r="BA73" s="48">
        <f t="shared" si="43"/>
        <v>1.4178917559171178</v>
      </c>
      <c r="BB73" s="2">
        <v>18.260000000000002</v>
      </c>
      <c r="BC73" s="48">
        <v>2624.6</v>
      </c>
      <c r="BD73" s="48">
        <f t="shared" si="44"/>
        <v>0.89191581587018831</v>
      </c>
      <c r="BE73" s="77">
        <v>18.2</v>
      </c>
      <c r="BF73" s="48">
        <v>2416.88</v>
      </c>
      <c r="BG73" s="48">
        <f t="shared" si="45"/>
        <v>1.0427133775982897</v>
      </c>
      <c r="BH73" s="2">
        <v>18.09</v>
      </c>
      <c r="BI73" s="48">
        <v>3005.01</v>
      </c>
      <c r="BJ73" s="76">
        <f t="shared" si="46"/>
        <v>1.2079171409383784</v>
      </c>
      <c r="BK73" s="21">
        <v>18.2</v>
      </c>
      <c r="BL73" s="48">
        <v>2308.7199999999998</v>
      </c>
      <c r="BM73" s="48">
        <f t="shared" si="47"/>
        <v>1.0532261208581442</v>
      </c>
      <c r="BN73" s="2">
        <v>18.09</v>
      </c>
      <c r="BO73" s="48">
        <v>2930.64</v>
      </c>
      <c r="BP73" s="48">
        <f t="shared" si="48"/>
        <v>1.0926492471538416</v>
      </c>
      <c r="BQ73" s="77">
        <v>18.14</v>
      </c>
      <c r="BR73" s="48">
        <v>2233.0100000000002</v>
      </c>
      <c r="BS73" s="48">
        <f t="shared" si="49"/>
        <v>0.89597277089553251</v>
      </c>
      <c r="BT73" s="2">
        <v>18.100000000000001</v>
      </c>
      <c r="BU73" s="48">
        <v>2840.63</v>
      </c>
      <c r="BV73" s="76">
        <f t="shared" si="50"/>
        <v>1.113567158170873</v>
      </c>
      <c r="BX73"/>
      <c r="BY73"/>
    </row>
    <row r="74" spans="2:77">
      <c r="B74" s="50">
        <v>1257</v>
      </c>
      <c r="C74" s="124" t="s">
        <v>350</v>
      </c>
      <c r="D74" s="128" t="s">
        <v>351</v>
      </c>
      <c r="E74" s="16">
        <v>0</v>
      </c>
      <c r="F74" s="134">
        <v>0</v>
      </c>
      <c r="G74" s="27">
        <v>0</v>
      </c>
      <c r="H74" s="139">
        <v>1</v>
      </c>
      <c r="I74" s="80">
        <v>18.5</v>
      </c>
      <c r="J74" s="51">
        <v>2208.09</v>
      </c>
      <c r="K74" s="22">
        <f t="shared" si="31"/>
        <v>1.0355437790179616</v>
      </c>
      <c r="L74" s="4" t="s">
        <v>345</v>
      </c>
      <c r="M74" s="51">
        <v>1546.3</v>
      </c>
      <c r="N74" s="100">
        <f t="shared" si="32"/>
        <v>0.68727135493616431</v>
      </c>
      <c r="O74" s="77">
        <v>18.760000000000002</v>
      </c>
      <c r="P74" s="48">
        <v>2135.3000000000002</v>
      </c>
      <c r="Q74" s="48">
        <f t="shared" si="51"/>
        <v>0.96630687540488103</v>
      </c>
      <c r="R74" s="2">
        <v>18.3</v>
      </c>
      <c r="S74" s="48">
        <v>2022.39</v>
      </c>
      <c r="T74" s="78">
        <f t="shared" si="33"/>
        <v>0.90379015912264349</v>
      </c>
      <c r="U74" s="77">
        <v>18.57</v>
      </c>
      <c r="V74" s="48">
        <v>2347.46</v>
      </c>
      <c r="W74" s="48">
        <f t="shared" si="52"/>
        <v>1.0167043362583299</v>
      </c>
      <c r="X74" s="2">
        <v>18.47</v>
      </c>
      <c r="Y74" s="48">
        <v>1697.8</v>
      </c>
      <c r="Z74" s="78">
        <f t="shared" si="34"/>
        <v>0.58149365780437412</v>
      </c>
      <c r="AA74" s="77">
        <v>18.399999999999999</v>
      </c>
      <c r="AB74" s="48">
        <v>2660.38</v>
      </c>
      <c r="AC74" s="22">
        <f t="shared" si="35"/>
        <v>1.1024659095575819</v>
      </c>
      <c r="AD74" s="2">
        <v>18.34</v>
      </c>
      <c r="AE74" s="48">
        <v>3242.89</v>
      </c>
      <c r="AF74" s="78">
        <f t="shared" si="36"/>
        <v>1.1568829270394865</v>
      </c>
      <c r="AG74" s="80">
        <v>19.420000000000002</v>
      </c>
      <c r="AH74" s="51">
        <v>1655.91</v>
      </c>
      <c r="AI74" s="22">
        <f t="shared" si="37"/>
        <v>0.79465708035470695</v>
      </c>
      <c r="AJ74" s="3">
        <v>19.2</v>
      </c>
      <c r="AK74" s="48">
        <v>3945.3</v>
      </c>
      <c r="AL74" s="78">
        <f t="shared" si="38"/>
        <v>1.2313693087012862</v>
      </c>
      <c r="AM74" s="21">
        <v>19.149999999999999</v>
      </c>
      <c r="AN74" s="48">
        <v>2178.33</v>
      </c>
      <c r="AO74" s="22">
        <f t="shared" si="39"/>
        <v>0.9000175761926299</v>
      </c>
      <c r="AP74" s="2">
        <v>18.38</v>
      </c>
      <c r="AQ74" s="48">
        <v>2667.28</v>
      </c>
      <c r="AR74" s="22">
        <f t="shared" si="40"/>
        <v>1.0342813741833787</v>
      </c>
      <c r="AS74" s="77">
        <v>19.38</v>
      </c>
      <c r="AT74" s="48">
        <v>2855.95</v>
      </c>
      <c r="AU74" s="22">
        <f t="shared" si="41"/>
        <v>0.88012410460211565</v>
      </c>
      <c r="AV74" s="2">
        <v>18.739999999999998</v>
      </c>
      <c r="AW74" s="48">
        <v>3277.9</v>
      </c>
      <c r="AX74" s="78">
        <f t="shared" si="42"/>
        <v>0.99029098524935011</v>
      </c>
      <c r="AY74" s="21">
        <v>18.739999999999998</v>
      </c>
      <c r="AZ74" s="48">
        <v>2652.2</v>
      </c>
      <c r="BA74" s="22">
        <f t="shared" si="43"/>
        <v>0.97333101640280362</v>
      </c>
      <c r="BB74" s="2">
        <v>18.57</v>
      </c>
      <c r="BC74" s="48">
        <v>281.64999999999998</v>
      </c>
      <c r="BD74" s="22">
        <f t="shared" si="44"/>
        <v>9.5712904648265831E-2</v>
      </c>
      <c r="BE74" s="77">
        <v>18.82</v>
      </c>
      <c r="BF74" s="48">
        <v>2211.5</v>
      </c>
      <c r="BG74" s="22">
        <f t="shared" si="45"/>
        <v>0.95410638284011517</v>
      </c>
      <c r="BH74" s="2">
        <v>18.399999999999999</v>
      </c>
      <c r="BI74" s="48">
        <v>2402.48</v>
      </c>
      <c r="BJ74" s="78">
        <f t="shared" si="46"/>
        <v>0.96571950601217138</v>
      </c>
      <c r="BK74" s="21">
        <v>18.71</v>
      </c>
      <c r="BL74" s="48">
        <v>2215.38</v>
      </c>
      <c r="BM74" s="22">
        <f t="shared" si="47"/>
        <v>1.0106448957113534</v>
      </c>
      <c r="BN74" s="2">
        <v>18.399999999999999</v>
      </c>
      <c r="BO74" s="48">
        <v>2854.27</v>
      </c>
      <c r="BP74" s="22">
        <f t="shared" si="48"/>
        <v>1.0641757318107292</v>
      </c>
      <c r="BQ74" s="77">
        <v>18.55</v>
      </c>
      <c r="BR74" s="48">
        <v>2225.69</v>
      </c>
      <c r="BS74" s="22">
        <f t="shared" si="49"/>
        <v>0.89303569462495813</v>
      </c>
      <c r="BT74" s="2">
        <v>18.3</v>
      </c>
      <c r="BU74" s="48">
        <v>1972.15</v>
      </c>
      <c r="BV74" s="78">
        <f t="shared" si="50"/>
        <v>0.77311070818328598</v>
      </c>
      <c r="BX74"/>
      <c r="BY74"/>
    </row>
    <row r="75" spans="2:77">
      <c r="B75" s="50" t="s">
        <v>352</v>
      </c>
      <c r="C75" s="124" t="s">
        <v>353</v>
      </c>
      <c r="D75" s="128" t="s">
        <v>354</v>
      </c>
      <c r="E75" s="16">
        <v>1</v>
      </c>
      <c r="F75" s="134">
        <v>1</v>
      </c>
      <c r="G75" s="27">
        <v>0</v>
      </c>
      <c r="H75" s="139">
        <v>1</v>
      </c>
      <c r="I75" s="80">
        <v>19.5</v>
      </c>
      <c r="J75" s="51">
        <v>3029.3</v>
      </c>
      <c r="K75" s="22">
        <f t="shared" si="31"/>
        <v>1.4206725132486044</v>
      </c>
      <c r="L75" s="2">
        <v>19.64</v>
      </c>
      <c r="M75" s="48">
        <v>3084.78</v>
      </c>
      <c r="N75" s="100">
        <f t="shared" si="32"/>
        <v>1.3710670182241358</v>
      </c>
      <c r="O75" s="77" t="s">
        <v>355</v>
      </c>
      <c r="P75" s="48">
        <v>1514.9</v>
      </c>
      <c r="Q75" s="48">
        <f t="shared" si="51"/>
        <v>0.68555157849054194</v>
      </c>
      <c r="R75" s="2">
        <v>19.73</v>
      </c>
      <c r="S75" s="48">
        <v>6299.73</v>
      </c>
      <c r="T75" s="78">
        <f t="shared" si="33"/>
        <v>2.8152997093190191</v>
      </c>
      <c r="U75" s="77" t="s">
        <v>172</v>
      </c>
      <c r="V75" s="48">
        <v>2841.8</v>
      </c>
      <c r="W75" s="48">
        <f t="shared" si="52"/>
        <v>1.2308070777687041</v>
      </c>
      <c r="X75" s="2">
        <v>19.489999999999998</v>
      </c>
      <c r="Y75" s="48">
        <v>7689.01</v>
      </c>
      <c r="Z75" s="78">
        <f t="shared" si="34"/>
        <v>2.6334730532420845</v>
      </c>
      <c r="AA75" s="77" t="s">
        <v>143</v>
      </c>
      <c r="AB75" s="48">
        <v>3877.1</v>
      </c>
      <c r="AC75" s="22">
        <f t="shared" si="35"/>
        <v>1.6066767070665469</v>
      </c>
      <c r="AD75" s="2">
        <v>19.46</v>
      </c>
      <c r="AE75" s="48">
        <v>8697.36</v>
      </c>
      <c r="AF75" s="78">
        <f t="shared" si="36"/>
        <v>3.1027346886006457</v>
      </c>
      <c r="AG75" s="80">
        <v>20.34</v>
      </c>
      <c r="AH75" s="51">
        <v>2712.76</v>
      </c>
      <c r="AI75" s="22">
        <f t="shared" si="37"/>
        <v>1.301830378041702</v>
      </c>
      <c r="AJ75" s="3">
        <v>20.93</v>
      </c>
      <c r="AK75" s="48">
        <v>4493.7</v>
      </c>
      <c r="AL75" s="78">
        <f t="shared" si="38"/>
        <v>1.4025306725752082</v>
      </c>
      <c r="AM75" s="21">
        <v>20.059999999999999</v>
      </c>
      <c r="AN75" s="48">
        <v>3184.7</v>
      </c>
      <c r="AO75" s="22">
        <f t="shared" si="39"/>
        <v>1.3158180693011012</v>
      </c>
      <c r="AP75" s="2">
        <v>19.5</v>
      </c>
      <c r="AQ75" s="48">
        <v>6757.79</v>
      </c>
      <c r="AR75" s="22">
        <f t="shared" si="40"/>
        <v>2.6204434208792082</v>
      </c>
      <c r="AS75" s="79" t="s">
        <v>31</v>
      </c>
      <c r="AT75" s="54">
        <v>0</v>
      </c>
      <c r="AU75" s="55">
        <f t="shared" si="41"/>
        <v>0</v>
      </c>
      <c r="AV75" s="36" t="s">
        <v>31</v>
      </c>
      <c r="AW75" s="54">
        <v>0</v>
      </c>
      <c r="AX75" s="82">
        <f t="shared" si="42"/>
        <v>0</v>
      </c>
      <c r="AY75" s="37" t="s">
        <v>31</v>
      </c>
      <c r="AZ75" s="54">
        <v>0</v>
      </c>
      <c r="BA75" s="55">
        <f t="shared" si="43"/>
        <v>0</v>
      </c>
      <c r="BB75" s="36" t="s">
        <v>31</v>
      </c>
      <c r="BC75" s="54">
        <v>0</v>
      </c>
      <c r="BD75" s="55">
        <f t="shared" si="44"/>
        <v>0</v>
      </c>
      <c r="BE75" s="77">
        <v>19.739999999999998</v>
      </c>
      <c r="BF75" s="48">
        <v>4779.8</v>
      </c>
      <c r="BG75" s="22">
        <f t="shared" si="45"/>
        <v>2.0621468183129923</v>
      </c>
      <c r="BH75" s="2">
        <v>19.420000000000002</v>
      </c>
      <c r="BI75" s="48">
        <v>5060.1099999999997</v>
      </c>
      <c r="BJ75" s="78">
        <f t="shared" si="46"/>
        <v>2.034001086197283</v>
      </c>
      <c r="BK75" s="21">
        <v>19.73</v>
      </c>
      <c r="BL75" s="48">
        <v>2554.1</v>
      </c>
      <c r="BM75" s="22">
        <f t="shared" si="47"/>
        <v>1.1651672074932371</v>
      </c>
      <c r="BN75" s="2">
        <v>19.41</v>
      </c>
      <c r="BO75" s="48">
        <v>5121.3999999999996</v>
      </c>
      <c r="BP75" s="22">
        <f t="shared" si="48"/>
        <v>1.9094443037608453</v>
      </c>
      <c r="BQ75" s="77">
        <v>19.600000000000001</v>
      </c>
      <c r="BR75" s="48">
        <v>3576.9</v>
      </c>
      <c r="BS75" s="22">
        <f t="shared" si="49"/>
        <v>1.435195097297473</v>
      </c>
      <c r="BT75" s="2">
        <v>19.420000000000002</v>
      </c>
      <c r="BU75" s="48">
        <v>3376.79</v>
      </c>
      <c r="BV75" s="78">
        <f t="shared" si="50"/>
        <v>1.3237494654495034</v>
      </c>
      <c r="BX75"/>
      <c r="BY75"/>
    </row>
    <row r="76" spans="2:77">
      <c r="B76" s="50" t="s">
        <v>356</v>
      </c>
      <c r="C76" s="124" t="s">
        <v>353</v>
      </c>
      <c r="D76" s="128" t="s">
        <v>354</v>
      </c>
      <c r="E76" s="16">
        <v>1</v>
      </c>
      <c r="F76" s="134">
        <v>1</v>
      </c>
      <c r="G76" s="27">
        <v>0</v>
      </c>
      <c r="H76" s="139">
        <v>1</v>
      </c>
      <c r="I76" s="80" t="s">
        <v>31</v>
      </c>
      <c r="J76" s="51">
        <v>0</v>
      </c>
      <c r="K76" s="22">
        <f t="shared" si="31"/>
        <v>0</v>
      </c>
      <c r="L76" s="2" t="s">
        <v>31</v>
      </c>
      <c r="M76" s="48">
        <v>0</v>
      </c>
      <c r="N76" s="100">
        <f t="shared" si="32"/>
        <v>0</v>
      </c>
      <c r="O76" s="77" t="s">
        <v>31</v>
      </c>
      <c r="P76" s="48">
        <v>0</v>
      </c>
      <c r="Q76" s="48">
        <f t="shared" si="51"/>
        <v>0</v>
      </c>
      <c r="R76" s="2" t="s">
        <v>31</v>
      </c>
      <c r="S76" s="48">
        <v>0</v>
      </c>
      <c r="T76" s="78">
        <f t="shared" si="33"/>
        <v>0</v>
      </c>
      <c r="U76" s="77" t="s">
        <v>31</v>
      </c>
      <c r="V76" s="48">
        <v>0</v>
      </c>
      <c r="W76" s="48">
        <f t="shared" si="52"/>
        <v>0</v>
      </c>
      <c r="X76" s="2" t="s">
        <v>31</v>
      </c>
      <c r="Y76" s="48">
        <v>0</v>
      </c>
      <c r="Z76" s="78">
        <f t="shared" si="34"/>
        <v>0</v>
      </c>
      <c r="AA76" s="77" t="s">
        <v>31</v>
      </c>
      <c r="AB76" s="48">
        <v>0</v>
      </c>
      <c r="AC76" s="22">
        <f t="shared" si="35"/>
        <v>0</v>
      </c>
      <c r="AD76" s="2" t="s">
        <v>31</v>
      </c>
      <c r="AE76" s="48">
        <v>0</v>
      </c>
      <c r="AF76" s="78">
        <f t="shared" si="36"/>
        <v>0</v>
      </c>
      <c r="AG76" s="80" t="s">
        <v>31</v>
      </c>
      <c r="AH76" s="51">
        <v>0</v>
      </c>
      <c r="AI76" s="22">
        <f t="shared" si="37"/>
        <v>0</v>
      </c>
      <c r="AJ76" s="3" t="s">
        <v>31</v>
      </c>
      <c r="AK76" s="48">
        <v>0</v>
      </c>
      <c r="AL76" s="78">
        <f t="shared" si="38"/>
        <v>0</v>
      </c>
      <c r="AM76" s="21" t="s">
        <v>31</v>
      </c>
      <c r="AN76" s="48">
        <v>0</v>
      </c>
      <c r="AO76" s="22">
        <f t="shared" si="39"/>
        <v>0</v>
      </c>
      <c r="AP76" s="4" t="s">
        <v>31</v>
      </c>
      <c r="AQ76" s="51">
        <v>0</v>
      </c>
      <c r="AR76" s="22">
        <f t="shared" si="40"/>
        <v>0</v>
      </c>
      <c r="AS76" s="75" t="s">
        <v>357</v>
      </c>
      <c r="AT76" s="49">
        <v>2752.7</v>
      </c>
      <c r="AU76" s="53">
        <f t="shared" si="41"/>
        <v>0.84830533543592979</v>
      </c>
      <c r="AV76" s="34" t="s">
        <v>148</v>
      </c>
      <c r="AW76" s="49">
        <v>2712.1</v>
      </c>
      <c r="AX76" s="107">
        <f t="shared" si="42"/>
        <v>0.81935635043618227</v>
      </c>
      <c r="AY76" s="31" t="s">
        <v>191</v>
      </c>
      <c r="AZ76" s="49">
        <v>2115.9</v>
      </c>
      <c r="BA76" s="53">
        <f t="shared" si="43"/>
        <v>0.77651425141644381</v>
      </c>
      <c r="BB76" s="34" t="s">
        <v>358</v>
      </c>
      <c r="BC76" s="49">
        <v>1722.7</v>
      </c>
      <c r="BD76" s="53">
        <f t="shared" si="44"/>
        <v>0.58542382686869365</v>
      </c>
      <c r="BE76" s="77" t="s">
        <v>31</v>
      </c>
      <c r="BF76" s="48">
        <v>0</v>
      </c>
      <c r="BG76" s="22">
        <f t="shared" si="45"/>
        <v>0</v>
      </c>
      <c r="BH76" s="2" t="s">
        <v>31</v>
      </c>
      <c r="BI76" s="48">
        <v>0</v>
      </c>
      <c r="BJ76" s="78">
        <f t="shared" si="46"/>
        <v>0</v>
      </c>
      <c r="BK76" s="21" t="s">
        <v>31</v>
      </c>
      <c r="BL76" s="48">
        <v>0</v>
      </c>
      <c r="BM76" s="22">
        <f t="shared" si="47"/>
        <v>0</v>
      </c>
      <c r="BN76" s="3" t="s">
        <v>31</v>
      </c>
      <c r="BO76" s="48">
        <v>0</v>
      </c>
      <c r="BP76" s="22">
        <f t="shared" si="48"/>
        <v>0</v>
      </c>
      <c r="BQ76" s="77" t="s">
        <v>31</v>
      </c>
      <c r="BR76" s="48">
        <v>0</v>
      </c>
      <c r="BS76" s="22">
        <f t="shared" si="49"/>
        <v>0</v>
      </c>
      <c r="BT76" s="2" t="s">
        <v>31</v>
      </c>
      <c r="BU76" s="48">
        <v>0</v>
      </c>
      <c r="BV76" s="78">
        <f t="shared" si="50"/>
        <v>0</v>
      </c>
      <c r="BX76"/>
      <c r="BY76"/>
    </row>
    <row r="77" spans="2:77">
      <c r="B77" s="50" t="s">
        <v>359</v>
      </c>
      <c r="C77" s="124" t="s">
        <v>353</v>
      </c>
      <c r="D77" s="128" t="s">
        <v>354</v>
      </c>
      <c r="E77" s="16">
        <v>1</v>
      </c>
      <c r="F77" s="134">
        <v>1</v>
      </c>
      <c r="G77" s="27">
        <v>0</v>
      </c>
      <c r="H77" s="139">
        <v>1</v>
      </c>
      <c r="I77" s="80" t="s">
        <v>31</v>
      </c>
      <c r="J77" s="51">
        <v>0</v>
      </c>
      <c r="K77" s="22">
        <f t="shared" si="31"/>
        <v>0</v>
      </c>
      <c r="L77" s="2" t="s">
        <v>31</v>
      </c>
      <c r="M77" s="48">
        <v>0</v>
      </c>
      <c r="N77" s="100">
        <f t="shared" si="32"/>
        <v>0</v>
      </c>
      <c r="O77" s="80" t="s">
        <v>31</v>
      </c>
      <c r="P77" s="51">
        <v>0</v>
      </c>
      <c r="Q77" s="48">
        <f t="shared" si="51"/>
        <v>0</v>
      </c>
      <c r="R77" s="2" t="s">
        <v>31</v>
      </c>
      <c r="S77" s="48">
        <v>0</v>
      </c>
      <c r="T77" s="78">
        <f t="shared" si="33"/>
        <v>0</v>
      </c>
      <c r="U77" s="80" t="s">
        <v>31</v>
      </c>
      <c r="V77" s="51">
        <v>0</v>
      </c>
      <c r="W77" s="48">
        <f t="shared" si="52"/>
        <v>0</v>
      </c>
      <c r="X77" s="2" t="s">
        <v>31</v>
      </c>
      <c r="Y77" s="48">
        <v>0</v>
      </c>
      <c r="Z77" s="78">
        <f t="shared" si="34"/>
        <v>0</v>
      </c>
      <c r="AA77" s="80" t="s">
        <v>31</v>
      </c>
      <c r="AB77" s="51">
        <v>0</v>
      </c>
      <c r="AC77" s="22">
        <f t="shared" si="35"/>
        <v>0</v>
      </c>
      <c r="AD77" s="2" t="s">
        <v>31</v>
      </c>
      <c r="AE77" s="48">
        <v>0</v>
      </c>
      <c r="AF77" s="78">
        <f t="shared" si="36"/>
        <v>0</v>
      </c>
      <c r="AG77" s="80" t="s">
        <v>31</v>
      </c>
      <c r="AH77" s="51">
        <v>0</v>
      </c>
      <c r="AI77" s="22">
        <f t="shared" si="37"/>
        <v>0</v>
      </c>
      <c r="AJ77" s="3" t="s">
        <v>31</v>
      </c>
      <c r="AK77" s="48">
        <v>0</v>
      </c>
      <c r="AL77" s="78">
        <f t="shared" si="38"/>
        <v>0</v>
      </c>
      <c r="AM77" s="22" t="s">
        <v>31</v>
      </c>
      <c r="AN77" s="51">
        <v>0</v>
      </c>
      <c r="AO77" s="22">
        <f t="shared" si="39"/>
        <v>0</v>
      </c>
      <c r="AP77" s="2" t="s">
        <v>31</v>
      </c>
      <c r="AQ77" s="48">
        <v>0</v>
      </c>
      <c r="AR77" s="22">
        <f t="shared" si="40"/>
        <v>0</v>
      </c>
      <c r="AS77" s="112">
        <v>20.9</v>
      </c>
      <c r="AT77" s="52">
        <v>7457</v>
      </c>
      <c r="AU77" s="53">
        <f t="shared" si="41"/>
        <v>2.2980393382300028</v>
      </c>
      <c r="AV77" s="34">
        <v>20.23</v>
      </c>
      <c r="AW77" s="49">
        <v>6166.17</v>
      </c>
      <c r="AX77" s="107">
        <f t="shared" si="42"/>
        <v>1.8628703024848179</v>
      </c>
      <c r="AY77" s="53">
        <v>20.3</v>
      </c>
      <c r="AZ77" s="52">
        <v>5713.1</v>
      </c>
      <c r="BA77" s="53">
        <f t="shared" si="43"/>
        <v>2.0966508671332695</v>
      </c>
      <c r="BB77" s="34" t="s">
        <v>360</v>
      </c>
      <c r="BC77" s="49">
        <v>2975.3</v>
      </c>
      <c r="BD77" s="53">
        <f t="shared" si="44"/>
        <v>1.0110939293448797</v>
      </c>
      <c r="BE77" s="80" t="s">
        <v>31</v>
      </c>
      <c r="BF77" s="51">
        <v>0</v>
      </c>
      <c r="BG77" s="22">
        <f t="shared" si="45"/>
        <v>0</v>
      </c>
      <c r="BH77" s="2" t="s">
        <v>31</v>
      </c>
      <c r="BI77" s="48">
        <v>0</v>
      </c>
      <c r="BJ77" s="78">
        <f t="shared" si="46"/>
        <v>0</v>
      </c>
      <c r="BK77" s="22" t="s">
        <v>31</v>
      </c>
      <c r="BL77" s="51">
        <v>0</v>
      </c>
      <c r="BM77" s="22">
        <f t="shared" si="47"/>
        <v>0</v>
      </c>
      <c r="BN77" s="3" t="s">
        <v>31</v>
      </c>
      <c r="BO77" s="48">
        <v>0</v>
      </c>
      <c r="BP77" s="22">
        <f t="shared" si="48"/>
        <v>0</v>
      </c>
      <c r="BQ77" s="80" t="s">
        <v>31</v>
      </c>
      <c r="BR77" s="51">
        <v>0</v>
      </c>
      <c r="BS77" s="22">
        <f t="shared" si="49"/>
        <v>0</v>
      </c>
      <c r="BT77" s="2" t="s">
        <v>31</v>
      </c>
      <c r="BU77" s="48">
        <v>0</v>
      </c>
      <c r="BV77" s="78">
        <f t="shared" si="50"/>
        <v>0</v>
      </c>
      <c r="BX77"/>
      <c r="BY77"/>
    </row>
    <row r="78" spans="2:77">
      <c r="B78" s="50" t="s">
        <v>361</v>
      </c>
      <c r="C78" s="124" t="s">
        <v>353</v>
      </c>
      <c r="D78" s="128" t="s">
        <v>354</v>
      </c>
      <c r="E78" s="16">
        <v>1</v>
      </c>
      <c r="F78" s="134">
        <v>1</v>
      </c>
      <c r="G78" s="27">
        <v>0</v>
      </c>
      <c r="H78" s="139">
        <v>1</v>
      </c>
      <c r="I78" s="80" t="s">
        <v>31</v>
      </c>
      <c r="J78" s="51">
        <v>0</v>
      </c>
      <c r="K78" s="22">
        <f t="shared" si="31"/>
        <v>0</v>
      </c>
      <c r="L78" s="2" t="s">
        <v>31</v>
      </c>
      <c r="M78" s="48">
        <v>0</v>
      </c>
      <c r="N78" s="100">
        <f t="shared" si="32"/>
        <v>0</v>
      </c>
      <c r="O78" s="80" t="s">
        <v>31</v>
      </c>
      <c r="P78" s="51">
        <v>0</v>
      </c>
      <c r="Q78" s="48">
        <f t="shared" si="51"/>
        <v>0</v>
      </c>
      <c r="R78" s="2" t="s">
        <v>31</v>
      </c>
      <c r="S78" s="48">
        <v>0</v>
      </c>
      <c r="T78" s="78">
        <f t="shared" si="33"/>
        <v>0</v>
      </c>
      <c r="U78" s="80" t="s">
        <v>31</v>
      </c>
      <c r="V78" s="51">
        <v>0</v>
      </c>
      <c r="W78" s="48">
        <f t="shared" si="52"/>
        <v>0</v>
      </c>
      <c r="X78" s="2" t="s">
        <v>31</v>
      </c>
      <c r="Y78" s="48">
        <v>0</v>
      </c>
      <c r="Z78" s="78">
        <f t="shared" si="34"/>
        <v>0</v>
      </c>
      <c r="AA78" s="80" t="s">
        <v>31</v>
      </c>
      <c r="AB78" s="51">
        <v>0</v>
      </c>
      <c r="AC78" s="22">
        <f t="shared" si="35"/>
        <v>0</v>
      </c>
      <c r="AD78" s="2" t="s">
        <v>31</v>
      </c>
      <c r="AE78" s="48">
        <v>0</v>
      </c>
      <c r="AF78" s="78">
        <f t="shared" si="36"/>
        <v>0</v>
      </c>
      <c r="AG78" s="80" t="s">
        <v>31</v>
      </c>
      <c r="AH78" s="51">
        <v>0</v>
      </c>
      <c r="AI78" s="22">
        <f t="shared" si="37"/>
        <v>0</v>
      </c>
      <c r="AJ78" s="3" t="s">
        <v>31</v>
      </c>
      <c r="AK78" s="48">
        <v>0</v>
      </c>
      <c r="AL78" s="78">
        <f t="shared" si="38"/>
        <v>0</v>
      </c>
      <c r="AM78" s="22" t="s">
        <v>31</v>
      </c>
      <c r="AN78" s="51">
        <v>0</v>
      </c>
      <c r="AO78" s="22">
        <f t="shared" si="39"/>
        <v>0</v>
      </c>
      <c r="AP78" s="4" t="s">
        <v>31</v>
      </c>
      <c r="AQ78" s="51">
        <v>0</v>
      </c>
      <c r="AR78" s="22">
        <f t="shared" si="40"/>
        <v>0</v>
      </c>
      <c r="AS78" s="112" t="s">
        <v>362</v>
      </c>
      <c r="AT78" s="52">
        <v>2360.1999999999998</v>
      </c>
      <c r="AU78" s="53">
        <f t="shared" si="41"/>
        <v>0.72734778678965439</v>
      </c>
      <c r="AV78" s="34">
        <v>21.42</v>
      </c>
      <c r="AW78" s="49">
        <v>4175.46</v>
      </c>
      <c r="AX78" s="107">
        <f t="shared" si="42"/>
        <v>1.2614541008783828</v>
      </c>
      <c r="AY78" s="53" t="s">
        <v>363</v>
      </c>
      <c r="AZ78" s="52">
        <v>3783.1</v>
      </c>
      <c r="BA78" s="53">
        <f t="shared" si="43"/>
        <v>1.3883600664178593</v>
      </c>
      <c r="BB78" s="34">
        <v>21.35</v>
      </c>
      <c r="BC78" s="49">
        <v>4373.8999999999996</v>
      </c>
      <c r="BD78" s="53">
        <f t="shared" si="44"/>
        <v>1.4863791004475411</v>
      </c>
      <c r="BE78" s="80" t="s">
        <v>31</v>
      </c>
      <c r="BF78" s="51">
        <v>0</v>
      </c>
      <c r="BG78" s="22">
        <f t="shared" si="45"/>
        <v>0</v>
      </c>
      <c r="BH78" s="2" t="s">
        <v>31</v>
      </c>
      <c r="BI78" s="48">
        <v>0</v>
      </c>
      <c r="BJ78" s="78">
        <f t="shared" si="46"/>
        <v>0</v>
      </c>
      <c r="BK78" s="22" t="s">
        <v>31</v>
      </c>
      <c r="BL78" s="51">
        <v>0</v>
      </c>
      <c r="BM78" s="22">
        <f t="shared" si="47"/>
        <v>0</v>
      </c>
      <c r="BN78" s="3" t="s">
        <v>31</v>
      </c>
      <c r="BO78" s="48">
        <v>0</v>
      </c>
      <c r="BP78" s="22">
        <f t="shared" si="48"/>
        <v>0</v>
      </c>
      <c r="BQ78" s="80" t="s">
        <v>31</v>
      </c>
      <c r="BR78" s="51">
        <v>0</v>
      </c>
      <c r="BS78" s="22">
        <f t="shared" si="49"/>
        <v>0</v>
      </c>
      <c r="BT78" s="2" t="s">
        <v>31</v>
      </c>
      <c r="BU78" s="48">
        <v>0</v>
      </c>
      <c r="BV78" s="78">
        <f t="shared" si="50"/>
        <v>0</v>
      </c>
      <c r="BX78"/>
      <c r="BY78"/>
    </row>
    <row r="79" spans="2:77">
      <c r="B79" s="50" t="s">
        <v>364</v>
      </c>
      <c r="C79" s="124" t="s">
        <v>353</v>
      </c>
      <c r="D79" s="128" t="s">
        <v>354</v>
      </c>
      <c r="E79" s="16">
        <v>1</v>
      </c>
      <c r="F79" s="134">
        <v>1</v>
      </c>
      <c r="G79" s="27">
        <v>0</v>
      </c>
      <c r="H79" s="139">
        <v>1</v>
      </c>
      <c r="I79" s="77">
        <v>21.24</v>
      </c>
      <c r="J79" s="48">
        <v>3304.6</v>
      </c>
      <c r="K79" s="48">
        <f t="shared" si="31"/>
        <v>1.5497819256202219</v>
      </c>
      <c r="L79" s="2">
        <v>21.26</v>
      </c>
      <c r="M79" s="48">
        <v>4628.92</v>
      </c>
      <c r="N79" s="100">
        <f t="shared" si="32"/>
        <v>2.0573783355694948</v>
      </c>
      <c r="O79" s="77">
        <v>21.72</v>
      </c>
      <c r="P79" s="48">
        <v>3588.1</v>
      </c>
      <c r="Q79" s="48">
        <f t="shared" si="51"/>
        <v>1.6237557718541906</v>
      </c>
      <c r="R79" s="2">
        <v>21.15</v>
      </c>
      <c r="S79" s="48">
        <v>4790.49</v>
      </c>
      <c r="T79" s="76">
        <f t="shared" si="33"/>
        <v>2.1408322427303497</v>
      </c>
      <c r="U79" s="77">
        <v>21.4</v>
      </c>
      <c r="V79" s="48">
        <v>2684</v>
      </c>
      <c r="W79" s="48">
        <f t="shared" si="52"/>
        <v>1.1624625929802244</v>
      </c>
      <c r="X79" s="2">
        <v>21.2</v>
      </c>
      <c r="Y79" s="48">
        <v>5052.3100000000004</v>
      </c>
      <c r="Z79" s="76">
        <f t="shared" si="34"/>
        <v>1.7304077171996806</v>
      </c>
      <c r="AA79" s="77">
        <v>21.35</v>
      </c>
      <c r="AB79" s="48">
        <v>3212.9</v>
      </c>
      <c r="AC79" s="48">
        <f t="shared" si="35"/>
        <v>1.3314311191700263</v>
      </c>
      <c r="AD79" s="2">
        <v>21.18</v>
      </c>
      <c r="AE79" s="48">
        <v>4880.91</v>
      </c>
      <c r="AF79" s="76">
        <f t="shared" si="36"/>
        <v>1.7412374293967106</v>
      </c>
      <c r="AG79" s="77">
        <v>22.58</v>
      </c>
      <c r="AH79" s="48">
        <v>3279.8</v>
      </c>
      <c r="AI79" s="48">
        <f t="shared" si="37"/>
        <v>1.5739480359121978</v>
      </c>
      <c r="AJ79" s="3">
        <v>20.93</v>
      </c>
      <c r="AK79" s="48">
        <v>4493.7</v>
      </c>
      <c r="AL79" s="76">
        <f t="shared" si="38"/>
        <v>1.4025306725752082</v>
      </c>
      <c r="AM79" s="21">
        <v>22.2</v>
      </c>
      <c r="AN79" s="48">
        <v>3351.1</v>
      </c>
      <c r="AO79" s="48">
        <f t="shared" si="39"/>
        <v>1.3845693258501337</v>
      </c>
      <c r="AP79" s="2">
        <v>21.12</v>
      </c>
      <c r="AQ79" s="48">
        <v>3830.3</v>
      </c>
      <c r="AR79" s="48">
        <f t="shared" si="40"/>
        <v>1.485261370210325</v>
      </c>
      <c r="AS79" s="79" t="s">
        <v>31</v>
      </c>
      <c r="AT79" s="54">
        <v>0</v>
      </c>
      <c r="AU79" s="54">
        <f t="shared" si="41"/>
        <v>0</v>
      </c>
      <c r="AV79" s="36" t="s">
        <v>31</v>
      </c>
      <c r="AW79" s="54">
        <v>0</v>
      </c>
      <c r="AX79" s="102">
        <f t="shared" si="42"/>
        <v>0</v>
      </c>
      <c r="AY79" s="37" t="s">
        <v>31</v>
      </c>
      <c r="AZ79" s="54">
        <v>0</v>
      </c>
      <c r="BA79" s="54">
        <f t="shared" si="43"/>
        <v>0</v>
      </c>
      <c r="BB79" s="36" t="s">
        <v>31</v>
      </c>
      <c r="BC79" s="54">
        <v>0</v>
      </c>
      <c r="BD79" s="54">
        <f t="shared" si="44"/>
        <v>0</v>
      </c>
      <c r="BE79" s="77">
        <v>21.86</v>
      </c>
      <c r="BF79" s="48">
        <v>3584.6</v>
      </c>
      <c r="BG79" s="48">
        <f t="shared" si="45"/>
        <v>1.5465022563548165</v>
      </c>
      <c r="BH79" s="2">
        <v>21.03</v>
      </c>
      <c r="BI79" s="48">
        <v>2864.6</v>
      </c>
      <c r="BJ79" s="76">
        <f t="shared" si="46"/>
        <v>1.1514768476417976</v>
      </c>
      <c r="BK79" s="21">
        <v>21.65</v>
      </c>
      <c r="BL79" s="48">
        <v>2988.3</v>
      </c>
      <c r="BM79" s="48">
        <f t="shared" si="47"/>
        <v>1.3632470013515685</v>
      </c>
      <c r="BN79" s="2">
        <v>21.03</v>
      </c>
      <c r="BO79" s="48">
        <v>4452.33</v>
      </c>
      <c r="BP79" s="48">
        <f t="shared" si="48"/>
        <v>1.6599906582113337</v>
      </c>
      <c r="BQ79" s="77">
        <v>21.7</v>
      </c>
      <c r="BR79" s="48">
        <v>1463.8</v>
      </c>
      <c r="BS79" s="48">
        <f t="shared" si="49"/>
        <v>0.5873350061293412</v>
      </c>
      <c r="BT79" s="2">
        <v>21.14</v>
      </c>
      <c r="BU79" s="48">
        <v>5065.5</v>
      </c>
      <c r="BV79" s="76">
        <f t="shared" si="50"/>
        <v>1.9857476826318661</v>
      </c>
      <c r="BX79"/>
      <c r="BY79"/>
    </row>
    <row r="80" spans="2:77">
      <c r="B80" s="50" t="s">
        <v>365</v>
      </c>
      <c r="C80" s="124" t="s">
        <v>353</v>
      </c>
      <c r="D80" s="128" t="s">
        <v>354</v>
      </c>
      <c r="E80" s="16">
        <v>1</v>
      </c>
      <c r="F80" s="134">
        <v>1</v>
      </c>
      <c r="G80" s="27">
        <v>0</v>
      </c>
      <c r="H80" s="139">
        <v>1</v>
      </c>
      <c r="I80" s="80" t="s">
        <v>31</v>
      </c>
      <c r="J80" s="51">
        <v>0</v>
      </c>
      <c r="K80" s="22">
        <f t="shared" si="31"/>
        <v>0</v>
      </c>
      <c r="L80" s="2" t="s">
        <v>31</v>
      </c>
      <c r="M80" s="48">
        <v>0</v>
      </c>
      <c r="N80" s="100">
        <f t="shared" si="32"/>
        <v>0</v>
      </c>
      <c r="O80" s="80" t="s">
        <v>31</v>
      </c>
      <c r="P80" s="51">
        <v>0</v>
      </c>
      <c r="Q80" s="48">
        <f t="shared" si="51"/>
        <v>0</v>
      </c>
      <c r="R80" s="2" t="s">
        <v>31</v>
      </c>
      <c r="S80" s="48">
        <v>0</v>
      </c>
      <c r="T80" s="78">
        <f t="shared" si="33"/>
        <v>0</v>
      </c>
      <c r="U80" s="80" t="s">
        <v>31</v>
      </c>
      <c r="V80" s="51">
        <v>0</v>
      </c>
      <c r="W80" s="48">
        <f t="shared" si="52"/>
        <v>0</v>
      </c>
      <c r="X80" s="2" t="s">
        <v>31</v>
      </c>
      <c r="Y80" s="48">
        <v>0</v>
      </c>
      <c r="Z80" s="78">
        <f t="shared" si="34"/>
        <v>0</v>
      </c>
      <c r="AA80" s="80" t="s">
        <v>31</v>
      </c>
      <c r="AB80" s="51">
        <v>0</v>
      </c>
      <c r="AC80" s="22">
        <f t="shared" si="35"/>
        <v>0</v>
      </c>
      <c r="AD80" s="2" t="s">
        <v>31</v>
      </c>
      <c r="AE80" s="48">
        <v>0</v>
      </c>
      <c r="AF80" s="78">
        <f t="shared" si="36"/>
        <v>0</v>
      </c>
      <c r="AG80" s="80" t="s">
        <v>31</v>
      </c>
      <c r="AH80" s="51">
        <v>0</v>
      </c>
      <c r="AI80" s="22">
        <f t="shared" si="37"/>
        <v>0</v>
      </c>
      <c r="AJ80" s="3" t="s">
        <v>31</v>
      </c>
      <c r="AK80" s="48">
        <v>0</v>
      </c>
      <c r="AL80" s="78">
        <f t="shared" si="38"/>
        <v>0</v>
      </c>
      <c r="AM80" s="22" t="s">
        <v>31</v>
      </c>
      <c r="AN80" s="51">
        <v>0</v>
      </c>
      <c r="AO80" s="22">
        <f t="shared" si="39"/>
        <v>0</v>
      </c>
      <c r="AP80" s="4" t="s">
        <v>31</v>
      </c>
      <c r="AQ80" s="51">
        <v>0</v>
      </c>
      <c r="AR80" s="22">
        <f t="shared" si="40"/>
        <v>0</v>
      </c>
      <c r="AS80" s="112">
        <v>26.54</v>
      </c>
      <c r="AT80" s="52">
        <v>1489.5</v>
      </c>
      <c r="AU80" s="53">
        <f t="shared" si="41"/>
        <v>0.45902234065892311</v>
      </c>
      <c r="AV80" s="34">
        <v>25.88</v>
      </c>
      <c r="AW80" s="49">
        <v>2946.77</v>
      </c>
      <c r="AX80" s="107">
        <f t="shared" si="42"/>
        <v>0.89025283462071048</v>
      </c>
      <c r="AY80" s="53">
        <v>26.55</v>
      </c>
      <c r="AZ80" s="52">
        <v>1247.7</v>
      </c>
      <c r="BA80" s="53">
        <f t="shared" si="43"/>
        <v>0.45789348811016445</v>
      </c>
      <c r="BB80" s="34">
        <v>26.23</v>
      </c>
      <c r="BC80" s="49">
        <v>2932.29</v>
      </c>
      <c r="BD80" s="53">
        <f t="shared" si="44"/>
        <v>0.99647787385429942</v>
      </c>
      <c r="BE80" s="80" t="s">
        <v>31</v>
      </c>
      <c r="BF80" s="51">
        <v>0</v>
      </c>
      <c r="BG80" s="22">
        <f t="shared" si="45"/>
        <v>0</v>
      </c>
      <c r="BH80" s="2" t="s">
        <v>31</v>
      </c>
      <c r="BI80" s="48">
        <v>0</v>
      </c>
      <c r="BJ80" s="78">
        <f t="shared" si="46"/>
        <v>0</v>
      </c>
      <c r="BK80" s="22" t="s">
        <v>31</v>
      </c>
      <c r="BL80" s="51">
        <v>0</v>
      </c>
      <c r="BM80" s="22">
        <f t="shared" si="47"/>
        <v>0</v>
      </c>
      <c r="BN80" s="3" t="s">
        <v>31</v>
      </c>
      <c r="BO80" s="48">
        <v>0</v>
      </c>
      <c r="BP80" s="22">
        <f t="shared" si="48"/>
        <v>0</v>
      </c>
      <c r="BQ80" s="80" t="s">
        <v>31</v>
      </c>
      <c r="BR80" s="51">
        <v>0</v>
      </c>
      <c r="BS80" s="22">
        <f t="shared" si="49"/>
        <v>0</v>
      </c>
      <c r="BT80" s="2" t="s">
        <v>31</v>
      </c>
      <c r="BU80" s="48">
        <v>0</v>
      </c>
      <c r="BV80" s="78">
        <f t="shared" si="50"/>
        <v>0</v>
      </c>
      <c r="BX80"/>
      <c r="BY80"/>
    </row>
    <row r="81" spans="2:77">
      <c r="B81" s="50">
        <v>1266</v>
      </c>
      <c r="C81" s="124" t="s">
        <v>366</v>
      </c>
      <c r="D81" s="128" t="s">
        <v>367</v>
      </c>
      <c r="E81" s="16">
        <v>1</v>
      </c>
      <c r="F81" s="134" t="s">
        <v>230</v>
      </c>
      <c r="G81" s="27">
        <v>0</v>
      </c>
      <c r="H81" s="139">
        <v>1</v>
      </c>
      <c r="I81" s="80" t="s">
        <v>31</v>
      </c>
      <c r="J81" s="51">
        <v>0</v>
      </c>
      <c r="K81" s="22">
        <f t="shared" si="31"/>
        <v>0</v>
      </c>
      <c r="L81" s="2" t="s">
        <v>31</v>
      </c>
      <c r="M81" s="48">
        <v>0</v>
      </c>
      <c r="N81" s="100">
        <f t="shared" si="32"/>
        <v>0</v>
      </c>
      <c r="O81" s="80" t="s">
        <v>31</v>
      </c>
      <c r="P81" s="51">
        <v>0</v>
      </c>
      <c r="Q81" s="48">
        <f t="shared" si="51"/>
        <v>0</v>
      </c>
      <c r="R81" s="2" t="s">
        <v>31</v>
      </c>
      <c r="S81" s="48">
        <v>0</v>
      </c>
      <c r="T81" s="78">
        <f t="shared" si="33"/>
        <v>0</v>
      </c>
      <c r="U81" s="80" t="s">
        <v>31</v>
      </c>
      <c r="V81" s="51">
        <v>0</v>
      </c>
      <c r="W81" s="48">
        <f t="shared" si="52"/>
        <v>0</v>
      </c>
      <c r="X81" s="2" t="s">
        <v>31</v>
      </c>
      <c r="Y81" s="48">
        <v>0</v>
      </c>
      <c r="Z81" s="78">
        <f t="shared" si="34"/>
        <v>0</v>
      </c>
      <c r="AA81" s="80" t="s">
        <v>31</v>
      </c>
      <c r="AB81" s="51">
        <v>0</v>
      </c>
      <c r="AC81" s="22">
        <f t="shared" si="35"/>
        <v>0</v>
      </c>
      <c r="AD81" s="2" t="s">
        <v>31</v>
      </c>
      <c r="AE81" s="48">
        <v>0</v>
      </c>
      <c r="AF81" s="78">
        <f t="shared" si="36"/>
        <v>0</v>
      </c>
      <c r="AG81" s="80" t="s">
        <v>31</v>
      </c>
      <c r="AH81" s="51">
        <v>0</v>
      </c>
      <c r="AI81" s="22">
        <f t="shared" si="37"/>
        <v>0</v>
      </c>
      <c r="AJ81" s="3" t="s">
        <v>31</v>
      </c>
      <c r="AK81" s="48">
        <v>0</v>
      </c>
      <c r="AL81" s="78">
        <f t="shared" si="38"/>
        <v>0</v>
      </c>
      <c r="AM81" s="22" t="s">
        <v>31</v>
      </c>
      <c r="AN81" s="51">
        <v>0</v>
      </c>
      <c r="AO81" s="22">
        <f t="shared" si="39"/>
        <v>0</v>
      </c>
      <c r="AP81" s="2" t="s">
        <v>31</v>
      </c>
      <c r="AQ81" s="48">
        <v>0</v>
      </c>
      <c r="AR81" s="22">
        <f t="shared" si="40"/>
        <v>0</v>
      </c>
      <c r="AS81" s="112">
        <v>19.48</v>
      </c>
      <c r="AT81" s="52">
        <v>1622.52</v>
      </c>
      <c r="AU81" s="53">
        <f t="shared" si="41"/>
        <v>0.50001539319631816</v>
      </c>
      <c r="AV81" s="34" t="s">
        <v>368</v>
      </c>
      <c r="AW81" s="49">
        <v>2448.8000000000002</v>
      </c>
      <c r="AX81" s="107">
        <f t="shared" si="42"/>
        <v>0.73981041663217562</v>
      </c>
      <c r="AY81" s="24" t="s">
        <v>31</v>
      </c>
      <c r="AZ81" s="58">
        <v>0</v>
      </c>
      <c r="BA81" s="24">
        <f t="shared" si="43"/>
        <v>0</v>
      </c>
      <c r="BB81" s="2" t="s">
        <v>31</v>
      </c>
      <c r="BC81" s="48">
        <v>0</v>
      </c>
      <c r="BD81" s="24">
        <f t="shared" si="44"/>
        <v>0</v>
      </c>
      <c r="BE81" s="80" t="s">
        <v>31</v>
      </c>
      <c r="BF81" s="51">
        <v>0</v>
      </c>
      <c r="BG81" s="22">
        <f t="shared" si="45"/>
        <v>0</v>
      </c>
      <c r="BH81" s="2" t="s">
        <v>31</v>
      </c>
      <c r="BI81" s="48">
        <v>0</v>
      </c>
      <c r="BJ81" s="78">
        <f t="shared" si="46"/>
        <v>0</v>
      </c>
      <c r="BK81" s="22" t="s">
        <v>31</v>
      </c>
      <c r="BL81" s="51">
        <v>0</v>
      </c>
      <c r="BM81" s="22">
        <f t="shared" si="47"/>
        <v>0</v>
      </c>
      <c r="BN81" s="3" t="s">
        <v>31</v>
      </c>
      <c r="BO81" s="48">
        <v>0</v>
      </c>
      <c r="BP81" s="22">
        <f t="shared" si="48"/>
        <v>0</v>
      </c>
      <c r="BQ81" s="80" t="s">
        <v>31</v>
      </c>
      <c r="BR81" s="51">
        <v>0</v>
      </c>
      <c r="BS81" s="22">
        <f t="shared" si="49"/>
        <v>0</v>
      </c>
      <c r="BT81" s="2" t="s">
        <v>31</v>
      </c>
      <c r="BU81" s="48">
        <v>0</v>
      </c>
      <c r="BV81" s="78">
        <f t="shared" si="50"/>
        <v>0</v>
      </c>
      <c r="BX81"/>
      <c r="BY81"/>
    </row>
    <row r="82" spans="2:77">
      <c r="B82" s="50">
        <v>1267</v>
      </c>
      <c r="C82" s="124" t="s">
        <v>369</v>
      </c>
      <c r="D82" s="128" t="s">
        <v>370</v>
      </c>
      <c r="E82" s="16">
        <v>3</v>
      </c>
      <c r="F82" s="134" t="s">
        <v>547</v>
      </c>
      <c r="G82" s="27">
        <v>0</v>
      </c>
      <c r="H82" s="139">
        <v>1</v>
      </c>
      <c r="I82" s="77">
        <v>27.57</v>
      </c>
      <c r="J82" s="48">
        <v>1531.65</v>
      </c>
      <c r="K82" s="48">
        <f t="shared" si="31"/>
        <v>0.71830886835811081</v>
      </c>
      <c r="L82" s="2">
        <v>27.78</v>
      </c>
      <c r="M82" s="48">
        <v>2343.63</v>
      </c>
      <c r="N82" s="100">
        <f t="shared" si="32"/>
        <v>1.0416541198790938</v>
      </c>
      <c r="O82" s="79" t="s">
        <v>31</v>
      </c>
      <c r="P82" s="54">
        <v>0</v>
      </c>
      <c r="Q82" s="54">
        <f t="shared" si="51"/>
        <v>0</v>
      </c>
      <c r="R82" s="36" t="s">
        <v>31</v>
      </c>
      <c r="S82" s="54">
        <v>0</v>
      </c>
      <c r="T82" s="102">
        <f t="shared" si="33"/>
        <v>0</v>
      </c>
      <c r="U82" s="77">
        <v>27.81</v>
      </c>
      <c r="V82" s="48">
        <v>2006.96</v>
      </c>
      <c r="W82" s="48">
        <f t="shared" si="52"/>
        <v>0.86923097079269418</v>
      </c>
      <c r="X82" s="2">
        <v>27.7</v>
      </c>
      <c r="Y82" s="48">
        <v>2325.27</v>
      </c>
      <c r="Z82" s="76">
        <f t="shared" si="34"/>
        <v>0.79640108239060969</v>
      </c>
      <c r="AA82" s="79" t="s">
        <v>31</v>
      </c>
      <c r="AB82" s="54">
        <v>0</v>
      </c>
      <c r="AC82" s="54">
        <f t="shared" si="35"/>
        <v>0</v>
      </c>
      <c r="AD82" s="36" t="s">
        <v>31</v>
      </c>
      <c r="AE82" s="54">
        <v>0</v>
      </c>
      <c r="AF82" s="102">
        <f t="shared" si="36"/>
        <v>0</v>
      </c>
      <c r="AG82" s="79" t="s">
        <v>31</v>
      </c>
      <c r="AH82" s="54">
        <v>0</v>
      </c>
      <c r="AI82" s="54">
        <f t="shared" si="37"/>
        <v>0</v>
      </c>
      <c r="AJ82" s="35" t="s">
        <v>31</v>
      </c>
      <c r="AK82" s="54">
        <v>0</v>
      </c>
      <c r="AL82" s="102">
        <f t="shared" si="38"/>
        <v>0</v>
      </c>
      <c r="AM82" s="37" t="s">
        <v>31</v>
      </c>
      <c r="AN82" s="54">
        <v>0</v>
      </c>
      <c r="AO82" s="54">
        <f t="shared" si="39"/>
        <v>0</v>
      </c>
      <c r="AP82" s="42" t="s">
        <v>31</v>
      </c>
      <c r="AQ82" s="63">
        <v>0</v>
      </c>
      <c r="AR82" s="54">
        <f t="shared" si="40"/>
        <v>0</v>
      </c>
      <c r="AS82" s="79" t="s">
        <v>31</v>
      </c>
      <c r="AT82" s="54">
        <v>0</v>
      </c>
      <c r="AU82" s="54">
        <f t="shared" si="41"/>
        <v>0</v>
      </c>
      <c r="AV82" s="36" t="s">
        <v>31</v>
      </c>
      <c r="AW82" s="54">
        <v>0</v>
      </c>
      <c r="AX82" s="102">
        <f t="shared" si="42"/>
        <v>0</v>
      </c>
      <c r="AY82" s="37" t="s">
        <v>31</v>
      </c>
      <c r="AZ82" s="54">
        <v>0</v>
      </c>
      <c r="BA82" s="54">
        <f t="shared" si="43"/>
        <v>0</v>
      </c>
      <c r="BB82" s="36" t="s">
        <v>31</v>
      </c>
      <c r="BC82" s="54">
        <v>0</v>
      </c>
      <c r="BD82" s="54">
        <f t="shared" si="44"/>
        <v>0</v>
      </c>
      <c r="BE82" s="77">
        <v>27.77</v>
      </c>
      <c r="BF82" s="48">
        <v>2083.91</v>
      </c>
      <c r="BG82" s="48">
        <f t="shared" si="45"/>
        <v>0.89906029042023261</v>
      </c>
      <c r="BH82" s="2">
        <v>27.64</v>
      </c>
      <c r="BI82" s="48">
        <v>1875.2</v>
      </c>
      <c r="BJ82" s="76">
        <f t="shared" si="46"/>
        <v>0.75376994508758599</v>
      </c>
      <c r="BK82" s="21">
        <v>27.87</v>
      </c>
      <c r="BL82" s="48">
        <v>1747.47</v>
      </c>
      <c r="BM82" s="48">
        <f t="shared" si="47"/>
        <v>0.79718677423679851</v>
      </c>
      <c r="BN82" s="2">
        <v>27.65</v>
      </c>
      <c r="BO82" s="48">
        <v>2244.08</v>
      </c>
      <c r="BP82" s="48">
        <f t="shared" si="48"/>
        <v>0.83667469308853792</v>
      </c>
      <c r="BQ82" s="77">
        <v>27.71</v>
      </c>
      <c r="BR82" s="48">
        <v>2197.7199999999998</v>
      </c>
      <c r="BS82" s="48">
        <f t="shared" si="49"/>
        <v>0.88181301384791344</v>
      </c>
      <c r="BT82" s="2">
        <v>27.77</v>
      </c>
      <c r="BU82" s="48">
        <v>2038.37</v>
      </c>
      <c r="BV82" s="76">
        <f t="shared" si="50"/>
        <v>0.79906988527219758</v>
      </c>
      <c r="BX82"/>
      <c r="BY82"/>
    </row>
    <row r="83" spans="2:77">
      <c r="B83" s="50" t="s">
        <v>371</v>
      </c>
      <c r="C83" s="124" t="s">
        <v>372</v>
      </c>
      <c r="D83" s="128" t="s">
        <v>509</v>
      </c>
      <c r="E83" s="16">
        <v>0</v>
      </c>
      <c r="F83" s="134">
        <v>0</v>
      </c>
      <c r="G83" s="27">
        <v>0</v>
      </c>
      <c r="H83" s="139">
        <v>1</v>
      </c>
      <c r="I83" s="77" t="s">
        <v>31</v>
      </c>
      <c r="J83" s="48">
        <v>0</v>
      </c>
      <c r="K83" s="48">
        <f t="shared" si="31"/>
        <v>0</v>
      </c>
      <c r="L83" s="2" t="s">
        <v>31</v>
      </c>
      <c r="M83" s="48">
        <v>0</v>
      </c>
      <c r="N83" s="100">
        <f t="shared" si="32"/>
        <v>0</v>
      </c>
      <c r="O83" s="77" t="s">
        <v>31</v>
      </c>
      <c r="P83" s="48">
        <v>0</v>
      </c>
      <c r="Q83" s="48">
        <f t="shared" si="51"/>
        <v>0</v>
      </c>
      <c r="R83" s="2" t="s">
        <v>31</v>
      </c>
      <c r="S83" s="48">
        <v>0</v>
      </c>
      <c r="T83" s="76">
        <f t="shared" si="33"/>
        <v>0</v>
      </c>
      <c r="U83" s="77" t="s">
        <v>31</v>
      </c>
      <c r="V83" s="48">
        <v>0</v>
      </c>
      <c r="W83" s="48">
        <f t="shared" si="52"/>
        <v>0</v>
      </c>
      <c r="X83" s="2" t="s">
        <v>31</v>
      </c>
      <c r="Y83" s="48">
        <v>0</v>
      </c>
      <c r="Z83" s="76">
        <f t="shared" si="34"/>
        <v>0</v>
      </c>
      <c r="AA83" s="77" t="s">
        <v>31</v>
      </c>
      <c r="AB83" s="48">
        <v>0</v>
      </c>
      <c r="AC83" s="48">
        <f t="shared" si="35"/>
        <v>0</v>
      </c>
      <c r="AD83" s="2" t="s">
        <v>31</v>
      </c>
      <c r="AE83" s="48">
        <v>0</v>
      </c>
      <c r="AF83" s="76">
        <f t="shared" si="36"/>
        <v>0</v>
      </c>
      <c r="AG83" s="77" t="s">
        <v>31</v>
      </c>
      <c r="AH83" s="48">
        <v>0</v>
      </c>
      <c r="AI83" s="48">
        <f t="shared" si="37"/>
        <v>0</v>
      </c>
      <c r="AJ83" s="3" t="s">
        <v>31</v>
      </c>
      <c r="AK83" s="48">
        <v>0</v>
      </c>
      <c r="AL83" s="76">
        <f t="shared" si="38"/>
        <v>0</v>
      </c>
      <c r="AM83" s="21" t="s">
        <v>31</v>
      </c>
      <c r="AN83" s="48">
        <v>0</v>
      </c>
      <c r="AO83" s="48">
        <f t="shared" si="39"/>
        <v>0</v>
      </c>
      <c r="AP83" s="2" t="s">
        <v>31</v>
      </c>
      <c r="AQ83" s="48">
        <v>0</v>
      </c>
      <c r="AR83" s="48">
        <f t="shared" si="40"/>
        <v>0</v>
      </c>
      <c r="AS83" s="75">
        <v>22.16</v>
      </c>
      <c r="AT83" s="49">
        <v>2468.9699999999998</v>
      </c>
      <c r="AU83" s="49">
        <f t="shared" si="41"/>
        <v>0.76086766593934962</v>
      </c>
      <c r="AV83" s="34">
        <v>21.82</v>
      </c>
      <c r="AW83" s="49">
        <v>3361.37</v>
      </c>
      <c r="AX83" s="103">
        <f t="shared" si="42"/>
        <v>1.0155082244997125</v>
      </c>
      <c r="AY83" s="31">
        <v>21.85</v>
      </c>
      <c r="AZ83" s="49">
        <v>2100.91</v>
      </c>
      <c r="BA83" s="49">
        <f t="shared" si="43"/>
        <v>0.77101307053420332</v>
      </c>
      <c r="BB83" s="34">
        <v>21.75</v>
      </c>
      <c r="BC83" s="49">
        <v>2889.18</v>
      </c>
      <c r="BD83" s="49">
        <f t="shared" si="44"/>
        <v>0.98182783544000252</v>
      </c>
      <c r="BE83" s="77" t="s">
        <v>31</v>
      </c>
      <c r="BF83" s="48">
        <v>0</v>
      </c>
      <c r="BG83" s="48">
        <f t="shared" si="45"/>
        <v>0</v>
      </c>
      <c r="BH83" s="2" t="s">
        <v>31</v>
      </c>
      <c r="BI83" s="48">
        <v>0</v>
      </c>
      <c r="BJ83" s="76">
        <f t="shared" si="46"/>
        <v>0</v>
      </c>
      <c r="BK83" s="21" t="s">
        <v>31</v>
      </c>
      <c r="BL83" s="48">
        <v>0</v>
      </c>
      <c r="BM83" s="48">
        <f t="shared" si="47"/>
        <v>0</v>
      </c>
      <c r="BN83" s="3" t="s">
        <v>31</v>
      </c>
      <c r="BO83" s="48">
        <v>0</v>
      </c>
      <c r="BP83" s="48">
        <f t="shared" si="48"/>
        <v>0</v>
      </c>
      <c r="BQ83" s="77" t="s">
        <v>31</v>
      </c>
      <c r="BR83" s="48">
        <v>0</v>
      </c>
      <c r="BS83" s="48">
        <f t="shared" si="49"/>
        <v>0</v>
      </c>
      <c r="BT83" s="2" t="s">
        <v>31</v>
      </c>
      <c r="BU83" s="48">
        <v>0</v>
      </c>
      <c r="BV83" s="76">
        <f t="shared" si="50"/>
        <v>0</v>
      </c>
      <c r="BX83"/>
      <c r="BY83"/>
    </row>
    <row r="84" spans="2:77">
      <c r="B84" s="50" t="s">
        <v>373</v>
      </c>
      <c r="C84" s="124" t="s">
        <v>372</v>
      </c>
      <c r="D84" s="128" t="s">
        <v>374</v>
      </c>
      <c r="E84" s="16">
        <v>0</v>
      </c>
      <c r="F84" s="134">
        <v>0</v>
      </c>
      <c r="G84" s="27">
        <v>0</v>
      </c>
      <c r="H84" s="139">
        <v>1</v>
      </c>
      <c r="I84" s="80" t="s">
        <v>31</v>
      </c>
      <c r="J84" s="51">
        <v>0</v>
      </c>
      <c r="K84" s="22">
        <f t="shared" si="31"/>
        <v>0</v>
      </c>
      <c r="L84" s="2" t="s">
        <v>31</v>
      </c>
      <c r="M84" s="48">
        <v>0</v>
      </c>
      <c r="N84" s="100">
        <f t="shared" si="32"/>
        <v>0</v>
      </c>
      <c r="O84" s="80" t="s">
        <v>31</v>
      </c>
      <c r="P84" s="51">
        <v>0</v>
      </c>
      <c r="Q84" s="48">
        <f t="shared" si="51"/>
        <v>0</v>
      </c>
      <c r="R84" s="2" t="s">
        <v>31</v>
      </c>
      <c r="S84" s="48">
        <v>0</v>
      </c>
      <c r="T84" s="78">
        <f t="shared" si="33"/>
        <v>0</v>
      </c>
      <c r="U84" s="80" t="s">
        <v>31</v>
      </c>
      <c r="V84" s="51">
        <v>0</v>
      </c>
      <c r="W84" s="48">
        <f t="shared" si="52"/>
        <v>0</v>
      </c>
      <c r="X84" s="2" t="s">
        <v>31</v>
      </c>
      <c r="Y84" s="48">
        <v>0</v>
      </c>
      <c r="Z84" s="78">
        <f t="shared" si="34"/>
        <v>0</v>
      </c>
      <c r="AA84" s="80" t="s">
        <v>31</v>
      </c>
      <c r="AB84" s="51">
        <v>0</v>
      </c>
      <c r="AC84" s="22">
        <f t="shared" si="35"/>
        <v>0</v>
      </c>
      <c r="AD84" s="2" t="s">
        <v>31</v>
      </c>
      <c r="AE84" s="48">
        <v>0</v>
      </c>
      <c r="AF84" s="78">
        <f t="shared" si="36"/>
        <v>0</v>
      </c>
      <c r="AG84" s="80" t="s">
        <v>31</v>
      </c>
      <c r="AH84" s="51">
        <v>0</v>
      </c>
      <c r="AI84" s="22">
        <f t="shared" si="37"/>
        <v>0</v>
      </c>
      <c r="AJ84" s="3" t="s">
        <v>31</v>
      </c>
      <c r="AK84" s="48">
        <v>0</v>
      </c>
      <c r="AL84" s="78">
        <f t="shared" si="38"/>
        <v>0</v>
      </c>
      <c r="AM84" s="22" t="s">
        <v>31</v>
      </c>
      <c r="AN84" s="51">
        <v>0</v>
      </c>
      <c r="AO84" s="22">
        <f t="shared" si="39"/>
        <v>0</v>
      </c>
      <c r="AP84" s="4" t="s">
        <v>31</v>
      </c>
      <c r="AQ84" s="51">
        <v>0</v>
      </c>
      <c r="AR84" s="22">
        <f t="shared" si="40"/>
        <v>0</v>
      </c>
      <c r="AS84" s="112">
        <v>23.67</v>
      </c>
      <c r="AT84" s="52">
        <v>4540.78</v>
      </c>
      <c r="AU84" s="53">
        <f t="shared" si="41"/>
        <v>1.3993417012535916</v>
      </c>
      <c r="AV84" s="34">
        <v>22.93</v>
      </c>
      <c r="AW84" s="49">
        <v>2904.72</v>
      </c>
      <c r="AX84" s="107">
        <f t="shared" si="42"/>
        <v>0.87754904990191629</v>
      </c>
      <c r="AY84" s="53">
        <v>23.46</v>
      </c>
      <c r="AZ84" s="52">
        <v>3875.5</v>
      </c>
      <c r="BA84" s="53">
        <f t="shared" si="43"/>
        <v>1.4222699472396749</v>
      </c>
      <c r="BB84" s="34">
        <v>23.25</v>
      </c>
      <c r="BC84" s="49">
        <v>2298.48</v>
      </c>
      <c r="BD84" s="53">
        <f t="shared" si="44"/>
        <v>0.78109070504507749</v>
      </c>
      <c r="BE84" s="80" t="s">
        <v>31</v>
      </c>
      <c r="BF84" s="51">
        <v>0</v>
      </c>
      <c r="BG84" s="22">
        <f t="shared" si="45"/>
        <v>0</v>
      </c>
      <c r="BH84" s="2" t="s">
        <v>31</v>
      </c>
      <c r="BI84" s="48">
        <v>0</v>
      </c>
      <c r="BJ84" s="78">
        <f t="shared" si="46"/>
        <v>0</v>
      </c>
      <c r="BK84" s="22" t="s">
        <v>31</v>
      </c>
      <c r="BL84" s="51">
        <v>0</v>
      </c>
      <c r="BM84" s="22">
        <f t="shared" si="47"/>
        <v>0</v>
      </c>
      <c r="BN84" s="3" t="s">
        <v>31</v>
      </c>
      <c r="BO84" s="48">
        <v>0</v>
      </c>
      <c r="BP84" s="22">
        <f t="shared" si="48"/>
        <v>0</v>
      </c>
      <c r="BQ84" s="80" t="s">
        <v>31</v>
      </c>
      <c r="BR84" s="51">
        <v>0</v>
      </c>
      <c r="BS84" s="22">
        <f t="shared" si="49"/>
        <v>0</v>
      </c>
      <c r="BT84" s="2" t="s">
        <v>31</v>
      </c>
      <c r="BU84" s="48">
        <v>0</v>
      </c>
      <c r="BV84" s="78">
        <f t="shared" si="50"/>
        <v>0</v>
      </c>
      <c r="BX84"/>
      <c r="BY84"/>
    </row>
    <row r="85" spans="2:77">
      <c r="B85" s="13" t="s">
        <v>375</v>
      </c>
      <c r="C85" s="124" t="s">
        <v>376</v>
      </c>
      <c r="D85" s="128" t="s">
        <v>354</v>
      </c>
      <c r="E85" s="16">
        <v>1</v>
      </c>
      <c r="F85" s="134" t="s">
        <v>548</v>
      </c>
      <c r="G85" s="27">
        <v>0</v>
      </c>
      <c r="H85" s="139">
        <v>1</v>
      </c>
      <c r="I85" s="77">
        <v>17.89</v>
      </c>
      <c r="J85" s="48">
        <v>1681</v>
      </c>
      <c r="K85" s="48">
        <f t="shared" si="31"/>
        <v>0.78835060732542306</v>
      </c>
      <c r="L85" s="2">
        <v>17.899999999999999</v>
      </c>
      <c r="M85" s="48">
        <v>3627.46</v>
      </c>
      <c r="N85" s="100">
        <f t="shared" si="32"/>
        <v>1.6122675736769958</v>
      </c>
      <c r="O85" s="77" t="s">
        <v>184</v>
      </c>
      <c r="P85" s="48">
        <v>2283.3000000000002</v>
      </c>
      <c r="Q85" s="48">
        <f t="shared" si="51"/>
        <v>1.0332826715740011</v>
      </c>
      <c r="R85" s="2">
        <v>17.690000000000001</v>
      </c>
      <c r="S85" s="48">
        <v>2239.88</v>
      </c>
      <c r="T85" s="76">
        <f t="shared" si="33"/>
        <v>1.0009847267913838</v>
      </c>
      <c r="U85" s="77" t="s">
        <v>378</v>
      </c>
      <c r="V85" s="48">
        <v>1758.2</v>
      </c>
      <c r="W85" s="48">
        <f t="shared" si="52"/>
        <v>0.76149095789039889</v>
      </c>
      <c r="X85" s="2">
        <v>17.760000000000002</v>
      </c>
      <c r="Y85" s="48">
        <v>2216.41</v>
      </c>
      <c r="Z85" s="76">
        <f t="shared" si="34"/>
        <v>0.75911671462727803</v>
      </c>
      <c r="AA85" s="77">
        <v>17.78</v>
      </c>
      <c r="AB85" s="48">
        <v>3300.48</v>
      </c>
      <c r="AC85" s="48">
        <f t="shared" si="35"/>
        <v>1.3677244172549063</v>
      </c>
      <c r="AD85" s="2">
        <v>17.73</v>
      </c>
      <c r="AE85" s="48">
        <v>3645.66</v>
      </c>
      <c r="AF85" s="76">
        <f t="shared" si="36"/>
        <v>1.3005688789292185</v>
      </c>
      <c r="AG85" s="77">
        <v>18.59</v>
      </c>
      <c r="AH85" s="48">
        <v>3576.09</v>
      </c>
      <c r="AI85" s="48">
        <f t="shared" si="37"/>
        <v>1.7161350788905578</v>
      </c>
      <c r="AJ85" s="2">
        <v>17.39</v>
      </c>
      <c r="AK85" s="48">
        <v>5726.63</v>
      </c>
      <c r="AL85" s="76">
        <f t="shared" si="38"/>
        <v>1.7873409941672487</v>
      </c>
      <c r="AM85" s="21">
        <v>18.329999999999998</v>
      </c>
      <c r="AN85" s="48">
        <v>1892.87</v>
      </c>
      <c r="AO85" s="48">
        <f t="shared" si="39"/>
        <v>0.78207446504787759</v>
      </c>
      <c r="AP85" s="2">
        <v>18.78</v>
      </c>
      <c r="AQ85" s="48">
        <v>5690.02</v>
      </c>
      <c r="AR85" s="48">
        <f t="shared" si="40"/>
        <v>2.2063981676955207</v>
      </c>
      <c r="AS85" s="79" t="s">
        <v>31</v>
      </c>
      <c r="AT85" s="54">
        <v>0</v>
      </c>
      <c r="AU85" s="54">
        <f t="shared" si="41"/>
        <v>0</v>
      </c>
      <c r="AV85" s="36" t="s">
        <v>31</v>
      </c>
      <c r="AW85" s="54">
        <v>0</v>
      </c>
      <c r="AX85" s="102">
        <f t="shared" si="42"/>
        <v>0</v>
      </c>
      <c r="AY85" s="37" t="s">
        <v>31</v>
      </c>
      <c r="AZ85" s="54">
        <v>0</v>
      </c>
      <c r="BA85" s="54">
        <f t="shared" si="43"/>
        <v>0</v>
      </c>
      <c r="BB85" s="36" t="s">
        <v>31</v>
      </c>
      <c r="BC85" s="54">
        <v>0</v>
      </c>
      <c r="BD85" s="54">
        <f t="shared" si="44"/>
        <v>0</v>
      </c>
      <c r="BE85" s="77" t="s">
        <v>338</v>
      </c>
      <c r="BF85" s="48">
        <v>1543.9</v>
      </c>
      <c r="BG85" s="48">
        <f t="shared" si="45"/>
        <v>0.66608403548128137</v>
      </c>
      <c r="BH85" s="2">
        <v>17.79</v>
      </c>
      <c r="BI85" s="48">
        <v>1258.0899999999999</v>
      </c>
      <c r="BJ85" s="76">
        <f t="shared" si="46"/>
        <v>0.50571162020863969</v>
      </c>
      <c r="BK85" s="21" t="s">
        <v>377</v>
      </c>
      <c r="BL85" s="48">
        <v>1902.8</v>
      </c>
      <c r="BM85" s="48">
        <f t="shared" si="47"/>
        <v>0.86804751670574043</v>
      </c>
      <c r="BN85" s="2">
        <v>17.79</v>
      </c>
      <c r="BO85" s="48">
        <v>3983.15</v>
      </c>
      <c r="BP85" s="48">
        <f t="shared" si="48"/>
        <v>1.4850632792839873</v>
      </c>
      <c r="BQ85" s="77">
        <v>17.829999999999998</v>
      </c>
      <c r="BR85" s="48">
        <v>2160.8200000000002</v>
      </c>
      <c r="BS85" s="48">
        <f t="shared" si="49"/>
        <v>0.86700726051673949</v>
      </c>
      <c r="BT85" s="2">
        <v>17.7</v>
      </c>
      <c r="BU85" s="48">
        <v>4266.1499999999996</v>
      </c>
      <c r="BV85" s="76">
        <f t="shared" si="50"/>
        <v>1.6723911709130261</v>
      </c>
      <c r="BX85"/>
      <c r="BY85"/>
    </row>
    <row r="86" spans="2:77">
      <c r="B86" s="13" t="s">
        <v>379</v>
      </c>
      <c r="C86" s="124" t="s">
        <v>376</v>
      </c>
      <c r="D86" s="128" t="s">
        <v>354</v>
      </c>
      <c r="E86" s="16">
        <v>1</v>
      </c>
      <c r="F86" s="134" t="s">
        <v>113</v>
      </c>
      <c r="G86" s="27">
        <v>0</v>
      </c>
      <c r="H86" s="139">
        <v>1</v>
      </c>
      <c r="I86" s="77">
        <v>18.71</v>
      </c>
      <c r="J86" s="48">
        <v>1602.94</v>
      </c>
      <c r="K86" s="48">
        <f t="shared" si="31"/>
        <v>0.75174225015241736</v>
      </c>
      <c r="L86" s="2">
        <v>19.03</v>
      </c>
      <c r="M86" s="48">
        <v>2844.41</v>
      </c>
      <c r="N86" s="100">
        <f t="shared" si="32"/>
        <v>1.2642317239177228</v>
      </c>
      <c r="O86" s="77">
        <v>19.170000000000002</v>
      </c>
      <c r="P86" s="48">
        <v>3985.54</v>
      </c>
      <c r="Q86" s="48">
        <f t="shared" si="51"/>
        <v>1.8036129369180767</v>
      </c>
      <c r="R86" s="2">
        <v>18.71</v>
      </c>
      <c r="S86" s="48">
        <v>3745.43</v>
      </c>
      <c r="T86" s="76">
        <f t="shared" si="33"/>
        <v>1.6738031614489404</v>
      </c>
      <c r="U86" s="77">
        <v>18.87</v>
      </c>
      <c r="V86" s="48">
        <v>4826.54</v>
      </c>
      <c r="W86" s="48">
        <f t="shared" si="52"/>
        <v>2.0904143828326274</v>
      </c>
      <c r="X86" s="2">
        <v>18.88</v>
      </c>
      <c r="Y86" s="48">
        <v>3044.03</v>
      </c>
      <c r="Z86" s="76">
        <f t="shared" si="34"/>
        <v>1.0425751791531683</v>
      </c>
      <c r="AA86" s="77" t="s">
        <v>176</v>
      </c>
      <c r="AB86" s="48">
        <v>2388.9</v>
      </c>
      <c r="AC86" s="48">
        <f t="shared" si="35"/>
        <v>0.98996414472447813</v>
      </c>
      <c r="AD86" s="2" t="s">
        <v>368</v>
      </c>
      <c r="AE86" s="48">
        <v>1511.96</v>
      </c>
      <c r="AF86" s="76">
        <f t="shared" si="36"/>
        <v>0.53938330019415459</v>
      </c>
      <c r="AG86" s="77">
        <v>19.62</v>
      </c>
      <c r="AH86" s="48">
        <v>1737.41</v>
      </c>
      <c r="AI86" s="48">
        <f t="shared" si="37"/>
        <v>0.83376823497597774</v>
      </c>
      <c r="AJ86" s="2">
        <v>18.61</v>
      </c>
      <c r="AK86" s="48">
        <v>3253.38</v>
      </c>
      <c r="AL86" s="76">
        <f t="shared" si="38"/>
        <v>1.0154138548507314</v>
      </c>
      <c r="AM86" s="21">
        <v>19.350000000000001</v>
      </c>
      <c r="AN86" s="48">
        <v>4381.49</v>
      </c>
      <c r="AO86" s="48">
        <f t="shared" si="39"/>
        <v>1.8102941289484358</v>
      </c>
      <c r="AP86" s="2">
        <v>19.5</v>
      </c>
      <c r="AQ86" s="48">
        <v>4680.45</v>
      </c>
      <c r="AR86" s="48">
        <f t="shared" si="40"/>
        <v>1.8149209148633043</v>
      </c>
      <c r="AS86" s="77">
        <v>19.28</v>
      </c>
      <c r="AT86" s="48">
        <v>4029.44</v>
      </c>
      <c r="AU86" s="48">
        <f t="shared" si="41"/>
        <v>1.2417609804261103</v>
      </c>
      <c r="AV86" s="2">
        <v>19.63</v>
      </c>
      <c r="AW86" s="48">
        <v>10724.16</v>
      </c>
      <c r="AX86" s="76">
        <f t="shared" si="42"/>
        <v>3.23989108037819</v>
      </c>
      <c r="AY86" s="21">
        <v>18.739999999999998</v>
      </c>
      <c r="AZ86" s="48">
        <v>4899.67</v>
      </c>
      <c r="BA86" s="48">
        <f t="shared" si="43"/>
        <v>1.798130148985116</v>
      </c>
      <c r="BB86" s="2">
        <v>18.670000000000002</v>
      </c>
      <c r="BC86" s="48">
        <v>5782.63</v>
      </c>
      <c r="BD86" s="48">
        <f t="shared" si="44"/>
        <v>1.9651067417227108</v>
      </c>
      <c r="BE86" s="77">
        <v>19.03</v>
      </c>
      <c r="BF86" s="48">
        <v>2566.19</v>
      </c>
      <c r="BG86" s="48">
        <f t="shared" si="45"/>
        <v>1.1071301191862877</v>
      </c>
      <c r="BH86" s="2">
        <v>18.7</v>
      </c>
      <c r="BI86" s="48">
        <v>4491.26</v>
      </c>
      <c r="BJ86" s="76">
        <f t="shared" si="46"/>
        <v>1.8053417254554565</v>
      </c>
      <c r="BK86" s="21">
        <v>19.02</v>
      </c>
      <c r="BL86" s="48">
        <v>1738.58</v>
      </c>
      <c r="BM86" s="48">
        <f t="shared" si="47"/>
        <v>0.79313120222528166</v>
      </c>
      <c r="BN86" s="2">
        <v>18.8</v>
      </c>
      <c r="BO86" s="48">
        <v>3138.17</v>
      </c>
      <c r="BP86" s="48">
        <f t="shared" si="48"/>
        <v>1.1700239838194972</v>
      </c>
      <c r="BQ86" s="77">
        <v>18.86</v>
      </c>
      <c r="BR86" s="48">
        <v>2622.86</v>
      </c>
      <c r="BS86" s="48">
        <f t="shared" si="49"/>
        <v>1.0523961566992786</v>
      </c>
      <c r="BT86" s="2">
        <v>18.809999999999999</v>
      </c>
      <c r="BU86" s="48">
        <v>2779.44</v>
      </c>
      <c r="BV86" s="76">
        <f t="shared" si="50"/>
        <v>1.0895798122622278</v>
      </c>
      <c r="BX86"/>
      <c r="BY86"/>
    </row>
    <row r="87" spans="2:77">
      <c r="B87" s="50" t="s">
        <v>380</v>
      </c>
      <c r="C87" s="124" t="s">
        <v>381</v>
      </c>
      <c r="D87" s="128" t="s">
        <v>354</v>
      </c>
      <c r="E87" s="16">
        <v>0</v>
      </c>
      <c r="F87" s="134">
        <v>0</v>
      </c>
      <c r="G87" s="27">
        <v>0</v>
      </c>
      <c r="H87" s="139">
        <v>1</v>
      </c>
      <c r="I87" s="80">
        <v>20.03</v>
      </c>
      <c r="J87" s="51">
        <v>1514.58</v>
      </c>
      <c r="K87" s="22">
        <f t="shared" si="31"/>
        <v>0.71030342822304526</v>
      </c>
      <c r="L87" s="4" t="s">
        <v>388</v>
      </c>
      <c r="M87" s="51">
        <v>1559.76</v>
      </c>
      <c r="N87" s="100">
        <f t="shared" si="32"/>
        <v>0.69325381140479314</v>
      </c>
      <c r="O87" s="77" t="s">
        <v>386</v>
      </c>
      <c r="P87" s="48">
        <v>1285.5999999999999</v>
      </c>
      <c r="Q87" s="48">
        <f t="shared" si="51"/>
        <v>0.58178434834473602</v>
      </c>
      <c r="R87" s="2">
        <v>20.03</v>
      </c>
      <c r="S87" s="48">
        <v>1327.04</v>
      </c>
      <c r="T87" s="78">
        <f t="shared" si="33"/>
        <v>0.59304372191422661</v>
      </c>
      <c r="U87" s="77">
        <v>20.18</v>
      </c>
      <c r="V87" s="48">
        <v>1373.3</v>
      </c>
      <c r="W87" s="48">
        <f t="shared" si="52"/>
        <v>0.59478758529796649</v>
      </c>
      <c r="X87" s="2" t="s">
        <v>31</v>
      </c>
      <c r="Y87" s="48">
        <v>0</v>
      </c>
      <c r="Z87" s="78">
        <f t="shared" si="34"/>
        <v>0</v>
      </c>
      <c r="AA87" s="77" t="s">
        <v>387</v>
      </c>
      <c r="AB87" s="48">
        <v>1040.5</v>
      </c>
      <c r="AC87" s="22">
        <f t="shared" si="35"/>
        <v>0.43118493557110782</v>
      </c>
      <c r="AD87" s="2" t="s">
        <v>360</v>
      </c>
      <c r="AE87" s="48">
        <v>1002.09</v>
      </c>
      <c r="AF87" s="78">
        <f t="shared" si="36"/>
        <v>0.35749002043146666</v>
      </c>
      <c r="AG87" s="80">
        <v>20.84</v>
      </c>
      <c r="AH87" s="51">
        <v>1123.06</v>
      </c>
      <c r="AI87" s="22">
        <f t="shared" si="37"/>
        <v>0.53894691176643483</v>
      </c>
      <c r="AJ87" s="3">
        <v>19.920000000000002</v>
      </c>
      <c r="AK87" s="48">
        <v>2247.4899999999998</v>
      </c>
      <c r="AL87" s="78">
        <f t="shared" si="38"/>
        <v>0.7014650869675445</v>
      </c>
      <c r="AM87" s="21">
        <v>20.56</v>
      </c>
      <c r="AN87" s="48">
        <v>1189.8499999999999</v>
      </c>
      <c r="AO87" s="22">
        <f t="shared" si="39"/>
        <v>0.49160866950039739</v>
      </c>
      <c r="AP87" s="2">
        <v>20.100000000000001</v>
      </c>
      <c r="AQ87" s="48">
        <v>1519.42</v>
      </c>
      <c r="AR87" s="22">
        <f t="shared" si="40"/>
        <v>0.58917991570502881</v>
      </c>
      <c r="AS87" s="77">
        <v>20.66</v>
      </c>
      <c r="AT87" s="48">
        <v>2861.16</v>
      </c>
      <c r="AU87" s="22">
        <f t="shared" si="41"/>
        <v>0.88172968123510187</v>
      </c>
      <c r="AV87" s="2">
        <v>20.13</v>
      </c>
      <c r="AW87" s="48">
        <v>3258.49</v>
      </c>
      <c r="AX87" s="78">
        <f t="shared" si="42"/>
        <v>0.98442700281434881</v>
      </c>
      <c r="AY87" s="21">
        <v>20.149999999999999</v>
      </c>
      <c r="AZ87" s="48">
        <v>2127</v>
      </c>
      <c r="BA87" s="22">
        <f t="shared" si="43"/>
        <v>0.7805878409956879</v>
      </c>
      <c r="BB87" s="2" t="s">
        <v>385</v>
      </c>
      <c r="BC87" s="48">
        <v>1475.12</v>
      </c>
      <c r="BD87" s="22">
        <f t="shared" si="44"/>
        <v>0.50128890433072926</v>
      </c>
      <c r="BE87" s="77" t="s">
        <v>382</v>
      </c>
      <c r="BF87" s="48">
        <v>1693.8</v>
      </c>
      <c r="BG87" s="22">
        <f t="shared" si="45"/>
        <v>0.73075532048590863</v>
      </c>
      <c r="BH87" s="2">
        <v>20.02</v>
      </c>
      <c r="BI87" s="48">
        <v>1361.64</v>
      </c>
      <c r="BJ87" s="78">
        <f t="shared" si="46"/>
        <v>0.54733538184143604</v>
      </c>
      <c r="BK87" s="21" t="s">
        <v>383</v>
      </c>
      <c r="BL87" s="48">
        <v>1754</v>
      </c>
      <c r="BM87" s="22">
        <f t="shared" si="47"/>
        <v>0.80016572645673145</v>
      </c>
      <c r="BN87" s="2" t="s">
        <v>384</v>
      </c>
      <c r="BO87" s="48">
        <v>1675.7</v>
      </c>
      <c r="BP87" s="22">
        <f t="shared" si="48"/>
        <v>0.62476194396298845</v>
      </c>
      <c r="BQ87" s="77">
        <v>20.18</v>
      </c>
      <c r="BR87" s="48">
        <v>1791.09</v>
      </c>
      <c r="BS87" s="22">
        <f t="shared" si="49"/>
        <v>0.71865682205779602</v>
      </c>
      <c r="BT87" s="2">
        <v>20.329999999999998</v>
      </c>
      <c r="BU87" s="48">
        <v>1754.53</v>
      </c>
      <c r="BV87" s="78">
        <f t="shared" si="50"/>
        <v>0.68780058861081594</v>
      </c>
      <c r="BX87"/>
      <c r="BY87"/>
    </row>
    <row r="88" spans="2:77">
      <c r="B88" s="13" t="s">
        <v>389</v>
      </c>
      <c r="C88" s="124" t="s">
        <v>390</v>
      </c>
      <c r="D88" s="128" t="s">
        <v>510</v>
      </c>
      <c r="E88" s="16">
        <v>2</v>
      </c>
      <c r="F88" s="134" t="s">
        <v>546</v>
      </c>
      <c r="G88" s="27">
        <v>1</v>
      </c>
      <c r="H88" s="139">
        <v>1</v>
      </c>
      <c r="I88" s="77" t="s">
        <v>394</v>
      </c>
      <c r="J88" s="48">
        <v>229.7</v>
      </c>
      <c r="K88" s="48">
        <f t="shared" si="31"/>
        <v>0.10772405383857803</v>
      </c>
      <c r="L88" s="2" t="s">
        <v>225</v>
      </c>
      <c r="M88" s="48">
        <v>412.5</v>
      </c>
      <c r="N88" s="100">
        <f t="shared" si="32"/>
        <v>0.18334051213294172</v>
      </c>
      <c r="O88" s="77" t="s">
        <v>239</v>
      </c>
      <c r="P88" s="48">
        <v>339.6</v>
      </c>
      <c r="Q88" s="48">
        <f t="shared" si="51"/>
        <v>0.15368229985833259</v>
      </c>
      <c r="R88" s="2" t="s">
        <v>394</v>
      </c>
      <c r="S88" s="48">
        <v>300.10000000000002</v>
      </c>
      <c r="T88" s="76">
        <f t="shared" si="33"/>
        <v>0.13411232588803609</v>
      </c>
      <c r="U88" s="77" t="s">
        <v>397</v>
      </c>
      <c r="V88" s="48">
        <v>382.8</v>
      </c>
      <c r="W88" s="48">
        <f t="shared" si="52"/>
        <v>0.16579384522832707</v>
      </c>
      <c r="X88" s="2" t="s">
        <v>398</v>
      </c>
      <c r="Y88" s="48">
        <v>599.79999999999995</v>
      </c>
      <c r="Z88" s="76">
        <f t="shared" si="34"/>
        <v>0.20543049590709361</v>
      </c>
      <c r="AA88" s="77" t="s">
        <v>399</v>
      </c>
      <c r="AB88" s="48">
        <v>519.29999999999995</v>
      </c>
      <c r="AC88" s="48">
        <f t="shared" si="35"/>
        <v>0.2151987862009383</v>
      </c>
      <c r="AD88" s="2" t="s">
        <v>400</v>
      </c>
      <c r="AE88" s="48">
        <v>733.7</v>
      </c>
      <c r="AF88" s="76">
        <f t="shared" si="36"/>
        <v>0.26174338431734384</v>
      </c>
      <c r="AG88" s="77" t="s">
        <v>391</v>
      </c>
      <c r="AH88" s="48">
        <v>553.79999999999995</v>
      </c>
      <c r="AI88" s="48">
        <f t="shared" si="37"/>
        <v>0.26576389483754348</v>
      </c>
      <c r="AJ88" s="3" t="s">
        <v>392</v>
      </c>
      <c r="AK88" s="48">
        <v>596.9</v>
      </c>
      <c r="AL88" s="76">
        <f t="shared" si="38"/>
        <v>0.18629872008815496</v>
      </c>
      <c r="AM88" s="21" t="s">
        <v>291</v>
      </c>
      <c r="AN88" s="48">
        <v>774.9</v>
      </c>
      <c r="AO88" s="48">
        <f t="shared" si="39"/>
        <v>0.32016435516733865</v>
      </c>
      <c r="AP88" s="2" t="s">
        <v>49</v>
      </c>
      <c r="AQ88" s="48">
        <v>312.8</v>
      </c>
      <c r="AR88" s="48">
        <f t="shared" si="40"/>
        <v>0.12129330773093222</v>
      </c>
      <c r="AS88" s="77">
        <v>15.92</v>
      </c>
      <c r="AT88" s="48">
        <v>459.1</v>
      </c>
      <c r="AU88" s="22">
        <f t="shared" si="41"/>
        <v>0.14148181040383459</v>
      </c>
      <c r="AV88" s="2">
        <v>15.7</v>
      </c>
      <c r="AW88" s="48">
        <v>354.83</v>
      </c>
      <c r="AX88" s="78">
        <f t="shared" si="42"/>
        <v>0.10719819100522493</v>
      </c>
      <c r="AY88" s="21">
        <v>15.89</v>
      </c>
      <c r="AZ88" s="48">
        <v>438.3</v>
      </c>
      <c r="BA88" s="48">
        <f t="shared" si="43"/>
        <v>0.1608517398723131</v>
      </c>
      <c r="BB88" s="2">
        <v>15.73</v>
      </c>
      <c r="BC88" s="48">
        <v>452.02</v>
      </c>
      <c r="BD88" s="48">
        <f t="shared" si="44"/>
        <v>0.15360961178451668</v>
      </c>
      <c r="BE88" s="77" t="s">
        <v>393</v>
      </c>
      <c r="BF88" s="48">
        <v>537.70000000000005</v>
      </c>
      <c r="BG88" s="48">
        <f t="shared" si="45"/>
        <v>0.23197965274841958</v>
      </c>
      <c r="BH88" s="2" t="s">
        <v>394</v>
      </c>
      <c r="BI88" s="48">
        <v>294.10000000000002</v>
      </c>
      <c r="BJ88" s="76">
        <f t="shared" si="46"/>
        <v>0.11821871845683611</v>
      </c>
      <c r="BK88" s="21" t="s">
        <v>393</v>
      </c>
      <c r="BL88" s="48">
        <v>440.2</v>
      </c>
      <c r="BM88" s="48">
        <f t="shared" si="47"/>
        <v>0.20081696281998473</v>
      </c>
      <c r="BN88" s="2" t="s">
        <v>247</v>
      </c>
      <c r="BO88" s="48">
        <v>4071.1</v>
      </c>
      <c r="BP88" s="48">
        <f t="shared" si="48"/>
        <v>1.5178542400595108</v>
      </c>
      <c r="BQ88" s="77" t="s">
        <v>395</v>
      </c>
      <c r="BR88" s="48">
        <v>317.60000000000002</v>
      </c>
      <c r="BS88" s="48">
        <f t="shared" si="49"/>
        <v>0.1274338010292928</v>
      </c>
      <c r="BT88" s="2" t="s">
        <v>396</v>
      </c>
      <c r="BU88" s="48">
        <v>567.4</v>
      </c>
      <c r="BV88" s="76">
        <f t="shared" si="50"/>
        <v>0.22242882936044239</v>
      </c>
      <c r="BX88"/>
      <c r="BY88"/>
    </row>
    <row r="89" spans="2:77">
      <c r="B89" s="13" t="s">
        <v>401</v>
      </c>
      <c r="C89" s="124" t="s">
        <v>390</v>
      </c>
      <c r="D89" s="128" t="s">
        <v>402</v>
      </c>
      <c r="E89" s="16">
        <v>2</v>
      </c>
      <c r="F89" s="134" t="s">
        <v>545</v>
      </c>
      <c r="G89" s="27">
        <v>0</v>
      </c>
      <c r="H89" s="139">
        <v>1</v>
      </c>
      <c r="I89" s="77">
        <v>16.16</v>
      </c>
      <c r="J89" s="48">
        <v>2068.6799999999998</v>
      </c>
      <c r="K89" s="48">
        <f>J89/$J$115*100</f>
        <v>0.97016367302912321</v>
      </c>
      <c r="L89" s="2">
        <v>16.38</v>
      </c>
      <c r="M89" s="48">
        <v>2166.79</v>
      </c>
      <c r="N89" s="100">
        <f t="shared" si="32"/>
        <v>0.96305548675039221</v>
      </c>
      <c r="O89" s="77">
        <v>16.420000000000002</v>
      </c>
      <c r="P89" s="48">
        <v>3817.99</v>
      </c>
      <c r="Q89" s="48">
        <f t="shared" si="51"/>
        <v>1.7277900001063464</v>
      </c>
      <c r="R89" s="2">
        <v>16.260000000000002</v>
      </c>
      <c r="S89" s="48">
        <v>3709.01</v>
      </c>
      <c r="T89" s="76">
        <f t="shared" si="33"/>
        <v>1.6575273503564973</v>
      </c>
      <c r="U89" s="77">
        <v>16.22</v>
      </c>
      <c r="V89" s="48">
        <v>2286.9699999999998</v>
      </c>
      <c r="W89" s="48">
        <f t="shared" si="52"/>
        <v>0.99050561708941254</v>
      </c>
      <c r="X89" s="2">
        <v>16.350000000000001</v>
      </c>
      <c r="Y89" s="48">
        <v>3967.25</v>
      </c>
      <c r="Z89" s="76">
        <f t="shared" si="34"/>
        <v>1.3587764836402423</v>
      </c>
      <c r="AA89" s="77">
        <v>16.25</v>
      </c>
      <c r="AB89" s="48">
        <v>6971.08</v>
      </c>
      <c r="AC89" s="48">
        <f t="shared" si="35"/>
        <v>2.8888271798760581</v>
      </c>
      <c r="AD89" s="2">
        <v>16.309999999999999</v>
      </c>
      <c r="AE89" s="48">
        <v>7814.45</v>
      </c>
      <c r="AF89" s="76">
        <f t="shared" si="36"/>
        <v>2.7877614686911101</v>
      </c>
      <c r="AG89" s="77">
        <v>16.75</v>
      </c>
      <c r="AH89" s="48">
        <v>3623.9</v>
      </c>
      <c r="AI89" s="48">
        <f t="shared" si="37"/>
        <v>1.7390786899634776</v>
      </c>
      <c r="AJ89" s="3">
        <v>16.18</v>
      </c>
      <c r="AK89" s="48">
        <v>4728.1000000000004</v>
      </c>
      <c r="AL89" s="76">
        <f t="shared" si="38"/>
        <v>1.4756893591033766</v>
      </c>
      <c r="AM89" s="21">
        <v>16.600000000000001</v>
      </c>
      <c r="AN89" s="48">
        <v>4272.3999999999996</v>
      </c>
      <c r="AO89" s="48">
        <f t="shared" si="39"/>
        <v>1.7652215653851306</v>
      </c>
      <c r="AP89" s="2">
        <v>16.25</v>
      </c>
      <c r="AQ89" s="48">
        <v>3435.95</v>
      </c>
      <c r="AR89" s="48">
        <f t="shared" si="40"/>
        <v>1.3323457183442982</v>
      </c>
      <c r="AS89" s="79" t="s">
        <v>31</v>
      </c>
      <c r="AT89" s="54">
        <v>0</v>
      </c>
      <c r="AU89" s="55">
        <f t="shared" si="41"/>
        <v>0</v>
      </c>
      <c r="AV89" s="36" t="s">
        <v>31</v>
      </c>
      <c r="AW89" s="54">
        <v>0</v>
      </c>
      <c r="AX89" s="82">
        <f t="shared" si="42"/>
        <v>0</v>
      </c>
      <c r="AY89" s="37" t="s">
        <v>31</v>
      </c>
      <c r="AZ89" s="54">
        <v>0</v>
      </c>
      <c r="BA89" s="54">
        <f t="shared" si="43"/>
        <v>0</v>
      </c>
      <c r="BB89" s="36" t="s">
        <v>31</v>
      </c>
      <c r="BC89" s="54">
        <v>0</v>
      </c>
      <c r="BD89" s="54">
        <f t="shared" si="44"/>
        <v>0</v>
      </c>
      <c r="BE89" s="77">
        <v>16.27</v>
      </c>
      <c r="BF89" s="48">
        <v>2480.81</v>
      </c>
      <c r="BG89" s="48">
        <f t="shared" si="45"/>
        <v>1.0702946667933917</v>
      </c>
      <c r="BH89" s="2">
        <v>16.260000000000002</v>
      </c>
      <c r="BI89" s="48">
        <v>2965.1</v>
      </c>
      <c r="BJ89" s="76">
        <f t="shared" si="46"/>
        <v>1.1918746076040962</v>
      </c>
      <c r="BK89" s="21">
        <v>16.260000000000002</v>
      </c>
      <c r="BL89" s="48">
        <v>2161.34</v>
      </c>
      <c r="BM89" s="48">
        <f t="shared" si="47"/>
        <v>0.98599212726339347</v>
      </c>
      <c r="BN89" s="2">
        <v>16.28</v>
      </c>
      <c r="BO89" s="48">
        <v>2680.11</v>
      </c>
      <c r="BP89" s="48">
        <f t="shared" si="48"/>
        <v>0.99924254558372316</v>
      </c>
      <c r="BQ89" s="77">
        <v>16.2</v>
      </c>
      <c r="BR89" s="48">
        <v>3288</v>
      </c>
      <c r="BS89" s="48">
        <f t="shared" si="49"/>
        <v>1.3192768821924268</v>
      </c>
      <c r="BT89" s="2">
        <v>16.18</v>
      </c>
      <c r="BU89" s="48">
        <v>2827.03</v>
      </c>
      <c r="BV89" s="76">
        <f t="shared" si="50"/>
        <v>1.1082357657152828</v>
      </c>
      <c r="BX89"/>
      <c r="BY89"/>
    </row>
    <row r="90" spans="2:77">
      <c r="B90" s="13" t="s">
        <v>403</v>
      </c>
      <c r="C90" s="124" t="s">
        <v>390</v>
      </c>
      <c r="D90" s="128" t="s">
        <v>404</v>
      </c>
      <c r="E90" s="16">
        <v>2</v>
      </c>
      <c r="F90" s="134" t="s">
        <v>545</v>
      </c>
      <c r="G90" s="27">
        <v>0</v>
      </c>
      <c r="H90" s="139">
        <v>1</v>
      </c>
      <c r="I90" s="77">
        <v>17.59</v>
      </c>
      <c r="J90" s="48">
        <v>6410.01</v>
      </c>
      <c r="K90" s="48">
        <f t="shared" si="31"/>
        <v>3.0061482905782482</v>
      </c>
      <c r="L90" s="2">
        <v>17.8</v>
      </c>
      <c r="M90" s="48">
        <v>4731.87</v>
      </c>
      <c r="N90" s="100">
        <f t="shared" si="32"/>
        <v>2.103135682779401</v>
      </c>
      <c r="O90" s="77">
        <v>17.850000000000001</v>
      </c>
      <c r="P90" s="48">
        <v>5123.7</v>
      </c>
      <c r="Q90" s="48">
        <f t="shared" si="51"/>
        <v>2.3186749110251434</v>
      </c>
      <c r="R90" s="2">
        <v>17.59</v>
      </c>
      <c r="S90" s="48">
        <v>4181.57</v>
      </c>
      <c r="T90" s="76">
        <f t="shared" si="33"/>
        <v>1.8687106916482339</v>
      </c>
      <c r="U90" s="77" t="s">
        <v>405</v>
      </c>
      <c r="V90" s="48">
        <v>4065.3</v>
      </c>
      <c r="W90" s="48">
        <f t="shared" si="52"/>
        <v>1.7607150444271631</v>
      </c>
      <c r="X90" s="2" t="s">
        <v>406</v>
      </c>
      <c r="Y90" s="48">
        <v>4048</v>
      </c>
      <c r="Z90" s="76">
        <f t="shared" si="34"/>
        <v>1.3864332234610122</v>
      </c>
      <c r="AA90" s="77">
        <v>17.579999999999998</v>
      </c>
      <c r="AB90" s="48">
        <v>7164.68</v>
      </c>
      <c r="AC90" s="48">
        <f t="shared" si="35"/>
        <v>2.9690553428040412</v>
      </c>
      <c r="AD90" s="2">
        <v>17.63</v>
      </c>
      <c r="AE90" s="48">
        <v>8532.3700000000008</v>
      </c>
      <c r="AF90" s="76">
        <f t="shared" si="36"/>
        <v>3.0438754259885172</v>
      </c>
      <c r="AG90" s="77">
        <v>18.18</v>
      </c>
      <c r="AH90" s="48">
        <v>8165.99</v>
      </c>
      <c r="AI90" s="48">
        <f t="shared" si="37"/>
        <v>3.9187889266963372</v>
      </c>
      <c r="AJ90" s="3">
        <v>17.489999999999998</v>
      </c>
      <c r="AK90" s="48">
        <v>6826.57</v>
      </c>
      <c r="AL90" s="76">
        <f t="shared" si="38"/>
        <v>2.1306437486885503</v>
      </c>
      <c r="AM90" s="21">
        <v>17.920000000000002</v>
      </c>
      <c r="AN90" s="48">
        <v>8491</v>
      </c>
      <c r="AO90" s="48">
        <f t="shared" si="39"/>
        <v>3.5082146596023653</v>
      </c>
      <c r="AP90" s="2">
        <v>17.559999999999999</v>
      </c>
      <c r="AQ90" s="48">
        <v>8154.4</v>
      </c>
      <c r="AR90" s="48">
        <f t="shared" si="40"/>
        <v>3.162001753712</v>
      </c>
      <c r="AS90" s="79" t="s">
        <v>31</v>
      </c>
      <c r="AT90" s="54">
        <v>0</v>
      </c>
      <c r="AU90" s="54">
        <f t="shared" si="41"/>
        <v>0</v>
      </c>
      <c r="AV90" s="36" t="s">
        <v>31</v>
      </c>
      <c r="AW90" s="54">
        <v>0</v>
      </c>
      <c r="AX90" s="102">
        <f t="shared" si="42"/>
        <v>0</v>
      </c>
      <c r="AY90" s="37" t="s">
        <v>31</v>
      </c>
      <c r="AZ90" s="54">
        <v>0</v>
      </c>
      <c r="BA90" s="54">
        <f t="shared" si="43"/>
        <v>0</v>
      </c>
      <c r="BB90" s="36" t="s">
        <v>31</v>
      </c>
      <c r="BC90" s="54">
        <v>0</v>
      </c>
      <c r="BD90" s="54">
        <f t="shared" si="44"/>
        <v>0</v>
      </c>
      <c r="BE90" s="77">
        <v>17.690000000000001</v>
      </c>
      <c r="BF90" s="48">
        <v>6383.72</v>
      </c>
      <c r="BG90" s="48">
        <f t="shared" si="45"/>
        <v>2.7541252535673073</v>
      </c>
      <c r="BH90" s="2">
        <v>17.579999999999998</v>
      </c>
      <c r="BI90" s="48">
        <v>4888.32</v>
      </c>
      <c r="BJ90" s="76">
        <f t="shared" si="46"/>
        <v>1.9649470445662054</v>
      </c>
      <c r="BK90" s="21">
        <v>17.690000000000001</v>
      </c>
      <c r="BL90" s="48">
        <v>3441.86</v>
      </c>
      <c r="BM90" s="48">
        <f t="shared" si="47"/>
        <v>1.5701587270595019</v>
      </c>
      <c r="BN90" s="2">
        <v>17.579999999999998</v>
      </c>
      <c r="BO90" s="48">
        <v>3184.52</v>
      </c>
      <c r="BP90" s="48">
        <f t="shared" si="48"/>
        <v>1.1873049506409357</v>
      </c>
      <c r="BQ90" s="77">
        <v>17.63</v>
      </c>
      <c r="BR90" s="48">
        <v>6361.2</v>
      </c>
      <c r="BS90" s="48">
        <f t="shared" si="49"/>
        <v>2.5523674279204576</v>
      </c>
      <c r="BT90" s="2">
        <v>17.59</v>
      </c>
      <c r="BU90" s="48">
        <v>5051.34</v>
      </c>
      <c r="BV90" s="76">
        <f t="shared" si="50"/>
        <v>1.9801967622516337</v>
      </c>
      <c r="BX90"/>
      <c r="BY90"/>
    </row>
    <row r="91" spans="2:77">
      <c r="B91" s="13" t="s">
        <v>407</v>
      </c>
      <c r="C91" s="124" t="s">
        <v>390</v>
      </c>
      <c r="D91" s="128" t="s">
        <v>408</v>
      </c>
      <c r="E91" s="16">
        <v>1</v>
      </c>
      <c r="F91" s="134" t="s">
        <v>549</v>
      </c>
      <c r="G91" s="27">
        <v>0</v>
      </c>
      <c r="H91" s="139">
        <v>1</v>
      </c>
      <c r="I91" s="77">
        <v>19.420000000000002</v>
      </c>
      <c r="J91" s="48">
        <v>3103.14</v>
      </c>
      <c r="K91" s="22">
        <f t="shared" si="31"/>
        <v>1.4553017868029823</v>
      </c>
      <c r="L91" s="2">
        <v>19.54</v>
      </c>
      <c r="M91" s="48">
        <v>3488.47</v>
      </c>
      <c r="N91" s="100">
        <f t="shared" si="32"/>
        <v>1.5504918214797652</v>
      </c>
      <c r="O91" s="79" t="s">
        <v>31</v>
      </c>
      <c r="P91" s="54">
        <v>0</v>
      </c>
      <c r="Q91" s="54">
        <f t="shared" si="51"/>
        <v>0</v>
      </c>
      <c r="R91" s="36" t="s">
        <v>31</v>
      </c>
      <c r="S91" s="54">
        <v>0</v>
      </c>
      <c r="T91" s="82">
        <f t="shared" si="33"/>
        <v>0</v>
      </c>
      <c r="U91" s="79" t="s">
        <v>31</v>
      </c>
      <c r="V91" s="54">
        <v>0</v>
      </c>
      <c r="W91" s="54">
        <f t="shared" si="52"/>
        <v>0</v>
      </c>
      <c r="X91" s="36" t="s">
        <v>31</v>
      </c>
      <c r="Y91" s="54">
        <v>0</v>
      </c>
      <c r="Z91" s="82">
        <f t="shared" si="34"/>
        <v>0</v>
      </c>
      <c r="AA91" s="79" t="s">
        <v>31</v>
      </c>
      <c r="AB91" s="54">
        <v>0</v>
      </c>
      <c r="AC91" s="55">
        <f t="shared" si="35"/>
        <v>0</v>
      </c>
      <c r="AD91" s="36" t="s">
        <v>31</v>
      </c>
      <c r="AE91" s="54">
        <v>0</v>
      </c>
      <c r="AF91" s="82">
        <f t="shared" si="36"/>
        <v>0</v>
      </c>
      <c r="AG91" s="77">
        <v>19.82</v>
      </c>
      <c r="AH91" s="48">
        <v>2896.1</v>
      </c>
      <c r="AI91" s="22">
        <f t="shared" si="37"/>
        <v>1.3898136797381899</v>
      </c>
      <c r="AJ91" s="3">
        <v>19.22</v>
      </c>
      <c r="AK91" s="48">
        <v>3715.42</v>
      </c>
      <c r="AL91" s="78">
        <f t="shared" si="38"/>
        <v>1.1596213613501971</v>
      </c>
      <c r="AM91" s="21">
        <v>19.649999999999999</v>
      </c>
      <c r="AN91" s="48">
        <v>3267.46</v>
      </c>
      <c r="AO91" s="22">
        <f t="shared" si="39"/>
        <v>1.3500119033876274</v>
      </c>
      <c r="AP91" s="2">
        <v>19.3</v>
      </c>
      <c r="AQ91" s="48">
        <v>4549.63</v>
      </c>
      <c r="AR91" s="22">
        <f t="shared" si="40"/>
        <v>1.764193323695272</v>
      </c>
      <c r="AS91" s="79" t="s">
        <v>31</v>
      </c>
      <c r="AT91" s="54">
        <v>0</v>
      </c>
      <c r="AU91" s="55">
        <f t="shared" si="41"/>
        <v>0</v>
      </c>
      <c r="AV91" s="36" t="s">
        <v>31</v>
      </c>
      <c r="AW91" s="54">
        <v>0</v>
      </c>
      <c r="AX91" s="82">
        <f t="shared" si="42"/>
        <v>0</v>
      </c>
      <c r="AY91" s="37" t="s">
        <v>31</v>
      </c>
      <c r="AZ91" s="54">
        <v>0</v>
      </c>
      <c r="BA91" s="55">
        <f t="shared" si="43"/>
        <v>0</v>
      </c>
      <c r="BB91" s="36" t="s">
        <v>31</v>
      </c>
      <c r="BC91" s="54">
        <v>0</v>
      </c>
      <c r="BD91" s="55">
        <f t="shared" si="44"/>
        <v>0</v>
      </c>
      <c r="BE91" s="77">
        <v>19.440000000000001</v>
      </c>
      <c r="BF91" s="48">
        <v>2883.72</v>
      </c>
      <c r="BG91" s="22">
        <f t="shared" si="45"/>
        <v>1.2441219345800121</v>
      </c>
      <c r="BH91" s="2">
        <v>19.32</v>
      </c>
      <c r="BI91" s="48">
        <v>3738.6</v>
      </c>
      <c r="BJ91" s="78">
        <f t="shared" si="46"/>
        <v>1.5027966705975091</v>
      </c>
      <c r="BK91" s="21">
        <v>19.420000000000002</v>
      </c>
      <c r="BL91" s="48">
        <v>2738.39</v>
      </c>
      <c r="BM91" s="22">
        <f t="shared" si="47"/>
        <v>1.249239352150427</v>
      </c>
      <c r="BN91" s="2">
        <v>20.32</v>
      </c>
      <c r="BO91" s="48">
        <v>2430.56</v>
      </c>
      <c r="BP91" s="22">
        <f t="shared" si="48"/>
        <v>0.90620122367886924</v>
      </c>
      <c r="BQ91" s="77">
        <v>19.37</v>
      </c>
      <c r="BR91" s="48">
        <v>3708.85</v>
      </c>
      <c r="BS91" s="22">
        <f t="shared" si="49"/>
        <v>1.4881387057540698</v>
      </c>
      <c r="BT91" s="2">
        <v>19.32</v>
      </c>
      <c r="BU91" s="48">
        <v>3506.26</v>
      </c>
      <c r="BV91" s="78">
        <f t="shared" si="50"/>
        <v>1.3745035375984223</v>
      </c>
      <c r="BX91"/>
      <c r="BY91"/>
    </row>
    <row r="92" spans="2:77">
      <c r="B92" s="13" t="s">
        <v>409</v>
      </c>
      <c r="C92" s="124" t="s">
        <v>410</v>
      </c>
      <c r="D92" s="128" t="s">
        <v>411</v>
      </c>
      <c r="E92" s="16">
        <v>1</v>
      </c>
      <c r="F92" s="134" t="s">
        <v>113</v>
      </c>
      <c r="G92" s="27">
        <v>0</v>
      </c>
      <c r="H92" s="139">
        <v>1</v>
      </c>
      <c r="I92" s="77">
        <v>21.34</v>
      </c>
      <c r="J92" s="48">
        <v>1120.3800000000001</v>
      </c>
      <c r="K92" s="22">
        <f t="shared" si="31"/>
        <v>0.52543263143084928</v>
      </c>
      <c r="L92" s="2">
        <v>21.46</v>
      </c>
      <c r="M92" s="48">
        <v>1251.5</v>
      </c>
      <c r="N92" s="100">
        <f t="shared" si="32"/>
        <v>0.55624400226515525</v>
      </c>
      <c r="O92" s="79" t="s">
        <v>31</v>
      </c>
      <c r="P92" s="54">
        <v>0</v>
      </c>
      <c r="Q92" s="54">
        <f t="shared" si="51"/>
        <v>0</v>
      </c>
      <c r="R92" s="36" t="s">
        <v>31</v>
      </c>
      <c r="S92" s="54">
        <v>0</v>
      </c>
      <c r="T92" s="82">
        <f t="shared" si="33"/>
        <v>0</v>
      </c>
      <c r="U92" s="79" t="s">
        <v>31</v>
      </c>
      <c r="V92" s="54">
        <v>0</v>
      </c>
      <c r="W92" s="54">
        <f t="shared" si="52"/>
        <v>0</v>
      </c>
      <c r="X92" s="36" t="s">
        <v>31</v>
      </c>
      <c r="Y92" s="54">
        <v>0</v>
      </c>
      <c r="Z92" s="82">
        <f t="shared" si="34"/>
        <v>0</v>
      </c>
      <c r="AA92" s="79" t="s">
        <v>31</v>
      </c>
      <c r="AB92" s="54">
        <v>0</v>
      </c>
      <c r="AC92" s="55">
        <f t="shared" si="35"/>
        <v>0</v>
      </c>
      <c r="AD92" s="36" t="s">
        <v>31</v>
      </c>
      <c r="AE92" s="54">
        <v>0</v>
      </c>
      <c r="AF92" s="82">
        <f t="shared" si="36"/>
        <v>0</v>
      </c>
      <c r="AG92" s="77" t="s">
        <v>412</v>
      </c>
      <c r="AH92" s="48">
        <v>445.3</v>
      </c>
      <c r="AI92" s="22">
        <f t="shared" si="37"/>
        <v>0.21369567058713998</v>
      </c>
      <c r="AJ92" s="3" t="s">
        <v>413</v>
      </c>
      <c r="AK92" s="48">
        <v>1517.2</v>
      </c>
      <c r="AL92" s="78">
        <f t="shared" si="38"/>
        <v>0.47353395563368855</v>
      </c>
      <c r="AM92" s="21" t="s">
        <v>414</v>
      </c>
      <c r="AN92" s="48">
        <v>817.3</v>
      </c>
      <c r="AO92" s="22">
        <f t="shared" si="39"/>
        <v>0.3376827041918517</v>
      </c>
      <c r="AP92" s="2" t="s">
        <v>415</v>
      </c>
      <c r="AQ92" s="48">
        <v>1321.9</v>
      </c>
      <c r="AR92" s="22">
        <f t="shared" si="40"/>
        <v>0.51258831038848884</v>
      </c>
      <c r="AS92" s="114">
        <v>21.55</v>
      </c>
      <c r="AT92" s="56">
        <v>10907.31</v>
      </c>
      <c r="AU92" s="57">
        <f t="shared" si="41"/>
        <v>3.3613286112739025</v>
      </c>
      <c r="AV92" s="6">
        <v>21.22</v>
      </c>
      <c r="AW92" s="56">
        <v>11364.59</v>
      </c>
      <c r="AX92" s="115">
        <f t="shared" si="42"/>
        <v>3.4333722895923944</v>
      </c>
      <c r="AY92" s="111">
        <v>21.26</v>
      </c>
      <c r="AZ92" s="56">
        <v>9433.0499999999993</v>
      </c>
      <c r="BA92" s="57">
        <f t="shared" si="43"/>
        <v>3.4618355117556994</v>
      </c>
      <c r="BB92" s="6">
        <v>21.35</v>
      </c>
      <c r="BC92" s="56">
        <v>8620.92</v>
      </c>
      <c r="BD92" s="57">
        <f t="shared" si="44"/>
        <v>2.9296406672832522</v>
      </c>
      <c r="BE92" s="77">
        <v>21.46</v>
      </c>
      <c r="BF92" s="48">
        <v>1152.04</v>
      </c>
      <c r="BG92" s="22">
        <f t="shared" si="45"/>
        <v>0.49702406388746379</v>
      </c>
      <c r="BH92" s="2">
        <v>21.23</v>
      </c>
      <c r="BI92" s="48">
        <v>1813.34</v>
      </c>
      <c r="BJ92" s="78">
        <f t="shared" si="46"/>
        <v>0.72890421940332939</v>
      </c>
      <c r="BK92" s="21">
        <v>21.45</v>
      </c>
      <c r="BL92" s="48">
        <v>1025.97</v>
      </c>
      <c r="BM92" s="22">
        <f t="shared" si="47"/>
        <v>0.46804220659795481</v>
      </c>
      <c r="BN92" s="2">
        <v>21.43</v>
      </c>
      <c r="BO92" s="48">
        <v>1747.06</v>
      </c>
      <c r="BP92" s="22">
        <f t="shared" si="48"/>
        <v>0.65136754897653426</v>
      </c>
      <c r="BQ92" s="77">
        <v>21.4</v>
      </c>
      <c r="BR92" s="48">
        <v>845.79</v>
      </c>
      <c r="BS92" s="22">
        <f t="shared" si="49"/>
        <v>0.33936471842747334</v>
      </c>
      <c r="BT92" s="2" t="s">
        <v>416</v>
      </c>
      <c r="BU92" s="48">
        <v>574.85</v>
      </c>
      <c r="BV92" s="78">
        <f t="shared" si="50"/>
        <v>0.22534933478648272</v>
      </c>
      <c r="BX92"/>
      <c r="BY92"/>
    </row>
    <row r="93" spans="2:77">
      <c r="B93" s="121" t="s">
        <v>417</v>
      </c>
      <c r="C93" s="124" t="s">
        <v>418</v>
      </c>
      <c r="D93" s="128" t="s">
        <v>419</v>
      </c>
      <c r="E93" s="16">
        <v>0</v>
      </c>
      <c r="F93" s="135">
        <v>0</v>
      </c>
      <c r="G93" s="27">
        <v>0</v>
      </c>
      <c r="H93" s="139">
        <v>1</v>
      </c>
      <c r="I93" s="77">
        <v>20.03</v>
      </c>
      <c r="J93" s="48">
        <v>3987.49</v>
      </c>
      <c r="K93" s="65">
        <f t="shared" si="31"/>
        <v>1.8700417389673116</v>
      </c>
      <c r="L93" s="2">
        <v>20.14</v>
      </c>
      <c r="M93" s="48">
        <v>6570.36</v>
      </c>
      <c r="N93" s="100">
        <f>M93/$M$115*100</f>
        <v>2.9202743449643513</v>
      </c>
      <c r="O93" s="77">
        <v>20.29</v>
      </c>
      <c r="P93" s="48">
        <v>3714.34</v>
      </c>
      <c r="Q93" s="48">
        <f t="shared" si="51"/>
        <v>1.6808843158297972</v>
      </c>
      <c r="R93" s="2">
        <v>19.93</v>
      </c>
      <c r="S93" s="48">
        <v>6933.48</v>
      </c>
      <c r="T93" s="88">
        <f t="shared" si="33"/>
        <v>3.0985175917966692</v>
      </c>
      <c r="U93" s="77">
        <v>21.09</v>
      </c>
      <c r="V93" s="48">
        <v>1356.27</v>
      </c>
      <c r="W93" s="48">
        <f t="shared" si="52"/>
        <v>0.58741175148334157</v>
      </c>
      <c r="X93" s="2">
        <v>20.190000000000001</v>
      </c>
      <c r="Y93" s="48">
        <v>1331.45</v>
      </c>
      <c r="Z93" s="88">
        <f t="shared" si="34"/>
        <v>0.45601939609119679</v>
      </c>
      <c r="AA93" s="77">
        <v>19.920000000000002</v>
      </c>
      <c r="AB93" s="48">
        <v>6215.93</v>
      </c>
      <c r="AC93" s="65">
        <f t="shared" si="35"/>
        <v>2.5758917602734419</v>
      </c>
      <c r="AD93" s="2">
        <v>20.059999999999999</v>
      </c>
      <c r="AE93" s="48">
        <v>4195.57</v>
      </c>
      <c r="AF93" s="88">
        <f t="shared" si="36"/>
        <v>1.4967462054522531</v>
      </c>
      <c r="AG93" s="77">
        <v>20.74</v>
      </c>
      <c r="AH93" s="48">
        <v>3292.99</v>
      </c>
      <c r="AI93" s="65">
        <f t="shared" si="37"/>
        <v>1.5802778043717631</v>
      </c>
      <c r="AJ93" s="3">
        <v>19.82</v>
      </c>
      <c r="AK93" s="48">
        <v>4997.97</v>
      </c>
      <c r="AL93" s="88">
        <f t="shared" si="38"/>
        <v>1.5599186028463659</v>
      </c>
      <c r="AM93" s="21">
        <v>20.56</v>
      </c>
      <c r="AN93" s="48">
        <v>3393.71</v>
      </c>
      <c r="AO93" s="65">
        <f t="shared" si="39"/>
        <v>1.4021744402825513</v>
      </c>
      <c r="AP93" s="2">
        <v>20</v>
      </c>
      <c r="AQ93" s="48">
        <v>6267.09</v>
      </c>
      <c r="AR93" s="65">
        <f t="shared" si="40"/>
        <v>2.4301664832079539</v>
      </c>
      <c r="AS93" s="77">
        <v>20.47</v>
      </c>
      <c r="AT93" s="48">
        <v>16266.83</v>
      </c>
      <c r="AU93" s="65">
        <f t="shared" si="41"/>
        <v>5.0129831364221484</v>
      </c>
      <c r="AV93" s="2">
        <v>20.03</v>
      </c>
      <c r="AW93" s="48">
        <v>16917.52</v>
      </c>
      <c r="AX93" s="88">
        <f t="shared" si="42"/>
        <v>5.1109757920545427</v>
      </c>
      <c r="AY93" s="21">
        <v>20.05</v>
      </c>
      <c r="AZ93" s="48">
        <v>7953.77</v>
      </c>
      <c r="BA93" s="65">
        <f t="shared" si="43"/>
        <v>2.9189544673607299</v>
      </c>
      <c r="BB93" s="2">
        <v>19.96</v>
      </c>
      <c r="BC93" s="48">
        <v>7574.57</v>
      </c>
      <c r="BD93" s="65">
        <f t="shared" si="44"/>
        <v>2.5740603449728918</v>
      </c>
      <c r="BE93" s="77">
        <v>20.239999999999998</v>
      </c>
      <c r="BF93" s="48">
        <v>6821.52</v>
      </c>
      <c r="BG93" s="65">
        <f t="shared" si="45"/>
        <v>2.9430050972966324</v>
      </c>
      <c r="BH93" s="2">
        <v>19.920000000000002</v>
      </c>
      <c r="BI93" s="48">
        <v>6055.93</v>
      </c>
      <c r="BJ93" s="88">
        <f t="shared" si="46"/>
        <v>2.4342886217759521</v>
      </c>
      <c r="BK93" s="21">
        <v>20.13</v>
      </c>
      <c r="BL93" s="48">
        <v>3592.29</v>
      </c>
      <c r="BM93" s="65">
        <f t="shared" si="47"/>
        <v>1.6387841148764264</v>
      </c>
      <c r="BN93" s="2">
        <v>19.920000000000002</v>
      </c>
      <c r="BO93" s="48">
        <v>6730.28</v>
      </c>
      <c r="BP93" s="65">
        <f t="shared" si="48"/>
        <v>2.5092933199350851</v>
      </c>
      <c r="BQ93" s="77">
        <v>20.079999999999998</v>
      </c>
      <c r="BR93" s="48">
        <v>4292.25</v>
      </c>
      <c r="BS93" s="65">
        <f t="shared" si="49"/>
        <v>1.722222079559137</v>
      </c>
      <c r="BT93" s="2">
        <v>19.93</v>
      </c>
      <c r="BU93" s="48">
        <v>6735.01</v>
      </c>
      <c r="BV93" s="88">
        <f t="shared" si="50"/>
        <v>2.640219228112219</v>
      </c>
      <c r="BX93"/>
      <c r="BY93"/>
    </row>
    <row r="94" spans="2:77">
      <c r="B94" s="121">
        <v>1348</v>
      </c>
      <c r="C94" s="124" t="s">
        <v>420</v>
      </c>
      <c r="D94" s="128" t="s">
        <v>527</v>
      </c>
      <c r="E94" s="16">
        <v>2</v>
      </c>
      <c r="F94" s="135" t="s">
        <v>318</v>
      </c>
      <c r="G94" s="27">
        <v>0</v>
      </c>
      <c r="H94" s="141">
        <v>0</v>
      </c>
      <c r="I94" s="77">
        <v>22.9</v>
      </c>
      <c r="J94" s="48">
        <v>1849.21</v>
      </c>
      <c r="K94" s="65">
        <f t="shared" si="31"/>
        <v>0.86723725554565467</v>
      </c>
      <c r="L94" s="2">
        <v>23.02</v>
      </c>
      <c r="M94" s="48">
        <v>1611.45</v>
      </c>
      <c r="N94" s="100">
        <f t="shared" si="32"/>
        <v>0.71622804430697928</v>
      </c>
      <c r="O94" s="77">
        <v>23.16</v>
      </c>
      <c r="P94" s="48">
        <v>1130.8499999999999</v>
      </c>
      <c r="Q94" s="48">
        <f>P94/$P$115*100</f>
        <v>0.51175391282330807</v>
      </c>
      <c r="R94" s="2" t="s">
        <v>422</v>
      </c>
      <c r="S94" s="48">
        <v>1939</v>
      </c>
      <c r="T94" s="88">
        <f>S94/$S$115*100</f>
        <v>0.86652382504799064</v>
      </c>
      <c r="U94" s="77">
        <v>23.04</v>
      </c>
      <c r="V94" s="48">
        <v>2002.95</v>
      </c>
      <c r="W94" s="48">
        <f>V94/$V$115*100</f>
        <v>0.86749420663552179</v>
      </c>
      <c r="X94" s="2">
        <v>22.95</v>
      </c>
      <c r="Y94" s="48">
        <v>2237.27</v>
      </c>
      <c r="Z94" s="88">
        <f t="shared" si="34"/>
        <v>0.76626122970667454</v>
      </c>
      <c r="AA94" s="79" t="s">
        <v>31</v>
      </c>
      <c r="AB94" s="54">
        <v>0</v>
      </c>
      <c r="AC94" s="66">
        <f t="shared" si="35"/>
        <v>0</v>
      </c>
      <c r="AD94" s="36" t="s">
        <v>31</v>
      </c>
      <c r="AE94" s="54">
        <v>0</v>
      </c>
      <c r="AF94" s="106">
        <f t="shared" si="36"/>
        <v>0</v>
      </c>
      <c r="AG94" s="79" t="s">
        <v>31</v>
      </c>
      <c r="AH94" s="54">
        <v>0</v>
      </c>
      <c r="AI94" s="66">
        <f t="shared" si="37"/>
        <v>0</v>
      </c>
      <c r="AJ94" s="35" t="s">
        <v>31</v>
      </c>
      <c r="AK94" s="54">
        <v>0</v>
      </c>
      <c r="AL94" s="106">
        <f t="shared" si="38"/>
        <v>0</v>
      </c>
      <c r="AM94" s="37" t="s">
        <v>31</v>
      </c>
      <c r="AN94" s="54">
        <v>0</v>
      </c>
      <c r="AO94" s="66">
        <f t="shared" si="39"/>
        <v>0</v>
      </c>
      <c r="AP94" s="42" t="s">
        <v>31</v>
      </c>
      <c r="AQ94" s="63">
        <v>0</v>
      </c>
      <c r="AR94" s="66">
        <f t="shared" si="40"/>
        <v>0</v>
      </c>
      <c r="AS94" s="79" t="s">
        <v>31</v>
      </c>
      <c r="AT94" s="54">
        <v>0</v>
      </c>
      <c r="AU94" s="66">
        <f t="shared" si="41"/>
        <v>0</v>
      </c>
      <c r="AV94" s="36" t="s">
        <v>31</v>
      </c>
      <c r="AW94" s="54">
        <v>0</v>
      </c>
      <c r="AX94" s="106">
        <f t="shared" si="42"/>
        <v>0</v>
      </c>
      <c r="AY94" s="37" t="s">
        <v>31</v>
      </c>
      <c r="AZ94" s="54">
        <v>0</v>
      </c>
      <c r="BA94" s="66">
        <f t="shared" si="43"/>
        <v>0</v>
      </c>
      <c r="BB94" s="36" t="s">
        <v>31</v>
      </c>
      <c r="BC94" s="54">
        <v>0</v>
      </c>
      <c r="BD94" s="66">
        <f t="shared" si="44"/>
        <v>0</v>
      </c>
      <c r="BE94" s="77">
        <v>23.1</v>
      </c>
      <c r="BF94" s="48">
        <v>2291.67</v>
      </c>
      <c r="BG94" s="65">
        <f t="shared" si="45"/>
        <v>0.98869408743531839</v>
      </c>
      <c r="BH94" s="2" t="s">
        <v>421</v>
      </c>
      <c r="BI94" s="48">
        <v>1704.5</v>
      </c>
      <c r="BJ94" s="88">
        <f t="shared" si="46"/>
        <v>0.68515404831580118</v>
      </c>
      <c r="BK94" s="37" t="s">
        <v>31</v>
      </c>
      <c r="BL94" s="54">
        <v>0</v>
      </c>
      <c r="BM94" s="66">
        <f t="shared" si="47"/>
        <v>0</v>
      </c>
      <c r="BN94" s="35" t="s">
        <v>31</v>
      </c>
      <c r="BO94" s="54">
        <v>0</v>
      </c>
      <c r="BP94" s="66">
        <f t="shared" si="48"/>
        <v>0</v>
      </c>
      <c r="BQ94" s="77">
        <v>22.95</v>
      </c>
      <c r="BR94" s="48">
        <v>1986.43</v>
      </c>
      <c r="BS94" s="65">
        <f t="shared" si="49"/>
        <v>0.79703502952965399</v>
      </c>
      <c r="BT94" s="2">
        <v>22.89</v>
      </c>
      <c r="BU94" s="48">
        <v>1582.76</v>
      </c>
      <c r="BV94" s="88">
        <f t="shared" si="50"/>
        <v>0.62046431786840639</v>
      </c>
      <c r="BX94"/>
      <c r="BY94"/>
    </row>
    <row r="95" spans="2:77">
      <c r="B95" s="122">
        <v>1365</v>
      </c>
      <c r="C95" s="124" t="s">
        <v>423</v>
      </c>
      <c r="D95" s="128" t="s">
        <v>424</v>
      </c>
      <c r="E95" s="16">
        <v>2</v>
      </c>
      <c r="F95" s="134" t="s">
        <v>546</v>
      </c>
      <c r="G95" s="27">
        <v>1</v>
      </c>
      <c r="H95" s="139">
        <v>1</v>
      </c>
      <c r="I95" s="77">
        <v>16.88</v>
      </c>
      <c r="J95" s="48">
        <v>387.72</v>
      </c>
      <c r="K95" s="65">
        <f t="shared" si="31"/>
        <v>0.18183182479013268</v>
      </c>
      <c r="L95" s="2">
        <v>16.38</v>
      </c>
      <c r="M95" s="48">
        <v>1428.72</v>
      </c>
      <c r="N95" s="100">
        <f t="shared" si="32"/>
        <v>0.63501153089594298</v>
      </c>
      <c r="O95" s="77" t="s">
        <v>263</v>
      </c>
      <c r="P95" s="48">
        <v>1139</v>
      </c>
      <c r="Q95" s="48">
        <f t="shared" si="51"/>
        <v>0.51544210700424264</v>
      </c>
      <c r="R95" s="2">
        <v>16.260000000000002</v>
      </c>
      <c r="S95" s="48">
        <v>1478.91</v>
      </c>
      <c r="T95" s="88">
        <f t="shared" si="33"/>
        <v>0.66091322852074463</v>
      </c>
      <c r="U95" s="77">
        <v>16.329999999999998</v>
      </c>
      <c r="V95" s="48">
        <v>1137.6300000000001</v>
      </c>
      <c r="W95" s="48">
        <f t="shared" si="52"/>
        <v>0.4927169596319273</v>
      </c>
      <c r="X95" s="2">
        <v>16.45</v>
      </c>
      <c r="Y95" s="48">
        <v>2151.35</v>
      </c>
      <c r="Z95" s="88">
        <f t="shared" si="34"/>
        <v>0.73683377354072344</v>
      </c>
      <c r="AA95" s="77">
        <v>16.25</v>
      </c>
      <c r="AB95" s="48">
        <v>1509.97</v>
      </c>
      <c r="AC95" s="65">
        <f t="shared" si="35"/>
        <v>0.6257340866547868</v>
      </c>
      <c r="AD95" s="2">
        <v>16.309999999999999</v>
      </c>
      <c r="AE95" s="48">
        <v>1871.33</v>
      </c>
      <c r="AF95" s="88">
        <f t="shared" si="36"/>
        <v>0.66758654405693751</v>
      </c>
      <c r="AG95" s="77">
        <v>16.850000000000001</v>
      </c>
      <c r="AH95" s="48">
        <v>1290.22</v>
      </c>
      <c r="AI95" s="65">
        <f t="shared" si="37"/>
        <v>0.6191655695147984</v>
      </c>
      <c r="AJ95" s="3">
        <v>16.18</v>
      </c>
      <c r="AK95" s="48">
        <v>1847.8</v>
      </c>
      <c r="AL95" s="88">
        <f t="shared" si="38"/>
        <v>0.57671766624039655</v>
      </c>
      <c r="AM95" s="21" t="s">
        <v>425</v>
      </c>
      <c r="AN95" s="48">
        <v>1706.76</v>
      </c>
      <c r="AO95" s="65">
        <f t="shared" si="39"/>
        <v>0.7051796552141012</v>
      </c>
      <c r="AP95" s="2">
        <v>16.25</v>
      </c>
      <c r="AQ95" s="48">
        <v>830.93</v>
      </c>
      <c r="AR95" s="65">
        <f t="shared" si="40"/>
        <v>0.32220667580838713</v>
      </c>
      <c r="AS95" s="77">
        <v>16.62</v>
      </c>
      <c r="AT95" s="48">
        <v>2043</v>
      </c>
      <c r="AU95" s="65">
        <f t="shared" si="41"/>
        <v>0.62959559715755609</v>
      </c>
      <c r="AV95" s="2">
        <v>16.399999999999999</v>
      </c>
      <c r="AW95" s="48">
        <v>2044.46</v>
      </c>
      <c r="AX95" s="88">
        <f t="shared" si="42"/>
        <v>0.61765468980227778</v>
      </c>
      <c r="AY95" s="21">
        <v>16.489999999999998</v>
      </c>
      <c r="AZ95" s="48">
        <v>1701.47</v>
      </c>
      <c r="BA95" s="65">
        <f t="shared" si="43"/>
        <v>0.62442256408976637</v>
      </c>
      <c r="BB95" s="2">
        <v>16.399999999999999</v>
      </c>
      <c r="BC95" s="48">
        <v>1947.95</v>
      </c>
      <c r="BD95" s="65">
        <f t="shared" si="44"/>
        <v>0.66197036254070463</v>
      </c>
      <c r="BE95" s="77" t="s">
        <v>260</v>
      </c>
      <c r="BF95" s="48">
        <v>1453.52</v>
      </c>
      <c r="BG95" s="65">
        <f t="shared" si="45"/>
        <v>0.62709143548983237</v>
      </c>
      <c r="BH95" s="2">
        <v>16.260000000000002</v>
      </c>
      <c r="BI95" s="48">
        <v>1602.48</v>
      </c>
      <c r="BJ95" s="88">
        <f t="shared" si="46"/>
        <v>0.64414529735705783</v>
      </c>
      <c r="BK95" s="21" t="s">
        <v>426</v>
      </c>
      <c r="BL95" s="48">
        <v>629.20000000000005</v>
      </c>
      <c r="BM95" s="65">
        <f t="shared" si="47"/>
        <v>0.28703778511207267</v>
      </c>
      <c r="BN95" s="2" t="s">
        <v>57</v>
      </c>
      <c r="BO95" s="48">
        <v>1216.1199999999999</v>
      </c>
      <c r="BP95" s="65">
        <f t="shared" si="48"/>
        <v>0.45341379440966129</v>
      </c>
      <c r="BQ95" s="77">
        <v>16.82</v>
      </c>
      <c r="BR95" s="48">
        <v>1667.27</v>
      </c>
      <c r="BS95" s="65">
        <f t="shared" si="49"/>
        <v>0.66897529421318958</v>
      </c>
      <c r="BT95" s="2">
        <v>16.28</v>
      </c>
      <c r="BU95" s="48">
        <v>1577.07</v>
      </c>
      <c r="BV95" s="88">
        <f t="shared" si="50"/>
        <v>0.61823375734838359</v>
      </c>
      <c r="BX95"/>
      <c r="BY95"/>
    </row>
    <row r="96" spans="2:77">
      <c r="B96" s="121" t="s">
        <v>427</v>
      </c>
      <c r="C96" s="124" t="s">
        <v>428</v>
      </c>
      <c r="D96" s="128" t="s">
        <v>354</v>
      </c>
      <c r="E96" s="16">
        <v>0</v>
      </c>
      <c r="F96" s="135">
        <v>0</v>
      </c>
      <c r="G96" s="27">
        <v>0</v>
      </c>
      <c r="H96" s="139">
        <v>1</v>
      </c>
      <c r="I96" s="77" t="s">
        <v>31</v>
      </c>
      <c r="J96" s="48">
        <v>0</v>
      </c>
      <c r="K96" s="65">
        <f t="shared" si="31"/>
        <v>0</v>
      </c>
      <c r="L96" s="2" t="s">
        <v>31</v>
      </c>
      <c r="M96" s="48">
        <v>0</v>
      </c>
      <c r="N96" s="100">
        <f t="shared" si="32"/>
        <v>0</v>
      </c>
      <c r="O96" s="77" t="s">
        <v>31</v>
      </c>
      <c r="P96" s="48">
        <v>0</v>
      </c>
      <c r="Q96" s="48">
        <f t="shared" si="51"/>
        <v>0</v>
      </c>
      <c r="R96" s="2" t="s">
        <v>31</v>
      </c>
      <c r="S96" s="48">
        <v>0</v>
      </c>
      <c r="T96" s="88">
        <f t="shared" si="33"/>
        <v>0</v>
      </c>
      <c r="U96" s="77" t="s">
        <v>31</v>
      </c>
      <c r="V96" s="48">
        <v>0</v>
      </c>
      <c r="W96" s="48">
        <f t="shared" si="52"/>
        <v>0</v>
      </c>
      <c r="X96" s="2" t="s">
        <v>31</v>
      </c>
      <c r="Y96" s="48">
        <v>0</v>
      </c>
      <c r="Z96" s="88">
        <f t="shared" si="34"/>
        <v>0</v>
      </c>
      <c r="AA96" s="77" t="s">
        <v>31</v>
      </c>
      <c r="AB96" s="48">
        <v>0</v>
      </c>
      <c r="AC96" s="65">
        <f t="shared" si="35"/>
        <v>0</v>
      </c>
      <c r="AD96" s="2" t="s">
        <v>31</v>
      </c>
      <c r="AE96" s="48">
        <v>0</v>
      </c>
      <c r="AF96" s="88">
        <f t="shared" si="36"/>
        <v>0</v>
      </c>
      <c r="AG96" s="77" t="s">
        <v>31</v>
      </c>
      <c r="AH96" s="48">
        <v>0</v>
      </c>
      <c r="AI96" s="65">
        <f t="shared" si="37"/>
        <v>0</v>
      </c>
      <c r="AJ96" s="3" t="s">
        <v>31</v>
      </c>
      <c r="AK96" s="48">
        <v>0</v>
      </c>
      <c r="AL96" s="88">
        <f t="shared" si="38"/>
        <v>0</v>
      </c>
      <c r="AM96" s="21" t="s">
        <v>31</v>
      </c>
      <c r="AN96" s="48">
        <v>0</v>
      </c>
      <c r="AO96" s="65">
        <f t="shared" si="39"/>
        <v>0</v>
      </c>
      <c r="AP96" s="4" t="s">
        <v>31</v>
      </c>
      <c r="AQ96" s="51">
        <v>0</v>
      </c>
      <c r="AR96" s="65">
        <f t="shared" si="40"/>
        <v>0</v>
      </c>
      <c r="AS96" s="75">
        <v>22.26</v>
      </c>
      <c r="AT96" s="49">
        <v>2013.91</v>
      </c>
      <c r="AU96" s="67">
        <f t="shared" si="41"/>
        <v>0.62063087081330104</v>
      </c>
      <c r="AV96" s="34">
        <v>21.52</v>
      </c>
      <c r="AW96" s="49">
        <v>2393.9</v>
      </c>
      <c r="AX96" s="118">
        <f t="shared" si="42"/>
        <v>0.72322450031679397</v>
      </c>
      <c r="AY96" s="31">
        <v>21.85</v>
      </c>
      <c r="AZ96" s="49">
        <v>1758.1</v>
      </c>
      <c r="BA96" s="67">
        <f t="shared" si="43"/>
        <v>0.64520521074495474</v>
      </c>
      <c r="BB96" s="34">
        <v>21.45</v>
      </c>
      <c r="BC96" s="49">
        <v>1683.03</v>
      </c>
      <c r="BD96" s="67">
        <f t="shared" si="44"/>
        <v>0.5719428010302533</v>
      </c>
      <c r="BE96" s="77" t="s">
        <v>31</v>
      </c>
      <c r="BF96" s="48">
        <v>0</v>
      </c>
      <c r="BG96" s="65">
        <f t="shared" si="45"/>
        <v>0</v>
      </c>
      <c r="BH96" s="2" t="s">
        <v>31</v>
      </c>
      <c r="BI96" s="48">
        <v>0</v>
      </c>
      <c r="BJ96" s="88">
        <f t="shared" si="46"/>
        <v>0</v>
      </c>
      <c r="BK96" s="21" t="s">
        <v>31</v>
      </c>
      <c r="BL96" s="48">
        <v>0</v>
      </c>
      <c r="BM96" s="65">
        <f t="shared" si="47"/>
        <v>0</v>
      </c>
      <c r="BN96" s="3" t="s">
        <v>31</v>
      </c>
      <c r="BO96" s="48">
        <v>0</v>
      </c>
      <c r="BP96" s="65">
        <f t="shared" si="48"/>
        <v>0</v>
      </c>
      <c r="BQ96" s="77" t="s">
        <v>31</v>
      </c>
      <c r="BR96" s="48">
        <v>0</v>
      </c>
      <c r="BS96" s="65">
        <f t="shared" si="49"/>
        <v>0</v>
      </c>
      <c r="BT96" s="2" t="s">
        <v>31</v>
      </c>
      <c r="BU96" s="48">
        <v>0</v>
      </c>
      <c r="BV96" s="88">
        <f t="shared" si="50"/>
        <v>0</v>
      </c>
      <c r="BX96"/>
      <c r="BY96"/>
    </row>
    <row r="97" spans="1:77">
      <c r="B97" s="122" t="s">
        <v>429</v>
      </c>
      <c r="C97" s="124" t="s">
        <v>430</v>
      </c>
      <c r="D97" s="128" t="s">
        <v>491</v>
      </c>
      <c r="E97" s="16">
        <v>1</v>
      </c>
      <c r="F97" s="134" t="s">
        <v>502</v>
      </c>
      <c r="G97" s="27">
        <v>1</v>
      </c>
      <c r="H97" s="139">
        <v>1</v>
      </c>
      <c r="I97" s="80" t="s">
        <v>31</v>
      </c>
      <c r="J97" s="51">
        <v>0</v>
      </c>
      <c r="K97" s="22">
        <f t="shared" si="31"/>
        <v>0</v>
      </c>
      <c r="L97" s="2" t="s">
        <v>31</v>
      </c>
      <c r="M97" s="48">
        <v>0</v>
      </c>
      <c r="N97" s="100">
        <f t="shared" si="32"/>
        <v>0</v>
      </c>
      <c r="O97" s="80" t="s">
        <v>31</v>
      </c>
      <c r="P97" s="51">
        <v>0</v>
      </c>
      <c r="Q97" s="48">
        <f t="shared" si="51"/>
        <v>0</v>
      </c>
      <c r="R97" s="2" t="s">
        <v>31</v>
      </c>
      <c r="S97" s="48">
        <v>0</v>
      </c>
      <c r="T97" s="78">
        <f t="shared" si="33"/>
        <v>0</v>
      </c>
      <c r="U97" s="80" t="s">
        <v>31</v>
      </c>
      <c r="V97" s="51">
        <v>0</v>
      </c>
      <c r="W97" s="48">
        <f t="shared" si="52"/>
        <v>0</v>
      </c>
      <c r="X97" s="2" t="s">
        <v>31</v>
      </c>
      <c r="Y97" s="48">
        <v>0</v>
      </c>
      <c r="Z97" s="78">
        <f t="shared" si="34"/>
        <v>0</v>
      </c>
      <c r="AA97" s="80" t="s">
        <v>31</v>
      </c>
      <c r="AB97" s="51">
        <v>0</v>
      </c>
      <c r="AC97" s="22">
        <f t="shared" si="35"/>
        <v>0</v>
      </c>
      <c r="AD97" s="2" t="s">
        <v>31</v>
      </c>
      <c r="AE97" s="48">
        <v>0</v>
      </c>
      <c r="AF97" s="78">
        <f t="shared" si="36"/>
        <v>0</v>
      </c>
      <c r="AG97" s="80" t="s">
        <v>31</v>
      </c>
      <c r="AH97" s="51">
        <v>0</v>
      </c>
      <c r="AI97" s="22">
        <f t="shared" si="37"/>
        <v>0</v>
      </c>
      <c r="AJ97" s="3" t="s">
        <v>31</v>
      </c>
      <c r="AK97" s="48">
        <v>0</v>
      </c>
      <c r="AL97" s="78">
        <f t="shared" si="38"/>
        <v>0</v>
      </c>
      <c r="AM97" s="22" t="s">
        <v>31</v>
      </c>
      <c r="AN97" s="51">
        <v>0</v>
      </c>
      <c r="AO97" s="22">
        <f t="shared" si="39"/>
        <v>0</v>
      </c>
      <c r="AP97" s="2" t="s">
        <v>31</v>
      </c>
      <c r="AQ97" s="48">
        <v>0</v>
      </c>
      <c r="AR97" s="22">
        <f t="shared" si="40"/>
        <v>0</v>
      </c>
      <c r="AS97" s="119">
        <v>19.88</v>
      </c>
      <c r="AT97" s="49">
        <v>3108.84</v>
      </c>
      <c r="AU97" s="70">
        <f t="shared" si="41"/>
        <v>0.95805774658213261</v>
      </c>
      <c r="AV97" s="34" t="s">
        <v>431</v>
      </c>
      <c r="AW97" s="49">
        <v>2600.08</v>
      </c>
      <c r="AX97" s="120">
        <f t="shared" si="42"/>
        <v>0.7855138304790048</v>
      </c>
      <c r="AY97" s="53" t="s">
        <v>432</v>
      </c>
      <c r="AZ97" s="52">
        <v>2352.6</v>
      </c>
      <c r="BA97" s="53">
        <f t="shared" si="43"/>
        <v>0.86338079676843216</v>
      </c>
      <c r="BB97" s="34">
        <v>19.46</v>
      </c>
      <c r="BC97" s="49">
        <v>2587.38</v>
      </c>
      <c r="BD97" s="53">
        <f t="shared" si="44"/>
        <v>0.87926737166280877</v>
      </c>
      <c r="BE97" s="80" t="s">
        <v>31</v>
      </c>
      <c r="BF97" s="51">
        <v>0</v>
      </c>
      <c r="BG97" s="22">
        <f t="shared" si="45"/>
        <v>0</v>
      </c>
      <c r="BH97" s="2" t="s">
        <v>31</v>
      </c>
      <c r="BI97" s="48">
        <v>0</v>
      </c>
      <c r="BJ97" s="78">
        <f t="shared" si="46"/>
        <v>0</v>
      </c>
      <c r="BK97" s="22" t="s">
        <v>31</v>
      </c>
      <c r="BL97" s="51">
        <v>0</v>
      </c>
      <c r="BM97" s="22">
        <f t="shared" si="47"/>
        <v>0</v>
      </c>
      <c r="BN97" s="3" t="s">
        <v>31</v>
      </c>
      <c r="BO97" s="48">
        <v>0</v>
      </c>
      <c r="BP97" s="22">
        <f t="shared" si="48"/>
        <v>0</v>
      </c>
      <c r="BQ97" s="80" t="s">
        <v>31</v>
      </c>
      <c r="BR97" s="51">
        <v>0</v>
      </c>
      <c r="BS97" s="22">
        <f t="shared" si="49"/>
        <v>0</v>
      </c>
      <c r="BT97" s="2" t="s">
        <v>31</v>
      </c>
      <c r="BU97" s="48">
        <v>0</v>
      </c>
      <c r="BV97" s="78">
        <f t="shared" si="50"/>
        <v>0</v>
      </c>
      <c r="BX97"/>
      <c r="BY97"/>
    </row>
    <row r="98" spans="1:77">
      <c r="B98" s="50">
        <v>1444</v>
      </c>
      <c r="C98" s="124" t="s">
        <v>433</v>
      </c>
      <c r="D98" s="128" t="s">
        <v>354</v>
      </c>
      <c r="E98" s="16">
        <v>1</v>
      </c>
      <c r="F98" s="135">
        <v>1</v>
      </c>
      <c r="G98" s="27">
        <v>0</v>
      </c>
      <c r="H98" s="139">
        <v>1</v>
      </c>
      <c r="I98" s="80">
        <v>18.399999999999999</v>
      </c>
      <c r="J98" s="51">
        <v>1508.14</v>
      </c>
      <c r="K98" s="22">
        <f t="shared" si="31"/>
        <v>0.70728321530741434</v>
      </c>
      <c r="L98" s="4" t="s">
        <v>345</v>
      </c>
      <c r="M98" s="51">
        <v>1501.25</v>
      </c>
      <c r="N98" s="100">
        <f t="shared" si="32"/>
        <v>0.66724834870200911</v>
      </c>
      <c r="O98" s="77" t="s">
        <v>435</v>
      </c>
      <c r="P98" s="48">
        <v>1608.5</v>
      </c>
      <c r="Q98" s="48">
        <f t="shared" si="51"/>
        <v>0.72790924417587743</v>
      </c>
      <c r="R98" s="2">
        <v>18.3</v>
      </c>
      <c r="S98" s="48">
        <v>2044.71</v>
      </c>
      <c r="T98" s="78">
        <f t="shared" si="33"/>
        <v>0.91376479129132382</v>
      </c>
      <c r="U98" s="77" t="s">
        <v>436</v>
      </c>
      <c r="V98" s="48">
        <v>1655.3</v>
      </c>
      <c r="W98" s="48">
        <f t="shared" si="52"/>
        <v>0.71692411704924197</v>
      </c>
      <c r="X98" s="2" t="s">
        <v>182</v>
      </c>
      <c r="Y98" s="48">
        <v>2404.91</v>
      </c>
      <c r="Z98" s="78">
        <f>Y98/$Y$115*100</f>
        <v>0.82367764906957075</v>
      </c>
      <c r="AA98" s="77">
        <v>18.399999999999999</v>
      </c>
      <c r="AB98" s="48">
        <v>3623.45</v>
      </c>
      <c r="AC98" s="22">
        <f>AB98/$AB$115*100</f>
        <v>1.5015637239741764</v>
      </c>
      <c r="AD98" s="2">
        <v>18.34</v>
      </c>
      <c r="AE98" s="48">
        <v>4230.55</v>
      </c>
      <c r="AF98" s="78">
        <f>AE98/$AE$115*100</f>
        <v>1.5092251254242046</v>
      </c>
      <c r="AG98" s="80">
        <v>19.11</v>
      </c>
      <c r="AH98" s="51">
        <v>2680.42</v>
      </c>
      <c r="AI98" s="22">
        <f>AH98/$AH$115*100</f>
        <v>1.2863106879748074</v>
      </c>
      <c r="AJ98" s="3">
        <v>18.2</v>
      </c>
      <c r="AK98" s="48">
        <v>4328.91</v>
      </c>
      <c r="AL98" s="78">
        <f>AK98/$AK$115*100</f>
        <v>1.3510979935949319</v>
      </c>
      <c r="AM98" s="21">
        <v>18.84</v>
      </c>
      <c r="AN98" s="48">
        <v>2901.97</v>
      </c>
      <c r="AO98" s="22">
        <f t="shared" si="39"/>
        <v>1.1990029084591067</v>
      </c>
      <c r="AP98" s="2">
        <v>18.28</v>
      </c>
      <c r="AQ98" s="48">
        <v>3980.79</v>
      </c>
      <c r="AR98" s="22">
        <f t="shared" si="40"/>
        <v>1.5436163250710282</v>
      </c>
      <c r="AS98" s="79" t="s">
        <v>31</v>
      </c>
      <c r="AT98" s="54">
        <v>0</v>
      </c>
      <c r="AU98" s="55">
        <f t="shared" si="41"/>
        <v>0</v>
      </c>
      <c r="AV98" s="36" t="s">
        <v>31</v>
      </c>
      <c r="AW98" s="54">
        <v>0</v>
      </c>
      <c r="AX98" s="82">
        <f t="shared" si="42"/>
        <v>0</v>
      </c>
      <c r="AY98" s="37" t="s">
        <v>31</v>
      </c>
      <c r="AZ98" s="54">
        <v>0</v>
      </c>
      <c r="BA98" s="55">
        <f t="shared" si="43"/>
        <v>0</v>
      </c>
      <c r="BB98" s="36" t="s">
        <v>31</v>
      </c>
      <c r="BC98" s="54">
        <v>0</v>
      </c>
      <c r="BD98" s="55">
        <f t="shared" si="44"/>
        <v>0</v>
      </c>
      <c r="BE98" s="77">
        <v>18.61</v>
      </c>
      <c r="BF98" s="48">
        <v>1583.75</v>
      </c>
      <c r="BG98" s="22">
        <f t="shared" si="45"/>
        <v>0.68327650184175104</v>
      </c>
      <c r="BH98" s="2">
        <v>18.399999999999999</v>
      </c>
      <c r="BI98" s="48">
        <v>2296.79</v>
      </c>
      <c r="BJ98" s="78">
        <f t="shared" si="46"/>
        <v>0.92323553337122255</v>
      </c>
      <c r="BK98" s="21">
        <v>18.510000000000002</v>
      </c>
      <c r="BL98" s="48">
        <v>1361.62</v>
      </c>
      <c r="BM98" s="22">
        <f t="shared" si="47"/>
        <v>0.62116400026112573</v>
      </c>
      <c r="BN98" s="2">
        <v>18.3</v>
      </c>
      <c r="BO98" s="48">
        <v>1516.13</v>
      </c>
      <c r="BP98" s="22">
        <f t="shared" si="48"/>
        <v>0.5652684407117059</v>
      </c>
      <c r="BQ98" s="77" t="s">
        <v>434</v>
      </c>
      <c r="BR98" s="48">
        <v>1508.5</v>
      </c>
      <c r="BS98" s="22">
        <f t="shared" si="49"/>
        <v>0.60527043089637333</v>
      </c>
      <c r="BT98" s="2">
        <v>18.41</v>
      </c>
      <c r="BU98" s="48">
        <v>2140.77</v>
      </c>
      <c r="BV98" s="78">
        <f t="shared" si="50"/>
        <v>0.83921213434958453</v>
      </c>
      <c r="BX98"/>
      <c r="BY98"/>
    </row>
    <row r="99" spans="1:77">
      <c r="B99" s="13" t="s">
        <v>437</v>
      </c>
      <c r="C99" s="124" t="s">
        <v>438</v>
      </c>
      <c r="D99" s="128" t="s">
        <v>439</v>
      </c>
      <c r="E99" s="16">
        <v>3</v>
      </c>
      <c r="F99" s="135" t="s">
        <v>551</v>
      </c>
      <c r="G99" s="27">
        <v>0</v>
      </c>
      <c r="H99" s="139">
        <v>1</v>
      </c>
      <c r="I99" s="77">
        <v>16.88</v>
      </c>
      <c r="J99" s="48">
        <v>1222</v>
      </c>
      <c r="K99" s="68">
        <f t="shared" si="31"/>
        <v>0.57309009051259197</v>
      </c>
      <c r="L99" s="2">
        <v>16.89</v>
      </c>
      <c r="M99" s="48">
        <v>1177.82</v>
      </c>
      <c r="N99" s="100">
        <f t="shared" si="32"/>
        <v>0.52349605333435489</v>
      </c>
      <c r="O99" s="77">
        <v>16.940000000000001</v>
      </c>
      <c r="P99" s="48">
        <v>832.02</v>
      </c>
      <c r="Q99" s="48">
        <f t="shared" si="51"/>
        <v>0.37652163465291483</v>
      </c>
      <c r="R99" s="2">
        <v>16.68</v>
      </c>
      <c r="S99" s="48">
        <v>768.18</v>
      </c>
      <c r="T99" s="89">
        <f t="shared" si="33"/>
        <v>0.34329359047208119</v>
      </c>
      <c r="U99" s="77">
        <v>16.739999999999998</v>
      </c>
      <c r="V99" s="48">
        <v>886.09</v>
      </c>
      <c r="W99" s="48">
        <f t="shared" si="52"/>
        <v>0.38377290574286405</v>
      </c>
      <c r="X99" s="2">
        <v>16.850000000000001</v>
      </c>
      <c r="Y99" s="48">
        <v>1788.47</v>
      </c>
      <c r="Z99" s="89">
        <f t="shared" si="34"/>
        <v>0.61254798101860586</v>
      </c>
      <c r="AA99" s="79" t="s">
        <v>31</v>
      </c>
      <c r="AB99" s="54">
        <v>0</v>
      </c>
      <c r="AC99" s="69">
        <f t="shared" si="35"/>
        <v>0</v>
      </c>
      <c r="AD99" s="36" t="s">
        <v>31</v>
      </c>
      <c r="AE99" s="54">
        <v>0</v>
      </c>
      <c r="AF99" s="108">
        <f t="shared" si="36"/>
        <v>0</v>
      </c>
      <c r="AG99" s="77">
        <v>17.260000000000002</v>
      </c>
      <c r="AH99" s="48">
        <v>1853.53</v>
      </c>
      <c r="AI99" s="68">
        <f t="shared" si="37"/>
        <v>0.88949323221060306</v>
      </c>
      <c r="AJ99" s="3">
        <v>16.59</v>
      </c>
      <c r="AK99" s="48">
        <v>2837.85</v>
      </c>
      <c r="AL99" s="89">
        <f t="shared" si="38"/>
        <v>0.88572260479505871</v>
      </c>
      <c r="AM99" s="21">
        <v>17.010000000000002</v>
      </c>
      <c r="AN99" s="48">
        <v>3264.27</v>
      </c>
      <c r="AO99" s="68">
        <f>AN99/$AN$115*100</f>
        <v>1.3486938955246983</v>
      </c>
      <c r="AP99" s="2">
        <v>16.66</v>
      </c>
      <c r="AQ99" s="48">
        <v>2756.5</v>
      </c>
      <c r="AR99" s="68">
        <f>AQ99/$AQ$115*100</f>
        <v>1.0688778860623869</v>
      </c>
      <c r="AS99" s="79" t="s">
        <v>31</v>
      </c>
      <c r="AT99" s="54">
        <v>0</v>
      </c>
      <c r="AU99" s="69">
        <f t="shared" si="41"/>
        <v>0</v>
      </c>
      <c r="AV99" s="36" t="s">
        <v>31</v>
      </c>
      <c r="AW99" s="54">
        <v>0</v>
      </c>
      <c r="AX99" s="108">
        <f t="shared" si="42"/>
        <v>0</v>
      </c>
      <c r="AY99" s="37" t="s">
        <v>31</v>
      </c>
      <c r="AZ99" s="54">
        <v>0</v>
      </c>
      <c r="BA99" s="69">
        <f>AZ99/$AZ$115*100</f>
        <v>0</v>
      </c>
      <c r="BB99" s="36" t="s">
        <v>31</v>
      </c>
      <c r="BC99" s="54">
        <v>0</v>
      </c>
      <c r="BD99" s="69">
        <f>BC99/$BC$115*100</f>
        <v>0</v>
      </c>
      <c r="BE99" s="77">
        <v>16.78</v>
      </c>
      <c r="BF99" s="48">
        <v>1249.94</v>
      </c>
      <c r="BG99" s="68">
        <f t="shared" si="45"/>
        <v>0.53926101386713698</v>
      </c>
      <c r="BH99" s="2">
        <v>16.68</v>
      </c>
      <c r="BI99" s="48">
        <v>1476.02</v>
      </c>
      <c r="BJ99" s="89">
        <f t="shared" si="46"/>
        <v>0.59331245432390078</v>
      </c>
      <c r="BK99" s="21">
        <v>16.78</v>
      </c>
      <c r="BL99" s="48">
        <v>1196</v>
      </c>
      <c r="BM99" s="68">
        <f t="shared" si="47"/>
        <v>0.54560901302294806</v>
      </c>
      <c r="BN99" s="2">
        <v>16.79</v>
      </c>
      <c r="BO99" s="48">
        <v>1620.94</v>
      </c>
      <c r="BP99" s="68">
        <f t="shared" si="48"/>
        <v>0.60434542307535155</v>
      </c>
      <c r="BQ99" s="77">
        <v>16.72</v>
      </c>
      <c r="BR99" s="48">
        <v>1668.44</v>
      </c>
      <c r="BS99" s="68">
        <f t="shared" si="49"/>
        <v>0.6694447449285682</v>
      </c>
      <c r="BT99" s="2">
        <v>16.690000000000001</v>
      </c>
      <c r="BU99" s="48">
        <v>1640.1</v>
      </c>
      <c r="BV99" s="89">
        <f t="shared" si="50"/>
        <v>0.64294240929513835</v>
      </c>
      <c r="BX99"/>
      <c r="BY99"/>
    </row>
    <row r="100" spans="1:77">
      <c r="B100" s="13" t="s">
        <v>440</v>
      </c>
      <c r="C100" s="124" t="s">
        <v>438</v>
      </c>
      <c r="D100" s="128" t="s">
        <v>492</v>
      </c>
      <c r="E100" s="16">
        <v>3</v>
      </c>
      <c r="F100" s="135" t="s">
        <v>500</v>
      </c>
      <c r="G100" s="27">
        <v>0</v>
      </c>
      <c r="H100" s="139">
        <v>1</v>
      </c>
      <c r="I100" s="77">
        <v>19.72</v>
      </c>
      <c r="J100" s="48">
        <v>5170.17</v>
      </c>
      <c r="K100" s="68">
        <f t="shared" si="31"/>
        <v>2.4246916475167652</v>
      </c>
      <c r="L100" s="2">
        <v>19.84</v>
      </c>
      <c r="M100" s="48">
        <v>5904.91</v>
      </c>
      <c r="N100" s="100">
        <f t="shared" si="32"/>
        <v>2.6245072084822518</v>
      </c>
      <c r="O100" s="79" t="s">
        <v>31</v>
      </c>
      <c r="P100" s="54">
        <v>0</v>
      </c>
      <c r="Q100" s="54">
        <f t="shared" si="51"/>
        <v>0</v>
      </c>
      <c r="R100" s="36" t="s">
        <v>31</v>
      </c>
      <c r="S100" s="54">
        <v>0</v>
      </c>
      <c r="T100" s="108">
        <f t="shared" si="33"/>
        <v>0</v>
      </c>
      <c r="U100" s="79" t="s">
        <v>31</v>
      </c>
      <c r="V100" s="54">
        <v>0</v>
      </c>
      <c r="W100" s="54">
        <f t="shared" si="52"/>
        <v>0</v>
      </c>
      <c r="X100" s="36" t="s">
        <v>31</v>
      </c>
      <c r="Y100" s="54">
        <v>0</v>
      </c>
      <c r="Z100" s="108">
        <f t="shared" si="34"/>
        <v>0</v>
      </c>
      <c r="AA100" s="79" t="s">
        <v>31</v>
      </c>
      <c r="AB100" s="54">
        <v>0</v>
      </c>
      <c r="AC100" s="69">
        <f t="shared" si="35"/>
        <v>0</v>
      </c>
      <c r="AD100" s="36" t="s">
        <v>31</v>
      </c>
      <c r="AE100" s="54">
        <v>0</v>
      </c>
      <c r="AF100" s="108">
        <f t="shared" si="36"/>
        <v>0</v>
      </c>
      <c r="AG100" s="77">
        <v>20.239999999999998</v>
      </c>
      <c r="AH100" s="48">
        <v>3027.9</v>
      </c>
      <c r="AI100" s="68">
        <f t="shared" si="37"/>
        <v>1.4530633751870674</v>
      </c>
      <c r="AJ100" s="3">
        <v>19.52</v>
      </c>
      <c r="AK100" s="48">
        <v>5233.87</v>
      </c>
      <c r="AL100" s="89">
        <f t="shared" si="38"/>
        <v>1.6335454550306443</v>
      </c>
      <c r="AM100" s="21">
        <v>19.96</v>
      </c>
      <c r="AN100" s="48">
        <v>5658.3</v>
      </c>
      <c r="AO100" s="68">
        <f t="shared" si="39"/>
        <v>2.3378319406934476</v>
      </c>
      <c r="AP100" s="2">
        <v>19.7</v>
      </c>
      <c r="AQ100" s="48">
        <v>7781.91</v>
      </c>
      <c r="AR100" s="68">
        <f t="shared" si="40"/>
        <v>3.0175626737992922</v>
      </c>
      <c r="AS100" s="79" t="s">
        <v>31</v>
      </c>
      <c r="AT100" s="54">
        <v>0</v>
      </c>
      <c r="AU100" s="69">
        <f t="shared" si="41"/>
        <v>0</v>
      </c>
      <c r="AV100" s="36" t="s">
        <v>31</v>
      </c>
      <c r="AW100" s="54">
        <v>0</v>
      </c>
      <c r="AX100" s="108">
        <f>AW100/$AW$115*100</f>
        <v>0</v>
      </c>
      <c r="AY100" s="37" t="s">
        <v>31</v>
      </c>
      <c r="AZ100" s="54">
        <v>0</v>
      </c>
      <c r="BA100" s="69">
        <f t="shared" si="43"/>
        <v>0</v>
      </c>
      <c r="BB100" s="36" t="s">
        <v>31</v>
      </c>
      <c r="BC100" s="54">
        <v>0</v>
      </c>
      <c r="BD100" s="69">
        <f t="shared" si="44"/>
        <v>0</v>
      </c>
      <c r="BE100" s="77">
        <v>19.739999999999998</v>
      </c>
      <c r="BF100" s="48">
        <v>7315.78</v>
      </c>
      <c r="BG100" s="68">
        <f>BF100/$BF$115*100</f>
        <v>3.1562434517088205</v>
      </c>
      <c r="BH100" s="2">
        <v>19.61</v>
      </c>
      <c r="BI100" s="48">
        <v>6556.56</v>
      </c>
      <c r="BJ100" s="89">
        <f t="shared" si="46"/>
        <v>2.6355257418747136</v>
      </c>
      <c r="BK100" s="21">
        <v>19.829999999999998</v>
      </c>
      <c r="BL100" s="48">
        <v>6141.88</v>
      </c>
      <c r="BM100" s="68">
        <f t="shared" si="47"/>
        <v>2.8018938837001541</v>
      </c>
      <c r="BN100" s="2">
        <v>19.71</v>
      </c>
      <c r="BO100" s="48">
        <v>7165.64</v>
      </c>
      <c r="BP100" s="68">
        <f t="shared" si="48"/>
        <v>2.671611372046875</v>
      </c>
      <c r="BQ100" s="77">
        <v>19.670000000000002</v>
      </c>
      <c r="BR100" s="48">
        <v>7037.24</v>
      </c>
      <c r="BS100" s="68">
        <f t="shared" si="49"/>
        <v>2.8236216686252531</v>
      </c>
      <c r="BT100" s="2">
        <v>19.72</v>
      </c>
      <c r="BU100" s="48">
        <v>6681.2420000000002</v>
      </c>
      <c r="BV100" s="89">
        <f t="shared" si="50"/>
        <v>2.6191414112333815</v>
      </c>
      <c r="BX100"/>
      <c r="BY100"/>
    </row>
    <row r="101" spans="1:77" ht="15" customHeight="1">
      <c r="B101" s="13" t="s">
        <v>441</v>
      </c>
      <c r="C101" s="124" t="s">
        <v>438</v>
      </c>
      <c r="D101" s="128" t="s">
        <v>494</v>
      </c>
      <c r="E101" s="16">
        <v>3</v>
      </c>
      <c r="F101" s="134" t="s">
        <v>501</v>
      </c>
      <c r="G101" s="27">
        <v>0</v>
      </c>
      <c r="H101" s="139">
        <v>1</v>
      </c>
      <c r="I101" s="77">
        <v>22.58</v>
      </c>
      <c r="J101" s="48">
        <v>1272.07</v>
      </c>
      <c r="K101" s="48">
        <f t="shared" si="31"/>
        <v>0.59657177695446217</v>
      </c>
      <c r="L101" s="2" t="s">
        <v>443</v>
      </c>
      <c r="M101" s="48">
        <v>1036</v>
      </c>
      <c r="N101" s="100">
        <f t="shared" si="32"/>
        <v>0.46046247410843055</v>
      </c>
      <c r="O101" s="79" t="s">
        <v>31</v>
      </c>
      <c r="P101" s="54">
        <v>0</v>
      </c>
      <c r="Q101" s="54">
        <f t="shared" si="51"/>
        <v>0</v>
      </c>
      <c r="R101" s="36" t="s">
        <v>31</v>
      </c>
      <c r="S101" s="54">
        <v>0</v>
      </c>
      <c r="T101" s="102">
        <f t="shared" si="33"/>
        <v>0</v>
      </c>
      <c r="U101" s="77" t="s">
        <v>493</v>
      </c>
      <c r="V101" s="48">
        <v>2876.6</v>
      </c>
      <c r="W101" s="48">
        <f t="shared" si="52"/>
        <v>1.2458792455167338</v>
      </c>
      <c r="X101" s="2" t="s">
        <v>493</v>
      </c>
      <c r="Y101" s="48">
        <v>3508.9</v>
      </c>
      <c r="Z101" s="76">
        <f t="shared" si="34"/>
        <v>1.2017923759393145</v>
      </c>
      <c r="AA101" s="79" t="s">
        <v>31</v>
      </c>
      <c r="AB101" s="54">
        <v>0</v>
      </c>
      <c r="AC101" s="54">
        <f t="shared" si="35"/>
        <v>0</v>
      </c>
      <c r="AD101" s="36" t="s">
        <v>31</v>
      </c>
      <c r="AE101" s="54">
        <v>0</v>
      </c>
      <c r="AF101" s="102">
        <f t="shared" si="36"/>
        <v>0</v>
      </c>
      <c r="AG101" s="77">
        <v>24.77</v>
      </c>
      <c r="AH101" s="48">
        <v>1011.13</v>
      </c>
      <c r="AI101" s="48">
        <f t="shared" si="37"/>
        <v>0.48523265978166369</v>
      </c>
      <c r="AJ101" s="3">
        <v>24.03</v>
      </c>
      <c r="AK101" s="48">
        <v>1461.28</v>
      </c>
      <c r="AL101" s="76">
        <f t="shared" si="38"/>
        <v>0.45608073997389692</v>
      </c>
      <c r="AM101" s="37" t="s">
        <v>31</v>
      </c>
      <c r="AN101" s="54">
        <v>0</v>
      </c>
      <c r="AO101" s="54">
        <f t="shared" si="39"/>
        <v>0</v>
      </c>
      <c r="AP101" s="36" t="s">
        <v>31</v>
      </c>
      <c r="AQ101" s="54">
        <v>0</v>
      </c>
      <c r="AR101" s="54">
        <f t="shared" si="40"/>
        <v>0</v>
      </c>
      <c r="AS101" s="79" t="s">
        <v>31</v>
      </c>
      <c r="AT101" s="54">
        <v>0</v>
      </c>
      <c r="AU101" s="54">
        <f t="shared" si="41"/>
        <v>0</v>
      </c>
      <c r="AV101" s="36" t="s">
        <v>31</v>
      </c>
      <c r="AW101" s="54">
        <v>0</v>
      </c>
      <c r="AX101" s="102">
        <f t="shared" si="42"/>
        <v>0</v>
      </c>
      <c r="AY101" s="37" t="s">
        <v>31</v>
      </c>
      <c r="AZ101" s="54">
        <v>0</v>
      </c>
      <c r="BA101" s="54">
        <f t="shared" si="43"/>
        <v>0</v>
      </c>
      <c r="BB101" s="36" t="s">
        <v>31</v>
      </c>
      <c r="BC101" s="54">
        <v>0</v>
      </c>
      <c r="BD101" s="54">
        <f t="shared" si="44"/>
        <v>0</v>
      </c>
      <c r="BE101" s="77">
        <v>24.35</v>
      </c>
      <c r="BF101" s="48">
        <v>2580.8200000000002</v>
      </c>
      <c r="BG101" s="48">
        <f t="shared" si="45"/>
        <v>1.1134419330596546</v>
      </c>
      <c r="BH101" s="2">
        <v>24.13</v>
      </c>
      <c r="BI101" s="48">
        <v>4949.9799999999996</v>
      </c>
      <c r="BJ101" s="76">
        <f t="shared" si="46"/>
        <v>1.9897323766982982</v>
      </c>
      <c r="BK101" s="21">
        <v>24.34</v>
      </c>
      <c r="BL101" s="48">
        <v>1814.44</v>
      </c>
      <c r="BM101" s="48">
        <f t="shared" si="47"/>
        <v>0.82773814179712202</v>
      </c>
      <c r="BN101" s="2">
        <v>22.68</v>
      </c>
      <c r="BO101" s="48">
        <v>877.98</v>
      </c>
      <c r="BP101" s="48">
        <f t="shared" si="48"/>
        <v>0.3273428964376825</v>
      </c>
      <c r="BQ101" s="77">
        <v>24.3</v>
      </c>
      <c r="BR101" s="48">
        <v>2420.6799999999998</v>
      </c>
      <c r="BS101" s="48">
        <f t="shared" si="49"/>
        <v>0.97127346812212989</v>
      </c>
      <c r="BT101" s="2" t="s">
        <v>442</v>
      </c>
      <c r="BU101" s="48">
        <v>3522.9</v>
      </c>
      <c r="BV101" s="76">
        <f t="shared" si="50"/>
        <v>1.3810266530734976</v>
      </c>
      <c r="BX101"/>
      <c r="BY101"/>
    </row>
    <row r="102" spans="1:77">
      <c r="B102" s="50">
        <v>1485</v>
      </c>
      <c r="C102" s="124" t="s">
        <v>444</v>
      </c>
      <c r="D102" s="128" t="s">
        <v>445</v>
      </c>
      <c r="E102" s="16">
        <v>1</v>
      </c>
      <c r="F102" s="136" t="s">
        <v>545</v>
      </c>
      <c r="G102" s="27">
        <v>0</v>
      </c>
      <c r="H102" s="139">
        <v>1</v>
      </c>
      <c r="I102" s="77">
        <v>17.18</v>
      </c>
      <c r="J102" s="48">
        <v>7534.8</v>
      </c>
      <c r="K102" s="22">
        <f t="shared" si="31"/>
        <v>3.5336491112882791</v>
      </c>
      <c r="L102" s="2">
        <v>17.29</v>
      </c>
      <c r="M102" s="48">
        <v>8076.68</v>
      </c>
      <c r="N102" s="100">
        <f t="shared" si="32"/>
        <v>3.5897761152336671</v>
      </c>
      <c r="O102" s="77">
        <v>17.45</v>
      </c>
      <c r="P102" s="48">
        <v>6791.57</v>
      </c>
      <c r="Q102" s="48">
        <f t="shared" si="51"/>
        <v>3.0734514053264306</v>
      </c>
      <c r="R102" s="2">
        <v>17.079999999999998</v>
      </c>
      <c r="S102" s="48">
        <v>5647.77</v>
      </c>
      <c r="T102" s="78">
        <f t="shared" si="33"/>
        <v>2.5239439212951473</v>
      </c>
      <c r="U102" s="77">
        <v>17.149999999999999</v>
      </c>
      <c r="V102" s="48">
        <v>6784.82</v>
      </c>
      <c r="W102" s="48">
        <f t="shared" si="52"/>
        <v>2.9385616431088248</v>
      </c>
      <c r="X102" s="2">
        <v>17.260000000000002</v>
      </c>
      <c r="Y102" s="48">
        <v>12054.79</v>
      </c>
      <c r="Z102" s="78">
        <f t="shared" si="34"/>
        <v>4.1287453947246977</v>
      </c>
      <c r="AA102" s="77">
        <v>17.28</v>
      </c>
      <c r="AB102" s="48">
        <v>5147.87</v>
      </c>
      <c r="AC102" s="22">
        <f t="shared" si="35"/>
        <v>2.1332859147318008</v>
      </c>
      <c r="AD102" s="2">
        <v>17.22</v>
      </c>
      <c r="AE102" s="48">
        <v>9217.42</v>
      </c>
      <c r="AF102" s="78">
        <f t="shared" si="36"/>
        <v>3.2882631940498452</v>
      </c>
      <c r="AG102" s="77">
        <v>17.87</v>
      </c>
      <c r="AH102" s="48">
        <v>6631.82</v>
      </c>
      <c r="AI102" s="22">
        <f t="shared" si="37"/>
        <v>3.1825538336249868</v>
      </c>
      <c r="AJ102" s="3">
        <v>16.989999999999998</v>
      </c>
      <c r="AK102" s="48">
        <v>9542.2900000000009</v>
      </c>
      <c r="AL102" s="78">
        <f t="shared" si="38"/>
        <v>2.9782483057631102</v>
      </c>
      <c r="AM102" s="21">
        <v>17.72</v>
      </c>
      <c r="AN102" s="48">
        <v>6693.75</v>
      </c>
      <c r="AO102" s="22">
        <f t="shared" si="39"/>
        <v>2.7656473769536372</v>
      </c>
      <c r="AP102" s="4">
        <v>17.059999999999999</v>
      </c>
      <c r="AQ102" s="51">
        <v>6889</v>
      </c>
      <c r="AR102" s="22">
        <f t="shared" si="40"/>
        <v>2.6713222409155755</v>
      </c>
      <c r="AS102" s="79" t="s">
        <v>31</v>
      </c>
      <c r="AT102" s="54">
        <v>0</v>
      </c>
      <c r="AU102" s="55">
        <f t="shared" si="41"/>
        <v>0</v>
      </c>
      <c r="AV102" s="36" t="s">
        <v>31</v>
      </c>
      <c r="AW102" s="54">
        <v>0</v>
      </c>
      <c r="AX102" s="82">
        <f t="shared" si="42"/>
        <v>0</v>
      </c>
      <c r="AY102" s="21">
        <v>17.510000000000002</v>
      </c>
      <c r="AZ102" s="48">
        <v>3597.85</v>
      </c>
      <c r="BA102" s="22">
        <f t="shared" si="43"/>
        <v>1.3203751592507453</v>
      </c>
      <c r="BB102" s="2">
        <v>17.34</v>
      </c>
      <c r="BC102" s="48">
        <v>3953.9</v>
      </c>
      <c r="BD102" s="22">
        <f t="shared" si="44"/>
        <v>1.3436508208371323</v>
      </c>
      <c r="BE102" s="77">
        <v>17.39</v>
      </c>
      <c r="BF102" s="48">
        <v>5620.29</v>
      </c>
      <c r="BG102" s="22">
        <f t="shared" si="45"/>
        <v>2.424759015334601</v>
      </c>
      <c r="BH102" s="2">
        <v>17.079999999999998</v>
      </c>
      <c r="BI102" s="48">
        <v>6418.27</v>
      </c>
      <c r="BJ102" s="78">
        <f t="shared" si="46"/>
        <v>2.5799376202310693</v>
      </c>
      <c r="BK102" s="21">
        <v>17.39</v>
      </c>
      <c r="BL102" s="48">
        <v>8131.58</v>
      </c>
      <c r="BM102" s="22">
        <f t="shared" si="47"/>
        <v>3.709584730867177</v>
      </c>
      <c r="BN102" s="2">
        <v>17.18</v>
      </c>
      <c r="BO102" s="48">
        <v>9336.7199999999993</v>
      </c>
      <c r="BP102" s="22">
        <f t="shared" si="48"/>
        <v>3.4810690084371383</v>
      </c>
      <c r="BQ102" s="77">
        <v>17.23</v>
      </c>
      <c r="BR102" s="48">
        <v>9467.06</v>
      </c>
      <c r="BS102" s="22">
        <f t="shared" si="49"/>
        <v>3.7985624696863245</v>
      </c>
      <c r="BT102" s="2">
        <v>17.09</v>
      </c>
      <c r="BU102" s="48">
        <v>8598.6200000000008</v>
      </c>
      <c r="BV102" s="78">
        <f t="shared" si="50"/>
        <v>3.3707807203300799</v>
      </c>
      <c r="BX102"/>
      <c r="BY102"/>
    </row>
    <row r="103" spans="1:77">
      <c r="B103" s="50">
        <v>1501</v>
      </c>
      <c r="C103" s="124" t="s">
        <v>446</v>
      </c>
      <c r="D103" s="128" t="s">
        <v>447</v>
      </c>
      <c r="E103" s="16">
        <v>0</v>
      </c>
      <c r="F103" s="135">
        <v>0</v>
      </c>
      <c r="G103" s="27">
        <v>0</v>
      </c>
      <c r="H103" s="139">
        <v>1</v>
      </c>
      <c r="I103" s="77" t="s">
        <v>31</v>
      </c>
      <c r="J103" s="48">
        <v>0</v>
      </c>
      <c r="K103" s="65">
        <f t="shared" ref="K103:K114" si="53">J103/$J$115*100</f>
        <v>0</v>
      </c>
      <c r="L103" s="2" t="s">
        <v>31</v>
      </c>
      <c r="M103" s="48">
        <v>0</v>
      </c>
      <c r="N103" s="100">
        <f t="shared" ref="N103:N114" si="54">M103/$M$115*100</f>
        <v>0</v>
      </c>
      <c r="O103" s="77" t="s">
        <v>31</v>
      </c>
      <c r="P103" s="48">
        <v>0</v>
      </c>
      <c r="Q103" s="48">
        <f t="shared" si="51"/>
        <v>0</v>
      </c>
      <c r="R103" s="2" t="s">
        <v>31</v>
      </c>
      <c r="S103" s="48">
        <v>0</v>
      </c>
      <c r="T103" s="88">
        <f t="shared" ref="T103:T114" si="55">S103/$S$115*100</f>
        <v>0</v>
      </c>
      <c r="U103" s="77" t="s">
        <v>31</v>
      </c>
      <c r="V103" s="48">
        <v>0</v>
      </c>
      <c r="W103" s="48">
        <f t="shared" si="52"/>
        <v>0</v>
      </c>
      <c r="X103" s="2" t="s">
        <v>31</v>
      </c>
      <c r="Y103" s="48">
        <v>0</v>
      </c>
      <c r="Z103" s="88">
        <f t="shared" ref="Z103:Z114" si="56">Y103/$Y$115*100</f>
        <v>0</v>
      </c>
      <c r="AA103" s="77" t="s">
        <v>31</v>
      </c>
      <c r="AB103" s="48">
        <v>0</v>
      </c>
      <c r="AC103" s="65">
        <f t="shared" ref="AC103:AC114" si="57">AB103/$AB$115*100</f>
        <v>0</v>
      </c>
      <c r="AD103" s="2" t="s">
        <v>31</v>
      </c>
      <c r="AE103" s="48">
        <v>0</v>
      </c>
      <c r="AF103" s="88">
        <f t="shared" ref="AF103:AF114" si="58">AE103/$AE$115*100</f>
        <v>0</v>
      </c>
      <c r="AG103" s="77" t="s">
        <v>31</v>
      </c>
      <c r="AH103" s="48">
        <v>0</v>
      </c>
      <c r="AI103" s="65">
        <f t="shared" ref="AI103:AI114" si="59">AH103/$AH$115*100</f>
        <v>0</v>
      </c>
      <c r="AJ103" s="3" t="s">
        <v>31</v>
      </c>
      <c r="AK103" s="48">
        <v>0</v>
      </c>
      <c r="AL103" s="88">
        <f t="shared" si="38"/>
        <v>0</v>
      </c>
      <c r="AM103" s="21" t="s">
        <v>31</v>
      </c>
      <c r="AN103" s="48">
        <v>0</v>
      </c>
      <c r="AO103" s="65">
        <f t="shared" si="39"/>
        <v>0</v>
      </c>
      <c r="AP103" s="2" t="s">
        <v>31</v>
      </c>
      <c r="AQ103" s="48">
        <v>0</v>
      </c>
      <c r="AR103" s="65">
        <f t="shared" si="40"/>
        <v>0</v>
      </c>
      <c r="AS103" s="75">
        <v>22.16</v>
      </c>
      <c r="AT103" s="49">
        <v>6002.21</v>
      </c>
      <c r="AU103" s="67">
        <f t="shared" si="41"/>
        <v>1.8497136511086907</v>
      </c>
      <c r="AV103" s="34">
        <v>21.882000000000001</v>
      </c>
      <c r="AW103" s="49">
        <v>5461.35</v>
      </c>
      <c r="AX103" s="118">
        <f t="shared" si="42"/>
        <v>1.6499361396905146</v>
      </c>
      <c r="AY103" s="31">
        <v>22.05</v>
      </c>
      <c r="AZ103" s="49">
        <v>4240.1000000000004</v>
      </c>
      <c r="BA103" s="67">
        <f t="shared" ref="BA103:BA114" si="60">AZ103/$AZ$115*100</f>
        <v>1.5560745202660162</v>
      </c>
      <c r="BB103" s="34">
        <v>21.85</v>
      </c>
      <c r="BC103" s="49">
        <v>5648.53</v>
      </c>
      <c r="BD103" s="67">
        <f t="shared" ref="BD103:BD114" si="61">BC103/$BC$115*100</f>
        <v>1.9195356410185302</v>
      </c>
      <c r="BE103" s="77" t="s">
        <v>31</v>
      </c>
      <c r="BF103" s="48">
        <v>0</v>
      </c>
      <c r="BG103" s="65">
        <f t="shared" si="45"/>
        <v>0</v>
      </c>
      <c r="BH103" s="2" t="s">
        <v>31</v>
      </c>
      <c r="BI103" s="48">
        <v>0</v>
      </c>
      <c r="BJ103" s="88">
        <f>BI103/$BI$115*100</f>
        <v>0</v>
      </c>
      <c r="BK103" s="21" t="s">
        <v>31</v>
      </c>
      <c r="BL103" s="48">
        <v>0</v>
      </c>
      <c r="BM103" s="65">
        <f t="shared" si="47"/>
        <v>0</v>
      </c>
      <c r="BN103" s="3" t="s">
        <v>31</v>
      </c>
      <c r="BO103" s="48">
        <v>0</v>
      </c>
      <c r="BP103" s="65">
        <f t="shared" si="48"/>
        <v>0</v>
      </c>
      <c r="BQ103" s="77" t="s">
        <v>31</v>
      </c>
      <c r="BR103" s="48">
        <v>0</v>
      </c>
      <c r="BS103" s="65">
        <f t="shared" si="49"/>
        <v>0</v>
      </c>
      <c r="BT103" s="2" t="s">
        <v>31</v>
      </c>
      <c r="BU103" s="48">
        <v>0</v>
      </c>
      <c r="BV103" s="88">
        <f t="shared" si="50"/>
        <v>0</v>
      </c>
      <c r="BX103"/>
      <c r="BY103"/>
    </row>
    <row r="104" spans="1:77">
      <c r="A104" s="14"/>
      <c r="B104" s="13" t="s">
        <v>448</v>
      </c>
      <c r="C104" s="124" t="s">
        <v>449</v>
      </c>
      <c r="D104" s="128" t="s">
        <v>354</v>
      </c>
      <c r="E104" s="16">
        <v>1</v>
      </c>
      <c r="F104" s="136">
        <v>1</v>
      </c>
      <c r="G104" s="27">
        <v>0</v>
      </c>
      <c r="H104" s="139">
        <v>1</v>
      </c>
      <c r="I104" s="77">
        <v>19.62</v>
      </c>
      <c r="J104" s="48">
        <v>1580.93</v>
      </c>
      <c r="K104" s="22">
        <f t="shared" si="53"/>
        <v>0.74142006284293938</v>
      </c>
      <c r="L104" s="2">
        <v>19.739999999999998</v>
      </c>
      <c r="M104" s="48">
        <v>1934.39</v>
      </c>
      <c r="N104" s="100">
        <f t="shared" si="54"/>
        <v>0.85976255336931184</v>
      </c>
      <c r="O104" s="77">
        <v>19.989999999999998</v>
      </c>
      <c r="P104" s="48">
        <v>1325.87</v>
      </c>
      <c r="Q104" s="48">
        <f t="shared" si="51"/>
        <v>0.60000810045102293</v>
      </c>
      <c r="R104" s="2">
        <v>19.63</v>
      </c>
      <c r="S104" s="48">
        <v>1476.95</v>
      </c>
      <c r="T104" s="78">
        <f t="shared" si="55"/>
        <v>0.66003731996112935</v>
      </c>
      <c r="U104" s="77">
        <v>19.78</v>
      </c>
      <c r="V104" s="48">
        <v>1632.97</v>
      </c>
      <c r="W104" s="48">
        <f t="shared" si="52"/>
        <v>0.70725280941092294</v>
      </c>
      <c r="X104" s="2">
        <v>19.690000000000001</v>
      </c>
      <c r="Y104" s="48">
        <v>1597.7</v>
      </c>
      <c r="Z104" s="78">
        <f t="shared" si="56"/>
        <v>0.54720957537639803</v>
      </c>
      <c r="AA104" s="77">
        <v>19.72</v>
      </c>
      <c r="AB104" s="48">
        <v>728.74</v>
      </c>
      <c r="AC104" s="22">
        <f t="shared" si="57"/>
        <v>0.30199107155030191</v>
      </c>
      <c r="AD104" s="2">
        <v>19.559999999999999</v>
      </c>
      <c r="AE104" s="48">
        <v>1682.63</v>
      </c>
      <c r="AF104" s="78">
        <f t="shared" si="58"/>
        <v>0.6002688711379206</v>
      </c>
      <c r="AG104" s="77">
        <v>20.64</v>
      </c>
      <c r="AH104" s="48">
        <v>1492.04</v>
      </c>
      <c r="AI104" s="22">
        <f t="shared" si="59"/>
        <v>0.71601726553522638</v>
      </c>
      <c r="AJ104" s="3">
        <v>19.420000000000002</v>
      </c>
      <c r="AK104" s="48">
        <v>2217.23</v>
      </c>
      <c r="AL104" s="78">
        <f t="shared" si="38"/>
        <v>0.692020625131613</v>
      </c>
      <c r="AM104" s="21">
        <v>20.260000000000002</v>
      </c>
      <c r="AN104" s="48">
        <v>1717</v>
      </c>
      <c r="AO104" s="22">
        <f t="shared" si="39"/>
        <v>0.70941050177096465</v>
      </c>
      <c r="AP104" s="2">
        <v>19.600000000000001</v>
      </c>
      <c r="AQ104" s="48">
        <v>1959.45</v>
      </c>
      <c r="AR104" s="22">
        <f t="shared" si="40"/>
        <v>0.75980873348265698</v>
      </c>
      <c r="AS104" s="77">
        <v>19.07</v>
      </c>
      <c r="AT104" s="48">
        <v>1830.37</v>
      </c>
      <c r="AU104" s="22">
        <f t="shared" si="41"/>
        <v>0.56406896386161332</v>
      </c>
      <c r="AV104" s="2">
        <v>18.34</v>
      </c>
      <c r="AW104" s="48">
        <v>1803.52</v>
      </c>
      <c r="AX104" s="78">
        <f t="shared" si="42"/>
        <v>0.54486396708774143</v>
      </c>
      <c r="AY104" s="21" t="s">
        <v>185</v>
      </c>
      <c r="AZ104" s="48">
        <v>1576.8</v>
      </c>
      <c r="BA104" s="22">
        <f t="shared" si="60"/>
        <v>0.5786699142839683</v>
      </c>
      <c r="BB104" s="2" t="s">
        <v>343</v>
      </c>
      <c r="BC104" s="48">
        <v>1174</v>
      </c>
      <c r="BD104" s="22">
        <f t="shared" si="61"/>
        <v>0.39895952443480948</v>
      </c>
      <c r="BE104" s="77">
        <v>20.04</v>
      </c>
      <c r="BF104" s="48">
        <v>1715.56</v>
      </c>
      <c r="BG104" s="22">
        <f t="shared" si="45"/>
        <v>0.74014322683481248</v>
      </c>
      <c r="BH104" s="2">
        <v>19.52</v>
      </c>
      <c r="BI104" s="48">
        <v>1541.84</v>
      </c>
      <c r="BJ104" s="78">
        <f t="shared" si="46"/>
        <v>0.61976997234100017</v>
      </c>
      <c r="BK104" s="21">
        <v>20.03</v>
      </c>
      <c r="BL104" s="48">
        <v>1482.55</v>
      </c>
      <c r="BM104" s="22">
        <f>BL104/$BL$115*100</f>
        <v>0.6763316406832538</v>
      </c>
      <c r="BN104" s="2">
        <v>19.61</v>
      </c>
      <c r="BO104" s="48">
        <v>1865.18</v>
      </c>
      <c r="BP104" s="22">
        <f>BO104/$BO$115*100</f>
        <v>0.69540698373270082</v>
      </c>
      <c r="BQ104" s="77">
        <v>19.88</v>
      </c>
      <c r="BR104" s="48">
        <v>522.83000000000004</v>
      </c>
      <c r="BS104" s="22">
        <f t="shared" si="49"/>
        <v>0.20978027138584746</v>
      </c>
      <c r="BT104" s="2">
        <v>19.62</v>
      </c>
      <c r="BU104" s="48">
        <v>1782.98</v>
      </c>
      <c r="BV104" s="78">
        <f t="shared" si="50"/>
        <v>0.69895339121092981</v>
      </c>
      <c r="BX104"/>
      <c r="BY104"/>
    </row>
    <row r="105" spans="1:77">
      <c r="B105" s="50" t="s">
        <v>450</v>
      </c>
      <c r="C105" s="124" t="s">
        <v>451</v>
      </c>
      <c r="D105" s="128" t="s">
        <v>452</v>
      </c>
      <c r="E105" s="16">
        <v>2</v>
      </c>
      <c r="F105" s="134" t="s">
        <v>546</v>
      </c>
      <c r="G105" s="27">
        <v>0</v>
      </c>
      <c r="H105" s="139">
        <v>1</v>
      </c>
      <c r="I105" s="77" t="s">
        <v>169</v>
      </c>
      <c r="J105" s="48">
        <v>2160.9</v>
      </c>
      <c r="K105" s="22">
        <f t="shared" si="53"/>
        <v>1.0134127467992307</v>
      </c>
      <c r="L105" s="2" t="s">
        <v>459</v>
      </c>
      <c r="M105" s="48">
        <v>2857.89</v>
      </c>
      <c r="N105" s="100">
        <f t="shared" si="54"/>
        <v>1.2702230696233037</v>
      </c>
      <c r="O105" s="77" t="s">
        <v>436</v>
      </c>
      <c r="P105" s="48">
        <v>2801.62</v>
      </c>
      <c r="Q105" s="48">
        <f t="shared" si="51"/>
        <v>1.2678427706981794</v>
      </c>
      <c r="R105" s="2" t="s">
        <v>339</v>
      </c>
      <c r="S105" s="48">
        <v>3567.41</v>
      </c>
      <c r="T105" s="78">
        <f t="shared" si="55"/>
        <v>1.5942474258455144</v>
      </c>
      <c r="U105" s="77" t="s">
        <v>343</v>
      </c>
      <c r="V105" s="48">
        <v>2693.91</v>
      </c>
      <c r="W105" s="48">
        <f t="shared" si="52"/>
        <v>1.1667546959222639</v>
      </c>
      <c r="X105" s="2" t="s">
        <v>457</v>
      </c>
      <c r="Y105" s="48">
        <v>2513.8000000000002</v>
      </c>
      <c r="Z105" s="78">
        <f t="shared" si="56"/>
        <v>0.86097229178268098</v>
      </c>
      <c r="AA105" s="77" t="s">
        <v>344</v>
      </c>
      <c r="AB105" s="48">
        <v>4325.67</v>
      </c>
      <c r="AC105" s="22">
        <f t="shared" si="57"/>
        <v>1.7925648632886826</v>
      </c>
      <c r="AD105" s="2" t="s">
        <v>458</v>
      </c>
      <c r="AE105" s="48">
        <v>4882.33</v>
      </c>
      <c r="AF105" s="78">
        <f t="shared" si="58"/>
        <v>1.7417440064796201</v>
      </c>
      <c r="AG105" s="77">
        <v>18.690000000000001</v>
      </c>
      <c r="AH105" s="48">
        <v>2996.66</v>
      </c>
      <c r="AI105" s="22">
        <f t="shared" si="59"/>
        <v>1.4380715657346932</v>
      </c>
      <c r="AJ105" s="3">
        <v>18.100000000000001</v>
      </c>
      <c r="AK105" s="48">
        <v>2880.26</v>
      </c>
      <c r="AL105" s="78">
        <f t="shared" si="38"/>
        <v>0.8989592084454836</v>
      </c>
      <c r="AM105" s="21">
        <v>18.53</v>
      </c>
      <c r="AN105" s="48">
        <v>4609.01</v>
      </c>
      <c r="AO105" s="22">
        <f t="shared" si="39"/>
        <v>1.9042982508837472</v>
      </c>
      <c r="AP105" s="2" t="s">
        <v>337</v>
      </c>
      <c r="AQ105" s="48">
        <v>4551.1000000000004</v>
      </c>
      <c r="AR105" s="22">
        <f t="shared" si="40"/>
        <v>1.7647633401989948</v>
      </c>
      <c r="AS105" s="77" t="s">
        <v>453</v>
      </c>
      <c r="AT105" s="48">
        <v>1012.19</v>
      </c>
      <c r="AU105" s="22">
        <f t="shared" si="41"/>
        <v>0.31192871634209829</v>
      </c>
      <c r="AV105" s="2" t="s">
        <v>337</v>
      </c>
      <c r="AW105" s="48">
        <v>2314.6</v>
      </c>
      <c r="AX105" s="78">
        <f t="shared" si="42"/>
        <v>0.69926706563902052</v>
      </c>
      <c r="AY105" s="21" t="s">
        <v>455</v>
      </c>
      <c r="AZ105" s="48">
        <v>1345.56</v>
      </c>
      <c r="BA105" s="22">
        <f t="shared" si="60"/>
        <v>0.4938071346169054</v>
      </c>
      <c r="BB105" s="2" t="s">
        <v>343</v>
      </c>
      <c r="BC105" s="48">
        <v>980</v>
      </c>
      <c r="BD105" s="22">
        <f t="shared" si="61"/>
        <v>0.33303265242428731</v>
      </c>
      <c r="BE105" s="77" t="s">
        <v>454</v>
      </c>
      <c r="BF105" s="48">
        <v>1524.1</v>
      </c>
      <c r="BG105" s="22">
        <f t="shared" si="45"/>
        <v>0.65754173099101032</v>
      </c>
      <c r="BH105" s="2" t="s">
        <v>169</v>
      </c>
      <c r="BI105" s="48">
        <v>4317.97</v>
      </c>
      <c r="BJ105" s="78">
        <f t="shared" si="46"/>
        <v>1.7356847321831508</v>
      </c>
      <c r="BK105" s="21" t="s">
        <v>454</v>
      </c>
      <c r="BL105" s="48">
        <v>2885.43</v>
      </c>
      <c r="BM105" s="22">
        <f t="shared" si="47"/>
        <v>1.3163182395040174</v>
      </c>
      <c r="BN105" s="2" t="s">
        <v>344</v>
      </c>
      <c r="BO105" s="48">
        <v>2901.92</v>
      </c>
      <c r="BP105" s="22">
        <f t="shared" si="48"/>
        <v>1.081941385943233</v>
      </c>
      <c r="BQ105" s="77" t="s">
        <v>456</v>
      </c>
      <c r="BR105" s="48">
        <v>4786.26</v>
      </c>
      <c r="BS105" s="22">
        <f>BR105/$BR$115*100</f>
        <v>1.9204386162294171</v>
      </c>
      <c r="BT105" s="2">
        <v>18.2</v>
      </c>
      <c r="BU105" s="48">
        <v>2661.24</v>
      </c>
      <c r="BV105" s="78">
        <f>BU105/$BU$115*100</f>
        <v>1.0432437395967282</v>
      </c>
      <c r="BX105"/>
      <c r="BY105"/>
    </row>
    <row r="106" spans="1:77">
      <c r="B106" s="13">
        <v>1551</v>
      </c>
      <c r="C106" s="124" t="s">
        <v>460</v>
      </c>
      <c r="D106" s="128" t="s">
        <v>461</v>
      </c>
      <c r="E106" s="16">
        <v>2</v>
      </c>
      <c r="F106" s="134" t="s">
        <v>546</v>
      </c>
      <c r="G106" s="27">
        <v>1</v>
      </c>
      <c r="H106" s="142">
        <v>0</v>
      </c>
      <c r="I106" s="77">
        <v>16.98</v>
      </c>
      <c r="J106" s="48">
        <v>4878.1400000000003</v>
      </c>
      <c r="K106" s="68">
        <f t="shared" si="53"/>
        <v>2.2877362472447587</v>
      </c>
      <c r="L106" s="2">
        <v>17.190000000000001</v>
      </c>
      <c r="M106" s="48">
        <v>3459.92</v>
      </c>
      <c r="N106" s="100">
        <f t="shared" si="54"/>
        <v>1.5378024357309279</v>
      </c>
      <c r="O106" s="77">
        <v>17.350000000000001</v>
      </c>
      <c r="P106" s="48">
        <v>2385.06</v>
      </c>
      <c r="Q106" s="48">
        <f t="shared" si="51"/>
        <v>1.0793330568319044</v>
      </c>
      <c r="R106" s="2">
        <v>16.98</v>
      </c>
      <c r="S106" s="48">
        <v>2523.65</v>
      </c>
      <c r="T106" s="89">
        <f t="shared" si="55"/>
        <v>1.1277993043230334</v>
      </c>
      <c r="U106" s="77">
        <v>17.05</v>
      </c>
      <c r="V106" s="48">
        <v>3857.69</v>
      </c>
      <c r="W106" s="48">
        <f t="shared" si="52"/>
        <v>1.6707974367786445</v>
      </c>
      <c r="X106" s="2">
        <v>17.059999999999999</v>
      </c>
      <c r="Y106" s="48">
        <v>6124.87</v>
      </c>
      <c r="Z106" s="89">
        <f t="shared" si="56"/>
        <v>2.0977577216846957</v>
      </c>
      <c r="AA106" s="77" t="s">
        <v>465</v>
      </c>
      <c r="AB106" s="48">
        <v>723.24</v>
      </c>
      <c r="AC106" s="68">
        <f t="shared" si="57"/>
        <v>0.2997118623762115</v>
      </c>
      <c r="AD106" s="2" t="s">
        <v>466</v>
      </c>
      <c r="AE106" s="48">
        <v>1244.42</v>
      </c>
      <c r="AF106" s="89">
        <f t="shared" si="58"/>
        <v>0.44393989684092822</v>
      </c>
      <c r="AG106" s="77">
        <v>17.77</v>
      </c>
      <c r="AH106" s="48">
        <v>3204.32</v>
      </c>
      <c r="AI106" s="68">
        <f t="shared" si="59"/>
        <v>1.5377258279267558</v>
      </c>
      <c r="AJ106" s="3">
        <v>16.89</v>
      </c>
      <c r="AK106" s="48">
        <v>4863.51</v>
      </c>
      <c r="AL106" s="89">
        <f t="shared" si="38"/>
        <v>1.5179522334326396</v>
      </c>
      <c r="AM106" s="21">
        <v>17.52</v>
      </c>
      <c r="AN106" s="48">
        <v>3494.52</v>
      </c>
      <c r="AO106" s="68">
        <f t="shared" si="39"/>
        <v>1.4438259677627674</v>
      </c>
      <c r="AP106" s="2">
        <v>16.96</v>
      </c>
      <c r="AQ106" s="48">
        <v>3882.06</v>
      </c>
      <c r="AR106" s="68">
        <f t="shared" si="40"/>
        <v>1.50533215540263</v>
      </c>
      <c r="AS106" s="77">
        <v>17.64</v>
      </c>
      <c r="AT106" s="48">
        <v>1768.61</v>
      </c>
      <c r="AU106" s="68">
        <f t="shared" si="41"/>
        <v>0.5450362550606096</v>
      </c>
      <c r="AV106" s="2" t="s">
        <v>462</v>
      </c>
      <c r="AW106" s="48">
        <v>1770.5</v>
      </c>
      <c r="AX106" s="89">
        <f t="shared" si="42"/>
        <v>0.53488824838584892</v>
      </c>
      <c r="AY106" s="21" t="s">
        <v>463</v>
      </c>
      <c r="AZ106" s="48">
        <v>485.66</v>
      </c>
      <c r="BA106" s="68">
        <f t="shared" si="60"/>
        <v>0.17823238874375449</v>
      </c>
      <c r="BB106" s="2" t="s">
        <v>464</v>
      </c>
      <c r="BC106" s="48">
        <v>1329.8</v>
      </c>
      <c r="BD106" s="68">
        <f t="shared" si="61"/>
        <v>0.45190491958552786</v>
      </c>
      <c r="BE106" s="77">
        <v>17.29</v>
      </c>
      <c r="BF106" s="48">
        <v>4006.93</v>
      </c>
      <c r="BG106" s="68">
        <f t="shared" si="45"/>
        <v>1.7287078854142177</v>
      </c>
      <c r="BH106" s="2">
        <v>16.98</v>
      </c>
      <c r="BI106" s="48">
        <v>3619.61</v>
      </c>
      <c r="BJ106" s="89">
        <f t="shared" si="46"/>
        <v>1.4549665267376692</v>
      </c>
      <c r="BK106" s="21">
        <v>17.190000000000001</v>
      </c>
      <c r="BL106" s="48">
        <v>3903.95</v>
      </c>
      <c r="BM106" s="68">
        <f t="shared" si="47"/>
        <v>1.7809617946412524</v>
      </c>
      <c r="BN106" s="2">
        <v>16.989999999999998</v>
      </c>
      <c r="BO106" s="48">
        <v>4892.43</v>
      </c>
      <c r="BP106" s="68">
        <f t="shared" si="48"/>
        <v>1.8240759548265464</v>
      </c>
      <c r="BQ106" s="77">
        <v>17.13</v>
      </c>
      <c r="BR106" s="48">
        <v>4267.79</v>
      </c>
      <c r="BS106" s="68">
        <f t="shared" si="49"/>
        <v>1.7124077509282287</v>
      </c>
      <c r="BT106" s="2" t="s">
        <v>134</v>
      </c>
      <c r="BU106" s="48">
        <v>619.23</v>
      </c>
      <c r="BV106" s="89">
        <f t="shared" si="50"/>
        <v>0.24274692281435803</v>
      </c>
      <c r="BX106"/>
      <c r="BY106"/>
    </row>
    <row r="107" spans="1:77">
      <c r="B107" s="50" t="s">
        <v>467</v>
      </c>
      <c r="C107" s="124" t="s">
        <v>468</v>
      </c>
      <c r="D107" s="128" t="s">
        <v>469</v>
      </c>
      <c r="E107" s="16">
        <v>2</v>
      </c>
      <c r="F107" s="134" t="s">
        <v>543</v>
      </c>
      <c r="G107" s="27">
        <v>1</v>
      </c>
      <c r="H107" s="139">
        <v>1</v>
      </c>
      <c r="I107" s="77">
        <v>18.71</v>
      </c>
      <c r="J107" s="48">
        <v>3755.61</v>
      </c>
      <c r="K107" s="48">
        <f t="shared" si="53"/>
        <v>1.7612953149181629</v>
      </c>
      <c r="L107" s="2">
        <v>18.72</v>
      </c>
      <c r="M107" s="48">
        <v>2989.74</v>
      </c>
      <c r="N107" s="100">
        <f t="shared" si="54"/>
        <v>1.3288253642287056</v>
      </c>
      <c r="O107" s="77">
        <v>18.97</v>
      </c>
      <c r="P107" s="48">
        <v>4231.8900000000003</v>
      </c>
      <c r="Q107" s="48">
        <f t="shared" si="51"/>
        <v>1.9150959597982309</v>
      </c>
      <c r="R107" s="2">
        <v>18.61</v>
      </c>
      <c r="S107" s="48">
        <v>2220.25</v>
      </c>
      <c r="T107" s="76">
        <f t="shared" si="55"/>
        <v>0.99221223443156337</v>
      </c>
      <c r="U107" s="77">
        <v>18.77</v>
      </c>
      <c r="V107" s="48">
        <v>2380.91</v>
      </c>
      <c r="W107" s="48">
        <f t="shared" si="52"/>
        <v>1.0311918078437206</v>
      </c>
      <c r="X107" s="2">
        <v>18.78</v>
      </c>
      <c r="Y107" s="48">
        <v>3687.62</v>
      </c>
      <c r="Z107" s="76">
        <f t="shared" si="56"/>
        <v>1.2630036767537789</v>
      </c>
      <c r="AA107" s="77">
        <v>18.600000000000001</v>
      </c>
      <c r="AB107" s="48">
        <v>2689.2</v>
      </c>
      <c r="AC107" s="48">
        <f t="shared" si="57"/>
        <v>1.1144089656298155</v>
      </c>
      <c r="AD107" s="2">
        <v>18.649999999999999</v>
      </c>
      <c r="AE107" s="48">
        <v>2667.16</v>
      </c>
      <c r="AF107" s="76">
        <f t="shared" si="58"/>
        <v>0.95149445947369049</v>
      </c>
      <c r="AG107" s="77">
        <v>19.420000000000002</v>
      </c>
      <c r="AH107" s="48">
        <v>2178.54</v>
      </c>
      <c r="AI107" s="48">
        <f t="shared" si="59"/>
        <v>1.0454627581426184</v>
      </c>
      <c r="AJ107" s="3">
        <v>18.41</v>
      </c>
      <c r="AK107" s="48">
        <v>6953.06</v>
      </c>
      <c r="AL107" s="76">
        <f t="shared" si="38"/>
        <v>2.1701225979161447</v>
      </c>
      <c r="AM107" s="21">
        <v>19.149999999999999</v>
      </c>
      <c r="AN107" s="48">
        <v>5110.43</v>
      </c>
      <c r="AO107" s="48">
        <f t="shared" si="39"/>
        <v>2.111469254842977</v>
      </c>
      <c r="AP107" s="2">
        <v>18.579999999999998</v>
      </c>
      <c r="AQ107" s="48">
        <v>3376.31</v>
      </c>
      <c r="AR107" s="48">
        <f t="shared" si="40"/>
        <v>1.3092193344789762</v>
      </c>
      <c r="AS107" s="79" t="s">
        <v>31</v>
      </c>
      <c r="AT107" s="54">
        <v>0</v>
      </c>
      <c r="AU107" s="54">
        <f t="shared" si="41"/>
        <v>0</v>
      </c>
      <c r="AV107" s="36" t="s">
        <v>31</v>
      </c>
      <c r="AW107" s="54">
        <v>0</v>
      </c>
      <c r="AX107" s="102">
        <f t="shared" si="42"/>
        <v>0</v>
      </c>
      <c r="AY107" s="37" t="s">
        <v>31</v>
      </c>
      <c r="AZ107" s="54">
        <v>0</v>
      </c>
      <c r="BA107" s="54">
        <f t="shared" si="60"/>
        <v>0</v>
      </c>
      <c r="BB107" s="36" t="s">
        <v>31</v>
      </c>
      <c r="BC107" s="54">
        <v>0</v>
      </c>
      <c r="BD107" s="54">
        <f t="shared" si="61"/>
        <v>0</v>
      </c>
      <c r="BE107" s="77">
        <v>18.920000000000002</v>
      </c>
      <c r="BF107" s="48">
        <v>5245.49</v>
      </c>
      <c r="BG107" s="48">
        <f t="shared" si="45"/>
        <v>2.2630592313470475</v>
      </c>
      <c r="BH107" s="2">
        <v>18.600000000000001</v>
      </c>
      <c r="BI107" s="48">
        <v>3737.69</v>
      </c>
      <c r="BJ107" s="76">
        <f t="shared" si="46"/>
        <v>1.502430879935164</v>
      </c>
      <c r="BK107" s="21">
        <v>18.809999999999999</v>
      </c>
      <c r="BL107" s="48">
        <v>4461.79</v>
      </c>
      <c r="BM107" s="48">
        <f t="shared" si="47"/>
        <v>2.0354455169027252</v>
      </c>
      <c r="BN107" s="2">
        <v>18.5</v>
      </c>
      <c r="BO107" s="48">
        <v>2633.04</v>
      </c>
      <c r="BP107" s="48">
        <f t="shared" si="48"/>
        <v>0.98169313655923318</v>
      </c>
      <c r="BQ107" s="77">
        <v>18.239999999999998</v>
      </c>
      <c r="BR107" s="48">
        <v>4909.4799999999996</v>
      </c>
      <c r="BS107" s="48">
        <f t="shared" si="49"/>
        <v>1.9698794001174191</v>
      </c>
      <c r="BT107" s="2">
        <v>18.61</v>
      </c>
      <c r="BU107" s="48">
        <v>5353.56</v>
      </c>
      <c r="BV107" s="76">
        <f t="shared" si="50"/>
        <v>2.0986712790110857</v>
      </c>
      <c r="BX107"/>
      <c r="BY107"/>
    </row>
    <row r="108" spans="1:77">
      <c r="B108" s="50">
        <v>1647</v>
      </c>
      <c r="C108" s="124" t="s">
        <v>470</v>
      </c>
      <c r="D108" s="128" t="s">
        <v>471</v>
      </c>
      <c r="E108" s="16">
        <v>1</v>
      </c>
      <c r="F108" s="136" t="s">
        <v>545</v>
      </c>
      <c r="G108" s="27">
        <v>0</v>
      </c>
      <c r="H108" s="139">
        <v>1</v>
      </c>
      <c r="I108" s="77">
        <v>20.03</v>
      </c>
      <c r="J108" s="48">
        <v>3438.47</v>
      </c>
      <c r="K108" s="22">
        <f t="shared" si="53"/>
        <v>1.6125638981381603</v>
      </c>
      <c r="L108" s="2">
        <v>20.399999999999999</v>
      </c>
      <c r="M108" s="48">
        <v>3975.73</v>
      </c>
      <c r="N108" s="100">
        <f t="shared" si="54"/>
        <v>1.7670603013389099</v>
      </c>
      <c r="O108" s="77">
        <v>20.29</v>
      </c>
      <c r="P108" s="48">
        <v>5627.67</v>
      </c>
      <c r="Q108" s="48">
        <f t="shared" si="51"/>
        <v>2.5467410731558968</v>
      </c>
      <c r="R108" s="2">
        <v>20.03</v>
      </c>
      <c r="S108" s="48">
        <v>4021.24</v>
      </c>
      <c r="T108" s="78">
        <f t="shared" si="55"/>
        <v>1.7970604776874584</v>
      </c>
      <c r="U108" s="77">
        <v>19.98</v>
      </c>
      <c r="V108" s="48">
        <v>3621.85</v>
      </c>
      <c r="W108" s="48">
        <f t="shared" si="52"/>
        <v>1.5686531827069397</v>
      </c>
      <c r="X108" s="2">
        <v>20.29</v>
      </c>
      <c r="Y108" s="48">
        <v>6223.7</v>
      </c>
      <c r="Z108" s="78">
        <f t="shared" si="56"/>
        <v>2.1316068312387104</v>
      </c>
      <c r="AA108" s="77">
        <v>19.920000000000002</v>
      </c>
      <c r="AB108" s="48">
        <v>7224.74</v>
      </c>
      <c r="AC108" s="22">
        <f t="shared" si="57"/>
        <v>2.9939443069851088</v>
      </c>
      <c r="AD108" s="2">
        <v>20.059999999999999</v>
      </c>
      <c r="AE108" s="48">
        <v>6898.42</v>
      </c>
      <c r="AF108" s="78">
        <f t="shared" si="58"/>
        <v>2.4609728734393497</v>
      </c>
      <c r="AG108" s="77">
        <v>20.64</v>
      </c>
      <c r="AH108" s="48">
        <v>4480.8900000000003</v>
      </c>
      <c r="AI108" s="22">
        <f t="shared" si="59"/>
        <v>2.1503408789068259</v>
      </c>
      <c r="AJ108" s="3">
        <v>19.82</v>
      </c>
      <c r="AK108" s="48">
        <v>4523.49</v>
      </c>
      <c r="AL108" s="78">
        <f t="shared" si="38"/>
        <v>1.4118284425055587</v>
      </c>
      <c r="AM108" s="21">
        <v>20.66</v>
      </c>
      <c r="AN108" s="48">
        <v>2911.39</v>
      </c>
      <c r="AO108" s="22">
        <f t="shared" si="39"/>
        <v>1.2028949567565339</v>
      </c>
      <c r="AP108" s="2">
        <v>20</v>
      </c>
      <c r="AQ108" s="48">
        <v>7374.52</v>
      </c>
      <c r="AR108" s="22">
        <f t="shared" si="40"/>
        <v>2.8595905490022835</v>
      </c>
      <c r="AS108" s="79" t="s">
        <v>31</v>
      </c>
      <c r="AT108" s="54">
        <v>0</v>
      </c>
      <c r="AU108" s="55">
        <f t="shared" si="41"/>
        <v>0</v>
      </c>
      <c r="AV108" s="36" t="s">
        <v>31</v>
      </c>
      <c r="AW108" s="54">
        <v>0</v>
      </c>
      <c r="AX108" s="82">
        <f t="shared" si="42"/>
        <v>0</v>
      </c>
      <c r="AY108" s="37" t="s">
        <v>31</v>
      </c>
      <c r="AZ108" s="54">
        <v>0</v>
      </c>
      <c r="BA108" s="55">
        <f t="shared" si="60"/>
        <v>0</v>
      </c>
      <c r="BB108" s="36" t="s">
        <v>31</v>
      </c>
      <c r="BC108" s="54">
        <v>0</v>
      </c>
      <c r="BD108" s="55">
        <f t="shared" si="61"/>
        <v>0</v>
      </c>
      <c r="BE108" s="77">
        <v>20.440000000000001</v>
      </c>
      <c r="BF108" s="48">
        <v>3351.35</v>
      </c>
      <c r="BG108" s="22">
        <f t="shared" si="45"/>
        <v>1.4458713208823062</v>
      </c>
      <c r="BH108" s="2">
        <v>19.82</v>
      </c>
      <c r="BI108" s="48">
        <v>3744.73</v>
      </c>
      <c r="BJ108" s="78">
        <f t="shared" si="46"/>
        <v>1.5052607329713288</v>
      </c>
      <c r="BK108" s="21">
        <v>20.13</v>
      </c>
      <c r="BL108" s="48">
        <v>1052.29</v>
      </c>
      <c r="BM108" s="22">
        <f t="shared" si="47"/>
        <v>0.48004925444307522</v>
      </c>
      <c r="BN108" s="2">
        <v>20.010000000000002</v>
      </c>
      <c r="BO108" s="48">
        <v>1366.81</v>
      </c>
      <c r="BP108" s="22">
        <f t="shared" si="48"/>
        <v>0.50959651048997567</v>
      </c>
      <c r="BQ108" s="77">
        <v>19.98</v>
      </c>
      <c r="BR108" s="48">
        <v>5053.8900000000003</v>
      </c>
      <c r="BS108" s="22">
        <f t="shared" si="49"/>
        <v>2.0278224580728357</v>
      </c>
      <c r="BT108" s="2">
        <v>19.93</v>
      </c>
      <c r="BU108" s="48">
        <v>3013.94</v>
      </c>
      <c r="BV108" s="78">
        <f t="shared" si="50"/>
        <v>1.1815071307060481</v>
      </c>
      <c r="BX108"/>
      <c r="BY108"/>
    </row>
    <row r="109" spans="1:77">
      <c r="B109" s="13" t="s">
        <v>472</v>
      </c>
      <c r="C109" s="124" t="s">
        <v>473</v>
      </c>
      <c r="D109" s="128" t="s">
        <v>354</v>
      </c>
      <c r="E109" s="16">
        <v>2</v>
      </c>
      <c r="F109" s="136">
        <v>1</v>
      </c>
      <c r="G109" s="27">
        <v>0</v>
      </c>
      <c r="H109" s="139">
        <v>1</v>
      </c>
      <c r="I109" s="77">
        <v>18.3</v>
      </c>
      <c r="J109" s="48">
        <v>9847.1299999999992</v>
      </c>
      <c r="K109" s="22">
        <f t="shared" si="53"/>
        <v>4.618079069549311</v>
      </c>
      <c r="L109" s="2">
        <v>18.41</v>
      </c>
      <c r="M109" s="48">
        <v>12457.74</v>
      </c>
      <c r="N109" s="100">
        <f t="shared" si="54"/>
        <v>5.5369901372582619</v>
      </c>
      <c r="O109" s="77">
        <v>18.46</v>
      </c>
      <c r="P109" s="48">
        <v>10315.17</v>
      </c>
      <c r="Q109" s="48">
        <f t="shared" si="51"/>
        <v>4.6680184011474575</v>
      </c>
      <c r="R109" s="2">
        <v>18.100000000000001</v>
      </c>
      <c r="S109" s="48">
        <v>9863.33</v>
      </c>
      <c r="T109" s="78">
        <f t="shared" si="55"/>
        <v>4.4078444761787505</v>
      </c>
      <c r="U109" s="77">
        <v>18.36</v>
      </c>
      <c r="V109" s="48">
        <v>10087.74</v>
      </c>
      <c r="W109" s="48">
        <f t="shared" si="52"/>
        <v>4.3690836057042954</v>
      </c>
      <c r="X109" s="2">
        <v>18.27</v>
      </c>
      <c r="Y109" s="48">
        <v>14699.84</v>
      </c>
      <c r="Z109" s="78">
        <f t="shared" si="56"/>
        <v>5.0346705917888155</v>
      </c>
      <c r="AA109" s="77">
        <v>18.190000000000001</v>
      </c>
      <c r="AB109" s="48">
        <v>6375.19</v>
      </c>
      <c r="AC109" s="22">
        <f t="shared" si="57"/>
        <v>2.6418893699217403</v>
      </c>
      <c r="AD109" s="2">
        <v>18.14</v>
      </c>
      <c r="AE109" s="48">
        <v>12053.01</v>
      </c>
      <c r="AF109" s="78">
        <f t="shared" si="58"/>
        <v>4.2998441169562334</v>
      </c>
      <c r="AG109" s="77">
        <v>19.010000000000002</v>
      </c>
      <c r="AH109" s="48">
        <v>7542.74</v>
      </c>
      <c r="AI109" s="22">
        <f t="shared" si="59"/>
        <v>3.6196965694238581</v>
      </c>
      <c r="AJ109" s="3">
        <v>17.899999999999999</v>
      </c>
      <c r="AK109" s="48">
        <v>15085.8</v>
      </c>
      <c r="AL109" s="78">
        <f t="shared" si="38"/>
        <v>4.708435636632414</v>
      </c>
      <c r="AM109" s="21">
        <v>18.73</v>
      </c>
      <c r="AN109" s="48">
        <v>9928.67</v>
      </c>
      <c r="AO109" s="22">
        <f t="shared" si="39"/>
        <v>4.102214773802169</v>
      </c>
      <c r="AP109" s="2">
        <v>18.18</v>
      </c>
      <c r="AQ109" s="48">
        <v>13615.68</v>
      </c>
      <c r="AR109" s="22">
        <f t="shared" si="40"/>
        <v>5.279702251297631</v>
      </c>
      <c r="AS109" s="77" t="s">
        <v>474</v>
      </c>
      <c r="AT109" s="48">
        <v>861.45</v>
      </c>
      <c r="AU109" s="22">
        <f t="shared" si="41"/>
        <v>0.26547485421995926</v>
      </c>
      <c r="AV109" s="2" t="s">
        <v>475</v>
      </c>
      <c r="AW109" s="48">
        <v>501.9</v>
      </c>
      <c r="AX109" s="78">
        <f t="shared" si="42"/>
        <v>0.15162971582313331</v>
      </c>
      <c r="AY109" s="21">
        <v>18.54</v>
      </c>
      <c r="AZ109" s="48">
        <v>6606.19</v>
      </c>
      <c r="BA109" s="22">
        <f t="shared" si="60"/>
        <v>2.424406012838412</v>
      </c>
      <c r="BB109" s="2">
        <v>18.36</v>
      </c>
      <c r="BC109" s="48">
        <v>7787.04</v>
      </c>
      <c r="BD109" s="22">
        <f t="shared" si="61"/>
        <v>2.6462638629939006</v>
      </c>
      <c r="BE109" s="77">
        <v>18.41</v>
      </c>
      <c r="BF109" s="48">
        <v>12929.4</v>
      </c>
      <c r="BG109" s="22">
        <f t="shared" si="45"/>
        <v>5.5781248321469521</v>
      </c>
      <c r="BH109" s="2">
        <v>18.2</v>
      </c>
      <c r="BI109" s="48">
        <v>10717.03</v>
      </c>
      <c r="BJ109" s="78">
        <f t="shared" si="46"/>
        <v>4.3079005517288893</v>
      </c>
      <c r="BK109" s="21">
        <v>18.3</v>
      </c>
      <c r="BL109" s="48">
        <v>9245.89</v>
      </c>
      <c r="BM109" s="22">
        <f t="shared" si="47"/>
        <v>4.2179271884772112</v>
      </c>
      <c r="BN109" s="2">
        <v>18.190000000000001</v>
      </c>
      <c r="BO109" s="48">
        <v>10182.209999999999</v>
      </c>
      <c r="BP109" s="22">
        <f t="shared" si="48"/>
        <v>3.7962984504621233</v>
      </c>
      <c r="BQ109" s="77">
        <v>18.239999999999998</v>
      </c>
      <c r="BR109" s="48">
        <v>10420.9</v>
      </c>
      <c r="BS109" s="22">
        <f t="shared" si="49"/>
        <v>4.1812811622989843</v>
      </c>
      <c r="BT109" s="2">
        <v>18.100000000000001</v>
      </c>
      <c r="BU109" s="48">
        <v>10693.37</v>
      </c>
      <c r="BV109" s="78">
        <f t="shared" si="50"/>
        <v>4.1919523634439093</v>
      </c>
      <c r="BX109"/>
      <c r="BY109"/>
    </row>
    <row r="110" spans="1:77">
      <c r="B110" s="50">
        <v>1850</v>
      </c>
      <c r="C110" s="124" t="s">
        <v>476</v>
      </c>
      <c r="D110" s="128" t="s">
        <v>354</v>
      </c>
      <c r="E110" s="16">
        <v>1</v>
      </c>
      <c r="F110" s="136">
        <v>1</v>
      </c>
      <c r="G110" s="27">
        <v>0</v>
      </c>
      <c r="H110" s="139">
        <v>1</v>
      </c>
      <c r="I110" s="77">
        <v>20.83</v>
      </c>
      <c r="J110" s="48">
        <v>5889.79</v>
      </c>
      <c r="K110" s="22">
        <f t="shared" si="53"/>
        <v>2.7621769919804895</v>
      </c>
      <c r="L110" s="2">
        <v>20.95</v>
      </c>
      <c r="M110" s="48">
        <v>6490.83</v>
      </c>
      <c r="N110" s="100">
        <f t="shared" si="54"/>
        <v>2.8849262942251199</v>
      </c>
      <c r="O110" s="77">
        <v>21</v>
      </c>
      <c r="P110" s="48">
        <v>3659.6</v>
      </c>
      <c r="Q110" s="48">
        <f t="shared" si="51"/>
        <v>1.6561123220304885</v>
      </c>
      <c r="R110" s="2">
        <v>20.94</v>
      </c>
      <c r="S110" s="48">
        <v>8794.56</v>
      </c>
      <c r="T110" s="78">
        <f t="shared" si="55"/>
        <v>3.9302195826787298</v>
      </c>
      <c r="U110" s="77">
        <v>20.89</v>
      </c>
      <c r="V110" s="48">
        <v>7172.2</v>
      </c>
      <c r="W110" s="48">
        <f t="shared" si="52"/>
        <v>3.1063391242074383</v>
      </c>
      <c r="X110" s="2">
        <v>20.9</v>
      </c>
      <c r="Y110" s="48">
        <v>7406.64</v>
      </c>
      <c r="Z110" s="78">
        <f t="shared" si="56"/>
        <v>2.5367618009425077</v>
      </c>
      <c r="AA110" s="77">
        <v>20.84</v>
      </c>
      <c r="AB110" s="48">
        <v>11365.27</v>
      </c>
      <c r="AC110" s="22">
        <f t="shared" si="57"/>
        <v>4.7097868454572271</v>
      </c>
      <c r="AD110" s="2">
        <v>20.98</v>
      </c>
      <c r="AE110" s="48">
        <v>14168.43</v>
      </c>
      <c r="AF110" s="78">
        <f t="shared" si="58"/>
        <v>5.0545084076099007</v>
      </c>
      <c r="AG110" s="77">
        <v>21.56</v>
      </c>
      <c r="AH110" s="48">
        <v>7413.07</v>
      </c>
      <c r="AI110" s="22">
        <f t="shared" si="59"/>
        <v>3.5574690428012792</v>
      </c>
      <c r="AJ110" s="3">
        <v>20.73</v>
      </c>
      <c r="AK110" s="48">
        <v>13695.99</v>
      </c>
      <c r="AL110" s="78">
        <f t="shared" si="38"/>
        <v>4.274661429619985</v>
      </c>
      <c r="AM110" s="21">
        <v>21.27</v>
      </c>
      <c r="AN110" s="48">
        <v>7779.87</v>
      </c>
      <c r="AO110" s="22">
        <f t="shared" si="39"/>
        <v>3.2143980666353378</v>
      </c>
      <c r="AP110" s="2">
        <v>20.81</v>
      </c>
      <c r="AQ110" s="48">
        <v>8456.69</v>
      </c>
      <c r="AR110" s="22">
        <f t="shared" si="40"/>
        <v>3.2792196373244793</v>
      </c>
      <c r="AS110" s="79" t="s">
        <v>31</v>
      </c>
      <c r="AT110" s="54">
        <v>0</v>
      </c>
      <c r="AU110" s="55">
        <f t="shared" si="41"/>
        <v>0</v>
      </c>
      <c r="AV110" s="36" t="s">
        <v>31</v>
      </c>
      <c r="AW110" s="54">
        <v>0</v>
      </c>
      <c r="AX110" s="82">
        <f t="shared" si="42"/>
        <v>0</v>
      </c>
      <c r="AY110" s="37" t="s">
        <v>31</v>
      </c>
      <c r="AZ110" s="54">
        <v>0</v>
      </c>
      <c r="BA110" s="55">
        <f t="shared" si="60"/>
        <v>0</v>
      </c>
      <c r="BB110" s="36" t="s">
        <v>31</v>
      </c>
      <c r="BC110" s="54">
        <v>0</v>
      </c>
      <c r="BD110" s="55">
        <f t="shared" si="61"/>
        <v>0</v>
      </c>
      <c r="BE110" s="77">
        <v>20.95</v>
      </c>
      <c r="BF110" s="48">
        <v>7857.8</v>
      </c>
      <c r="BG110" s="22">
        <f t="shared" si="45"/>
        <v>3.3900868799823911</v>
      </c>
      <c r="BH110" s="2">
        <v>20.72</v>
      </c>
      <c r="BI110" s="48">
        <v>5983.44</v>
      </c>
      <c r="BJ110" s="78">
        <f t="shared" si="46"/>
        <v>2.4051499787941903</v>
      </c>
      <c r="BK110" s="21">
        <v>20.94</v>
      </c>
      <c r="BL110" s="48">
        <v>7430.72</v>
      </c>
      <c r="BM110" s="22">
        <f t="shared" si="47"/>
        <v>3.3898560244564218</v>
      </c>
      <c r="BN110" s="2">
        <v>20.83</v>
      </c>
      <c r="BO110" s="48">
        <v>6626.09</v>
      </c>
      <c r="BP110" s="22">
        <f t="shared" si="48"/>
        <v>2.4704474961351783</v>
      </c>
      <c r="BQ110" s="77">
        <v>20.89</v>
      </c>
      <c r="BR110" s="48">
        <v>3645.66</v>
      </c>
      <c r="BS110" s="22">
        <f t="shared" si="49"/>
        <v>1.4627843547243435</v>
      </c>
      <c r="BT110" s="2">
        <v>20.73</v>
      </c>
      <c r="BU110" s="48">
        <v>7030.46</v>
      </c>
      <c r="BV110" s="78">
        <f t="shared" si="50"/>
        <v>2.75603980906841</v>
      </c>
      <c r="BX110"/>
      <c r="BY110"/>
    </row>
    <row r="111" spans="1:77">
      <c r="B111" s="13">
        <v>1876</v>
      </c>
      <c r="C111" s="124" t="s">
        <v>477</v>
      </c>
      <c r="D111" s="128" t="s">
        <v>478</v>
      </c>
      <c r="E111" s="16">
        <v>3</v>
      </c>
      <c r="F111" s="136" t="s">
        <v>544</v>
      </c>
      <c r="G111" s="27">
        <v>1</v>
      </c>
      <c r="H111" s="139">
        <v>1</v>
      </c>
      <c r="I111" s="77" t="s">
        <v>31</v>
      </c>
      <c r="J111" s="48">
        <v>0</v>
      </c>
      <c r="K111" s="22">
        <f t="shared" si="53"/>
        <v>0</v>
      </c>
      <c r="L111" s="2" t="s">
        <v>31</v>
      </c>
      <c r="M111" s="48">
        <v>0</v>
      </c>
      <c r="N111" s="100">
        <f t="shared" si="54"/>
        <v>0</v>
      </c>
      <c r="O111" s="77" t="s">
        <v>31</v>
      </c>
      <c r="P111" s="48">
        <v>0</v>
      </c>
      <c r="Q111" s="48">
        <f t="shared" si="51"/>
        <v>0</v>
      </c>
      <c r="R111" s="2" t="s">
        <v>31</v>
      </c>
      <c r="S111" s="48">
        <v>0</v>
      </c>
      <c r="T111" s="78">
        <f t="shared" si="55"/>
        <v>0</v>
      </c>
      <c r="U111" s="77" t="s">
        <v>31</v>
      </c>
      <c r="V111" s="48">
        <v>0</v>
      </c>
      <c r="W111" s="48">
        <f t="shared" si="52"/>
        <v>0</v>
      </c>
      <c r="X111" s="2" t="s">
        <v>31</v>
      </c>
      <c r="Y111" s="48">
        <v>0</v>
      </c>
      <c r="Z111" s="78">
        <f t="shared" si="56"/>
        <v>0</v>
      </c>
      <c r="AA111" s="77" t="s">
        <v>31</v>
      </c>
      <c r="AB111" s="48">
        <v>0</v>
      </c>
      <c r="AC111" s="22">
        <f t="shared" si="57"/>
        <v>0</v>
      </c>
      <c r="AD111" s="2" t="s">
        <v>31</v>
      </c>
      <c r="AE111" s="48">
        <v>0</v>
      </c>
      <c r="AF111" s="78">
        <f t="shared" si="58"/>
        <v>0</v>
      </c>
      <c r="AG111" s="77" t="s">
        <v>31</v>
      </c>
      <c r="AH111" s="48">
        <v>0</v>
      </c>
      <c r="AI111" s="22">
        <f t="shared" si="59"/>
        <v>0</v>
      </c>
      <c r="AJ111" s="3" t="s">
        <v>31</v>
      </c>
      <c r="AK111" s="48">
        <v>0</v>
      </c>
      <c r="AL111" s="78">
        <f t="shared" si="38"/>
        <v>0</v>
      </c>
      <c r="AM111" s="21" t="s">
        <v>31</v>
      </c>
      <c r="AN111" s="48">
        <v>0</v>
      </c>
      <c r="AO111" s="22">
        <f t="shared" si="39"/>
        <v>0</v>
      </c>
      <c r="AP111" s="2" t="s">
        <v>31</v>
      </c>
      <c r="AQ111" s="48">
        <v>0</v>
      </c>
      <c r="AR111" s="22">
        <f t="shared" si="40"/>
        <v>0</v>
      </c>
      <c r="AS111" s="75">
        <v>19.48</v>
      </c>
      <c r="AT111" s="49">
        <v>1493.23</v>
      </c>
      <c r="AU111" s="53">
        <f t="shared" si="41"/>
        <v>0.46017182258618583</v>
      </c>
      <c r="AV111" s="34">
        <v>19.23</v>
      </c>
      <c r="AW111" s="49">
        <v>874.7</v>
      </c>
      <c r="AX111" s="107">
        <f t="shared" si="42"/>
        <v>0.26425684883541489</v>
      </c>
      <c r="AY111" s="31" t="s">
        <v>170</v>
      </c>
      <c r="AZ111" s="49">
        <v>694.6</v>
      </c>
      <c r="BA111" s="53">
        <f t="shared" si="60"/>
        <v>0.2549112902471109</v>
      </c>
      <c r="BB111" s="34" t="s">
        <v>198</v>
      </c>
      <c r="BC111" s="49">
        <v>1280.53</v>
      </c>
      <c r="BD111" s="53">
        <f t="shared" si="61"/>
        <v>0.43516153307027827</v>
      </c>
      <c r="BE111" s="77" t="s">
        <v>31</v>
      </c>
      <c r="BF111" s="48">
        <v>0</v>
      </c>
      <c r="BG111" s="22">
        <f t="shared" si="45"/>
        <v>0</v>
      </c>
      <c r="BH111" s="2" t="s">
        <v>31</v>
      </c>
      <c r="BI111" s="48">
        <v>0</v>
      </c>
      <c r="BJ111" s="78">
        <f t="shared" si="46"/>
        <v>0</v>
      </c>
      <c r="BK111" s="21" t="s">
        <v>31</v>
      </c>
      <c r="BL111" s="48">
        <v>0</v>
      </c>
      <c r="BM111" s="22">
        <f t="shared" si="47"/>
        <v>0</v>
      </c>
      <c r="BN111" s="3" t="s">
        <v>31</v>
      </c>
      <c r="BO111" s="48">
        <v>0</v>
      </c>
      <c r="BP111" s="22">
        <f t="shared" si="48"/>
        <v>0</v>
      </c>
      <c r="BQ111" s="77" t="s">
        <v>31</v>
      </c>
      <c r="BR111" s="48">
        <v>0</v>
      </c>
      <c r="BS111" s="22">
        <f t="shared" si="49"/>
        <v>0</v>
      </c>
      <c r="BT111" s="2" t="s">
        <v>31</v>
      </c>
      <c r="BU111" s="48">
        <v>0</v>
      </c>
      <c r="BV111" s="78">
        <f t="shared" si="50"/>
        <v>0</v>
      </c>
      <c r="BX111"/>
      <c r="BY111"/>
    </row>
    <row r="112" spans="1:77">
      <c r="B112" s="50" t="s">
        <v>479</v>
      </c>
      <c r="C112" s="124" t="s">
        <v>480</v>
      </c>
      <c r="D112" s="128" t="s">
        <v>354</v>
      </c>
      <c r="E112" s="16">
        <v>2</v>
      </c>
      <c r="F112" s="136">
        <v>1</v>
      </c>
      <c r="G112" s="27">
        <v>0</v>
      </c>
      <c r="H112" s="139">
        <v>1</v>
      </c>
      <c r="I112" s="77">
        <v>18.809999999999999</v>
      </c>
      <c r="J112" s="48">
        <v>11796.44</v>
      </c>
      <c r="K112" s="22">
        <f t="shared" si="53"/>
        <v>5.532260938892275</v>
      </c>
      <c r="L112" s="2">
        <v>18.72</v>
      </c>
      <c r="M112" s="48">
        <v>9271.0400000000009</v>
      </c>
      <c r="N112" s="100">
        <f t="shared" si="54"/>
        <v>4.120623567527244</v>
      </c>
      <c r="O112" s="77">
        <v>19.170000000000002</v>
      </c>
      <c r="P112" s="48">
        <v>9088.44</v>
      </c>
      <c r="Q112" s="48">
        <f t="shared" si="51"/>
        <v>4.1128750333464792</v>
      </c>
      <c r="R112" s="2">
        <v>18.61</v>
      </c>
      <c r="S112" s="48">
        <v>7190.13</v>
      </c>
      <c r="T112" s="78">
        <f t="shared" si="55"/>
        <v>3.2132124549728256</v>
      </c>
      <c r="U112" s="77">
        <v>18.87</v>
      </c>
      <c r="V112" s="48">
        <v>12551.26</v>
      </c>
      <c r="W112" s="48">
        <f t="shared" si="52"/>
        <v>5.4360544876188417</v>
      </c>
      <c r="X112" s="2">
        <v>18.68</v>
      </c>
      <c r="Y112" s="48">
        <v>12255.56</v>
      </c>
      <c r="Z112" s="78">
        <f t="shared" si="56"/>
        <v>4.1975087836264429</v>
      </c>
      <c r="AA112" s="77">
        <v>18.71</v>
      </c>
      <c r="AB112" s="48">
        <v>8437.3700000000008</v>
      </c>
      <c r="AC112" s="22">
        <f t="shared" si="57"/>
        <v>3.4964602016718866</v>
      </c>
      <c r="AD112" s="2">
        <v>18.649999999999999</v>
      </c>
      <c r="AE112" s="48">
        <v>8159.14</v>
      </c>
      <c r="AF112" s="78">
        <f t="shared" si="58"/>
        <v>2.9107277044009989</v>
      </c>
      <c r="AG112" s="77">
        <v>19.72</v>
      </c>
      <c r="AH112" s="48">
        <v>7636.7</v>
      </c>
      <c r="AI112" s="22">
        <f t="shared" si="59"/>
        <v>3.6647871717332401</v>
      </c>
      <c r="AJ112" s="3">
        <v>18.510000000000002</v>
      </c>
      <c r="AK112" s="48">
        <v>10674.04</v>
      </c>
      <c r="AL112" s="78">
        <f t="shared" si="38"/>
        <v>3.3314792932983242</v>
      </c>
      <c r="AM112" s="21">
        <v>19.350000000000001</v>
      </c>
      <c r="AN112" s="48">
        <v>11702.22</v>
      </c>
      <c r="AO112" s="22">
        <f t="shared" si="39"/>
        <v>4.8349899604159683</v>
      </c>
      <c r="AP112" s="2">
        <v>18.579999999999998</v>
      </c>
      <c r="AQ112" s="48">
        <v>3467.35</v>
      </c>
      <c r="AR112" s="22">
        <f t="shared" si="40"/>
        <v>1.3445215810768791</v>
      </c>
      <c r="AS112" s="79" t="s">
        <v>31</v>
      </c>
      <c r="AT112" s="54">
        <v>0</v>
      </c>
      <c r="AU112" s="55">
        <f t="shared" si="41"/>
        <v>0</v>
      </c>
      <c r="AV112" s="36" t="s">
        <v>31</v>
      </c>
      <c r="AW112" s="54">
        <v>0</v>
      </c>
      <c r="AX112" s="82">
        <f t="shared" si="42"/>
        <v>0</v>
      </c>
      <c r="AY112" s="21">
        <v>19.04</v>
      </c>
      <c r="AZ112" s="48">
        <v>7361.2</v>
      </c>
      <c r="BA112" s="22">
        <f t="shared" si="60"/>
        <v>2.7014871721379676</v>
      </c>
      <c r="BB112" s="2">
        <v>18.670000000000002</v>
      </c>
      <c r="BC112" s="48">
        <v>8897.01</v>
      </c>
      <c r="BD112" s="22">
        <f t="shared" si="61"/>
        <v>3.0234641213728661</v>
      </c>
      <c r="BE112" s="77">
        <v>19.13</v>
      </c>
      <c r="BF112" s="48">
        <v>8483.24</v>
      </c>
      <c r="BG112" s="22">
        <f t="shared" si="45"/>
        <v>3.6599201587902233</v>
      </c>
      <c r="BH112" s="2">
        <v>18.7</v>
      </c>
      <c r="BI112" s="48">
        <v>11560.58</v>
      </c>
      <c r="BJ112" s="78">
        <f t="shared" si="46"/>
        <v>4.6469804563676647</v>
      </c>
      <c r="BK112" s="21">
        <v>19.12</v>
      </c>
      <c r="BL112" s="48">
        <v>11609.91</v>
      </c>
      <c r="BM112" s="22">
        <f t="shared" si="47"/>
        <v>5.2963808832652628</v>
      </c>
      <c r="BN112" s="2">
        <v>18.5</v>
      </c>
      <c r="BO112" s="48">
        <v>7214.24</v>
      </c>
      <c r="BP112" s="22">
        <f t="shared" si="48"/>
        <v>2.6897312207528494</v>
      </c>
      <c r="BQ112" s="77">
        <v>18.96</v>
      </c>
      <c r="BR112" s="48">
        <v>10180.02</v>
      </c>
      <c r="BS112" s="22">
        <f t="shared" si="49"/>
        <v>4.0846304885208475</v>
      </c>
      <c r="BT112" s="2">
        <v>18.61</v>
      </c>
      <c r="BU112" s="48">
        <v>8654.34</v>
      </c>
      <c r="BV112" s="78">
        <f t="shared" si="50"/>
        <v>3.3926237488319542</v>
      </c>
      <c r="BX112"/>
      <c r="BY112"/>
    </row>
    <row r="113" spans="1:77">
      <c r="B113" s="123" t="s">
        <v>481</v>
      </c>
      <c r="C113" s="124" t="s">
        <v>482</v>
      </c>
      <c r="D113" s="128" t="s">
        <v>354</v>
      </c>
      <c r="E113" s="16">
        <v>1</v>
      </c>
      <c r="F113" s="134">
        <v>1</v>
      </c>
      <c r="G113" s="27">
        <v>0</v>
      </c>
      <c r="H113" s="139">
        <v>1</v>
      </c>
      <c r="I113" s="77">
        <v>21.14</v>
      </c>
      <c r="J113" s="48">
        <v>5546.88</v>
      </c>
      <c r="K113" s="48">
        <f t="shared" si="53"/>
        <v>2.6013600337663547</v>
      </c>
      <c r="L113" s="2">
        <v>21.06</v>
      </c>
      <c r="M113" s="48">
        <v>6109.63</v>
      </c>
      <c r="N113" s="100">
        <f t="shared" si="54"/>
        <v>2.7154974379219023</v>
      </c>
      <c r="O113" s="77">
        <v>21.82</v>
      </c>
      <c r="P113" s="48">
        <v>8130.5</v>
      </c>
      <c r="Q113" s="48">
        <f t="shared" si="51"/>
        <v>3.6793696672502154</v>
      </c>
      <c r="R113" s="2">
        <v>21.56</v>
      </c>
      <c r="S113" s="48">
        <v>2480.64</v>
      </c>
      <c r="T113" s="76">
        <f t="shared" si="55"/>
        <v>1.1085784741449445</v>
      </c>
      <c r="U113" s="77">
        <v>21.5</v>
      </c>
      <c r="V113" s="48">
        <v>4328.08</v>
      </c>
      <c r="W113" s="48">
        <f t="shared" si="52"/>
        <v>1.8745272352555324</v>
      </c>
      <c r="X113" s="2">
        <v>20.9</v>
      </c>
      <c r="Y113" s="48">
        <v>5398.86</v>
      </c>
      <c r="Z113" s="76">
        <f t="shared" si="56"/>
        <v>1.8491005120589723</v>
      </c>
      <c r="AA113" s="77">
        <v>21.45</v>
      </c>
      <c r="AB113" s="48">
        <v>10278.84</v>
      </c>
      <c r="AC113" s="48">
        <f t="shared" si="57"/>
        <v>4.2595684412741237</v>
      </c>
      <c r="AD113" s="2">
        <v>21.08</v>
      </c>
      <c r="AE113" s="48">
        <v>5302.93</v>
      </c>
      <c r="AF113" s="76">
        <f t="shared" si="58"/>
        <v>1.8917907114596868</v>
      </c>
      <c r="AG113" s="77">
        <v>22.38</v>
      </c>
      <c r="AH113" s="48">
        <v>6604.37</v>
      </c>
      <c r="AI113" s="48">
        <f t="shared" si="59"/>
        <v>3.1693808128353687</v>
      </c>
      <c r="AJ113" s="3">
        <v>21.13</v>
      </c>
      <c r="AK113" s="48">
        <v>10716.2</v>
      </c>
      <c r="AL113" s="76">
        <f t="shared" si="38"/>
        <v>3.3446378693393974</v>
      </c>
      <c r="AM113" s="21">
        <v>22.2</v>
      </c>
      <c r="AN113" s="48">
        <v>6289.32</v>
      </c>
      <c r="AO113" s="48">
        <f t="shared" si="39"/>
        <v>2.598549596387981</v>
      </c>
      <c r="AP113" s="2">
        <v>21.22</v>
      </c>
      <c r="AQ113" s="48">
        <v>3902.37</v>
      </c>
      <c r="AR113" s="48">
        <f t="shared" si="40"/>
        <v>1.5132076895459012</v>
      </c>
      <c r="AS113" s="77">
        <v>22.97</v>
      </c>
      <c r="AT113" s="48">
        <v>4400.71</v>
      </c>
      <c r="AU113" s="48">
        <f t="shared" si="41"/>
        <v>1.3561760354220405</v>
      </c>
      <c r="AV113" s="2">
        <v>22.63</v>
      </c>
      <c r="AW113" s="48">
        <v>6789.8</v>
      </c>
      <c r="AX113" s="76">
        <f t="shared" si="42"/>
        <v>2.0512760400396708</v>
      </c>
      <c r="AY113" s="21">
        <v>23.06</v>
      </c>
      <c r="AZ113" s="48">
        <v>8702.2800000000007</v>
      </c>
      <c r="BA113" s="48">
        <f t="shared" si="60"/>
        <v>3.1936501913210882</v>
      </c>
      <c r="BB113" s="2">
        <v>22.74</v>
      </c>
      <c r="BC113" s="48">
        <v>5829.37</v>
      </c>
      <c r="BD113" s="48">
        <f t="shared" si="61"/>
        <v>1.9809903602679264</v>
      </c>
      <c r="BE113" s="77">
        <v>21.66</v>
      </c>
      <c r="BF113" s="48">
        <v>6208.09</v>
      </c>
      <c r="BG113" s="48">
        <f t="shared" si="45"/>
        <v>2.6783532870205247</v>
      </c>
      <c r="BH113" s="2">
        <v>21.33</v>
      </c>
      <c r="BI113" s="48">
        <v>2201.9</v>
      </c>
      <c r="BJ113" s="76">
        <f t="shared" si="46"/>
        <v>0.88509281254711814</v>
      </c>
      <c r="BK113" s="21">
        <v>21.66</v>
      </c>
      <c r="BL113" s="48">
        <v>6208.09</v>
      </c>
      <c r="BM113" s="48">
        <f t="shared" si="47"/>
        <v>2.8320985431920014</v>
      </c>
      <c r="BN113" s="2">
        <v>20.83</v>
      </c>
      <c r="BO113" s="48">
        <v>5856.07</v>
      </c>
      <c r="BP113" s="48">
        <f t="shared" si="48"/>
        <v>2.1833560166994914</v>
      </c>
      <c r="BQ113" s="77">
        <v>21.5</v>
      </c>
      <c r="BR113" s="48">
        <v>5508.8</v>
      </c>
      <c r="BS113" s="48">
        <f t="shared" si="49"/>
        <v>2.2103505135710586</v>
      </c>
      <c r="BT113" s="2">
        <v>21.34</v>
      </c>
      <c r="BU113" s="48">
        <v>6976.94</v>
      </c>
      <c r="BV113" s="76">
        <f t="shared" si="50"/>
        <v>2.7350592116990566</v>
      </c>
      <c r="BX113"/>
      <c r="BY113"/>
    </row>
    <row r="114" spans="1:77">
      <c r="B114" s="123" t="s">
        <v>483</v>
      </c>
      <c r="C114" s="124" t="s">
        <v>484</v>
      </c>
      <c r="D114" s="128" t="s">
        <v>354</v>
      </c>
      <c r="E114" s="16">
        <v>2</v>
      </c>
      <c r="F114" s="136">
        <v>1</v>
      </c>
      <c r="G114" s="27">
        <v>0</v>
      </c>
      <c r="H114" s="139">
        <v>1</v>
      </c>
      <c r="I114" s="77">
        <v>19.02</v>
      </c>
      <c r="J114" s="48">
        <v>1385.92</v>
      </c>
      <c r="K114" s="22">
        <f t="shared" si="53"/>
        <v>0.64996482671293887</v>
      </c>
      <c r="L114" s="2">
        <v>20.55</v>
      </c>
      <c r="M114" s="48">
        <v>1608.62</v>
      </c>
      <c r="N114" s="100">
        <f t="shared" si="54"/>
        <v>0.71497021727828536</v>
      </c>
      <c r="O114" s="77">
        <v>20.69</v>
      </c>
      <c r="P114" s="48">
        <v>7822.83</v>
      </c>
      <c r="Q114" s="48">
        <f t="shared" si="51"/>
        <v>3.5401369428762068</v>
      </c>
      <c r="R114" s="2">
        <v>20.329999999999998</v>
      </c>
      <c r="S114" s="48">
        <v>6871.36</v>
      </c>
      <c r="T114" s="78">
        <f t="shared" si="55"/>
        <v>3.0707566531623312</v>
      </c>
      <c r="U114" s="77">
        <v>20.58</v>
      </c>
      <c r="V114" s="48">
        <v>14996.41</v>
      </c>
      <c r="W114" s="48">
        <f t="shared" si="52"/>
        <v>6.4950691706388106</v>
      </c>
      <c r="X114" s="2">
        <v>20.29</v>
      </c>
      <c r="Y114" s="48">
        <v>12829.62</v>
      </c>
      <c r="Z114" s="78">
        <f t="shared" si="56"/>
        <v>4.3941233726234863</v>
      </c>
      <c r="AA114" s="77">
        <v>20.53</v>
      </c>
      <c r="AB114" s="48">
        <v>6343.14</v>
      </c>
      <c r="AC114" s="22">
        <f t="shared" si="57"/>
        <v>2.6286077964618135</v>
      </c>
      <c r="AD114" s="2">
        <v>20.46</v>
      </c>
      <c r="AE114" s="48">
        <v>10188.790000000001</v>
      </c>
      <c r="AF114" s="78">
        <f t="shared" si="58"/>
        <v>3.6347940257580889</v>
      </c>
      <c r="AG114" s="77">
        <v>21.56</v>
      </c>
      <c r="AH114" s="48">
        <v>4377.84</v>
      </c>
      <c r="AI114" s="22">
        <f t="shared" si="59"/>
        <v>2.1008880631556361</v>
      </c>
      <c r="AJ114" s="3">
        <v>20.22</v>
      </c>
      <c r="AK114" s="48">
        <v>10119.25</v>
      </c>
      <c r="AL114" s="78">
        <f t="shared" si="38"/>
        <v>3.1583235437293715</v>
      </c>
      <c r="AM114" s="21">
        <v>21.38</v>
      </c>
      <c r="AN114" s="48">
        <v>2072.9699999999998</v>
      </c>
      <c r="AO114" s="22">
        <f t="shared" si="39"/>
        <v>0.85648613154115116</v>
      </c>
      <c r="AP114" s="2">
        <v>20.399999999999999</v>
      </c>
      <c r="AQ114" s="48">
        <v>4226.4399999999996</v>
      </c>
      <c r="AR114" s="22">
        <f t="shared" si="40"/>
        <v>1.6388711238053744</v>
      </c>
      <c r="AS114" s="79" t="s">
        <v>31</v>
      </c>
      <c r="AT114" s="54">
        <v>0</v>
      </c>
      <c r="AU114" s="55">
        <f t="shared" si="41"/>
        <v>0</v>
      </c>
      <c r="AV114" s="36" t="s">
        <v>31</v>
      </c>
      <c r="AW114" s="54">
        <v>0</v>
      </c>
      <c r="AX114" s="82">
        <f t="shared" si="42"/>
        <v>0</v>
      </c>
      <c r="AY114" s="21">
        <v>20.65</v>
      </c>
      <c r="AZ114" s="48">
        <v>4154.3</v>
      </c>
      <c r="BA114" s="22">
        <f t="shared" si="60"/>
        <v>1.5245867737886161</v>
      </c>
      <c r="BB114" s="2">
        <v>20.350000000000001</v>
      </c>
      <c r="BC114" s="48">
        <v>5029.7</v>
      </c>
      <c r="BD114" s="22">
        <f t="shared" si="61"/>
        <v>1.7092391141820797</v>
      </c>
      <c r="BE114" s="77" t="s">
        <v>485</v>
      </c>
      <c r="BF114" s="48">
        <v>2636.73</v>
      </c>
      <c r="BG114" s="22">
        <f t="shared" si="45"/>
        <v>1.1375631575066774</v>
      </c>
      <c r="BH114" s="2" t="s">
        <v>486</v>
      </c>
      <c r="BI114" s="48">
        <v>3080.52</v>
      </c>
      <c r="BJ114" s="78">
        <f t="shared" si="46"/>
        <v>1.2382697265578126</v>
      </c>
      <c r="BK114" s="21">
        <v>20.63</v>
      </c>
      <c r="BL114" s="48">
        <v>1655.27</v>
      </c>
      <c r="BM114" s="22">
        <f t="shared" si="47"/>
        <v>0.75512561119272181</v>
      </c>
      <c r="BN114" s="2">
        <v>20.62</v>
      </c>
      <c r="BO114" s="48">
        <v>2408.35</v>
      </c>
      <c r="BP114" s="22">
        <f t="shared" si="48"/>
        <v>0.89792052738751749</v>
      </c>
      <c r="BQ114" s="77" t="s">
        <v>487</v>
      </c>
      <c r="BR114" s="48">
        <v>2159.41</v>
      </c>
      <c r="BS114" s="22">
        <f t="shared" si="49"/>
        <v>0.8664415122187189</v>
      </c>
      <c r="BT114" s="2" t="s">
        <v>488</v>
      </c>
      <c r="BU114" s="48">
        <v>2128.64</v>
      </c>
      <c r="BV114" s="78">
        <f t="shared" si="50"/>
        <v>0.83445700269617917</v>
      </c>
      <c r="BX114"/>
      <c r="BY114"/>
    </row>
    <row r="115" spans="1:77" ht="14.7" thickBot="1">
      <c r="B115" s="71"/>
      <c r="C115" s="125"/>
      <c r="D115" s="128"/>
      <c r="E115" s="28"/>
      <c r="F115" s="137"/>
      <c r="G115" s="29"/>
      <c r="H115" s="143"/>
      <c r="I115" s="90"/>
      <c r="J115" s="98">
        <f>SUM(J6:J114)</f>
        <v>213230.00000000006</v>
      </c>
      <c r="K115" s="92">
        <f>SUBTOTAL(109,Table14314[Percentage])</f>
        <v>100.00000000000001</v>
      </c>
      <c r="L115" s="72"/>
      <c r="M115" s="91">
        <f>SUM(M6:M114)</f>
        <v>224991.19000000003</v>
      </c>
      <c r="N115" s="101">
        <f>SUBTOTAL(109,Table14314[Percentage9])</f>
        <v>99.999999999999986</v>
      </c>
      <c r="O115" s="94"/>
      <c r="P115" s="101">
        <f>SUBTOTAL(109,Table14314[Intensity11])</f>
        <v>220975.35000000003</v>
      </c>
      <c r="Q115" s="101">
        <f>SUBTOTAL(109,Table14314[Percentage912])</f>
        <v>100.00000000000001</v>
      </c>
      <c r="R115" s="72"/>
      <c r="S115" s="101">
        <f>SUBTOTAL(109,Table14314[Intensity114])</f>
        <v>223767.65</v>
      </c>
      <c r="T115" s="97">
        <f>SUBTOTAL(109,Table14314[Percentage9125])</f>
        <v>100.00000000000001</v>
      </c>
      <c r="U115" s="90"/>
      <c r="V115" s="109">
        <f>SUBTOTAL(109,Table14314[Intensity12])</f>
        <v>230889.15000000002</v>
      </c>
      <c r="W115" s="92">
        <f>SUBTOTAL(109,Table14314[Percentage913])</f>
        <v>99.999999999999972</v>
      </c>
      <c r="X115" s="93"/>
      <c r="Y115" s="91">
        <f>SUM(Y6:Y114)</f>
        <v>291972.23</v>
      </c>
      <c r="Z115" s="99">
        <f>SUBTOTAL(109,Table14314[Percentage914])</f>
        <v>100.00000000000003</v>
      </c>
      <c r="AA115" s="90"/>
      <c r="AB115" s="91">
        <f>SUM(AB6:AB114)</f>
        <v>241311.77000000002</v>
      </c>
      <c r="AC115" s="92">
        <f>SUBTOTAL(109,Table14314[Percentage915])</f>
        <v>99.999999999999986</v>
      </c>
      <c r="AD115" s="93"/>
      <c r="AE115" s="91">
        <f>SUM(AE6:AE114)</f>
        <v>280312.72000000003</v>
      </c>
      <c r="AF115" s="99">
        <f>SUBTOTAL(109,Table14314[Percentage911])</f>
        <v>100</v>
      </c>
      <c r="AG115" s="90"/>
      <c r="AH115" s="91">
        <f>SUM(AH6:AH114)</f>
        <v>208380.45000000004</v>
      </c>
      <c r="AI115" s="92">
        <f>SUBTOTAL(109,Table14314[Percentage916])</f>
        <v>99.999999999999957</v>
      </c>
      <c r="AJ115" s="93"/>
      <c r="AK115" s="91">
        <f>SUM(AK6:AK114)</f>
        <v>320399.41000000003</v>
      </c>
      <c r="AL115" s="99">
        <f>SUBTOTAL(109,Table14314[Percentage910])</f>
        <v>100.00000000000001</v>
      </c>
      <c r="AM115" s="93"/>
      <c r="AN115" s="91">
        <f>SUM(AN6:AN114)</f>
        <v>242031.93999999997</v>
      </c>
      <c r="AO115" s="92">
        <f>SUBTOTAL(109,Table14314[Percentage99])</f>
        <v>100</v>
      </c>
      <c r="AP115" s="93"/>
      <c r="AQ115" s="91">
        <f>SUM(AQ6:AQ114)</f>
        <v>257887.27</v>
      </c>
      <c r="AR115" s="109">
        <f>SUBTOTAL(109,Table14314[Percentage917])</f>
        <v>99.999999999999986</v>
      </c>
      <c r="AS115" s="90"/>
      <c r="AT115" s="91">
        <f>SUM(AT6:AT114)</f>
        <v>324494.01</v>
      </c>
      <c r="AU115" s="92">
        <f>SUBTOTAL(109,Table14314[Percentage918])</f>
        <v>99.999999999999972</v>
      </c>
      <c r="AV115" s="93"/>
      <c r="AW115" s="91">
        <f>SUM(AW6:AW114)</f>
        <v>331003.72000000003</v>
      </c>
      <c r="AX115" s="99">
        <f>SUBTOTAL(109,Table14314[Percentage919])</f>
        <v>100</v>
      </c>
      <c r="AY115" s="93"/>
      <c r="AZ115" s="91">
        <f>SUM(AZ6:AZ114)</f>
        <v>272486.95000000007</v>
      </c>
      <c r="BA115" s="92">
        <f>SUBTOTAL(109,Table14314[Percentage920])</f>
        <v>99.999999999999986</v>
      </c>
      <c r="BB115" s="93"/>
      <c r="BC115" s="91">
        <f>SUM(BC6:BC114)</f>
        <v>294265.44000000006</v>
      </c>
      <c r="BD115" s="109">
        <f>SUBTOTAL(109,Table14314[Percentage921])</f>
        <v>99.999999999999957</v>
      </c>
      <c r="BE115" s="90"/>
      <c r="BF115" s="91">
        <f>SUM(BF6:BF114)</f>
        <v>231787.57</v>
      </c>
      <c r="BG115" s="92">
        <f>SUBTOTAL(109,Table14314[Percentage922])</f>
        <v>100.00000000000001</v>
      </c>
      <c r="BH115" s="93"/>
      <c r="BI115" s="91">
        <f>SUM(BI6:BI114)</f>
        <v>248776.17000000004</v>
      </c>
      <c r="BJ115" s="99">
        <f>SUBTOTAL(109,Table14314[Percentage98])</f>
        <v>99.999999999999972</v>
      </c>
      <c r="BK115" s="93"/>
      <c r="BL115" s="91">
        <f>SUM(BL6:BL114)</f>
        <v>219204.59000000003</v>
      </c>
      <c r="BM115" s="92">
        <f>SUBTOTAL(109,Table14314[Percentage923])</f>
        <v>100</v>
      </c>
      <c r="BN115" s="93"/>
      <c r="BO115" s="91">
        <f>SUM(BO6:BO114)</f>
        <v>268214.15999999997</v>
      </c>
      <c r="BP115" s="109">
        <f>SUBTOTAL(109,Table14314[Percentage924])</f>
        <v>99.999999999999986</v>
      </c>
      <c r="BQ115" s="90"/>
      <c r="BR115" s="91">
        <f>SUM(BR6:BR114)</f>
        <v>249227.43999999994</v>
      </c>
      <c r="BS115" s="92">
        <f>SUBTOTAL(109,Table14314[Percentage925])</f>
        <v>100.00000000000001</v>
      </c>
      <c r="BT115" s="93"/>
      <c r="BU115" s="91">
        <f>SUM(BU6:BU114)</f>
        <v>255092.83200000002</v>
      </c>
      <c r="BV115" s="99">
        <f>SUBTOTAL(109,Table14314[Percentage926])</f>
        <v>100</v>
      </c>
      <c r="BX115"/>
      <c r="BY115"/>
    </row>
    <row r="116" spans="1:77">
      <c r="A116"/>
      <c r="B116"/>
      <c r="C116" t="s">
        <v>550</v>
      </c>
      <c r="D116"/>
      <c r="E116"/>
      <c r="F116"/>
      <c r="AG116"/>
      <c r="AJ116"/>
      <c r="AK116"/>
      <c r="AL116"/>
      <c r="AM116"/>
    </row>
    <row r="117" spans="1:77">
      <c r="A117"/>
      <c r="B117"/>
      <c r="C117" t="s">
        <v>615</v>
      </c>
      <c r="D117"/>
      <c r="E117"/>
      <c r="F117"/>
      <c r="AG117"/>
      <c r="AJ117"/>
      <c r="AK117"/>
      <c r="AL117"/>
      <c r="AM117"/>
    </row>
    <row r="118" spans="1:77" ht="20.7">
      <c r="A118"/>
      <c r="B118" s="19" t="s">
        <v>528</v>
      </c>
      <c r="C118"/>
      <c r="D118"/>
      <c r="E118"/>
      <c r="F118"/>
      <c r="AG118"/>
      <c r="AJ118"/>
      <c r="AK118"/>
      <c r="AL118"/>
      <c r="AM118"/>
      <c r="AS118" s="10"/>
      <c r="BE118"/>
      <c r="BK118"/>
      <c r="BQ118" s="10"/>
      <c r="BX118"/>
      <c r="BY118"/>
    </row>
    <row r="119" spans="1:77">
      <c r="B119" s="1" t="s">
        <v>529</v>
      </c>
      <c r="C119" s="172" t="s">
        <v>530</v>
      </c>
      <c r="D119" s="172"/>
      <c r="E119" s="172"/>
      <c r="F119" s="172"/>
      <c r="G119" s="172"/>
      <c r="AG119"/>
      <c r="AJ119"/>
      <c r="AK119"/>
      <c r="AL119"/>
      <c r="AM119"/>
    </row>
    <row r="120" spans="1:77">
      <c r="B120" s="1" t="s">
        <v>531</v>
      </c>
      <c r="C120" s="172" t="s">
        <v>532</v>
      </c>
      <c r="D120" s="172"/>
      <c r="E120" s="172"/>
      <c r="F120" s="172"/>
      <c r="G120" s="172"/>
      <c r="AG120"/>
      <c r="AJ120"/>
      <c r="AK120"/>
      <c r="AL120"/>
      <c r="AM120"/>
    </row>
    <row r="121" spans="1:77">
      <c r="B121" s="1" t="s">
        <v>533</v>
      </c>
      <c r="C121" s="172" t="s">
        <v>534</v>
      </c>
      <c r="D121" s="172"/>
      <c r="E121" s="172"/>
      <c r="F121" s="172"/>
      <c r="G121" s="172"/>
      <c r="H121" s="172"/>
      <c r="I121" s="172"/>
      <c r="J121" s="172"/>
      <c r="K121" s="172"/>
      <c r="L121" s="172"/>
      <c r="M121" s="172"/>
      <c r="N121" s="172"/>
      <c r="O121" s="172"/>
      <c r="P121" s="172"/>
      <c r="Q121" s="172"/>
      <c r="R121" s="172"/>
      <c r="S121" s="172"/>
      <c r="T121" s="172"/>
      <c r="U121" s="172"/>
      <c r="V121" s="172"/>
      <c r="W121" s="172"/>
      <c r="X121" s="172"/>
      <c r="Y121" s="172"/>
      <c r="Z121" s="172"/>
      <c r="AA121" s="172"/>
      <c r="AB121" s="172"/>
      <c r="AC121" s="172"/>
      <c r="AD121" s="172"/>
      <c r="AE121" s="172"/>
      <c r="AF121" s="172"/>
      <c r="AG121" s="172"/>
      <c r="AH121" s="172"/>
      <c r="AI121" s="172"/>
      <c r="AJ121" s="172"/>
      <c r="AK121"/>
      <c r="AL121"/>
      <c r="AM121"/>
    </row>
    <row r="122" spans="1:77">
      <c r="B122"/>
      <c r="C122" s="172" t="s">
        <v>535</v>
      </c>
      <c r="D122" s="172"/>
      <c r="E122" s="172"/>
      <c r="F122" s="172"/>
      <c r="G122" s="172"/>
      <c r="H122" s="172"/>
      <c r="I122" s="172"/>
      <c r="J122" s="172"/>
      <c r="K122" s="172"/>
      <c r="L122" s="172"/>
      <c r="M122" s="172"/>
      <c r="N122" s="172"/>
      <c r="O122" s="172"/>
      <c r="P122" s="172"/>
      <c r="Q122" s="172"/>
      <c r="R122" s="172"/>
      <c r="S122" s="172"/>
      <c r="T122" s="172"/>
      <c r="U122" s="172"/>
      <c r="V122" s="172"/>
      <c r="W122" s="172"/>
      <c r="X122" s="172"/>
      <c r="Y122" s="172"/>
      <c r="Z122" s="172"/>
      <c r="AA122" s="172"/>
      <c r="AB122" s="172"/>
      <c r="AC122" s="172"/>
      <c r="AD122" s="172"/>
      <c r="AE122" s="172"/>
      <c r="AF122" s="172"/>
      <c r="AG122" s="172"/>
      <c r="AH122" s="172"/>
      <c r="AI122" s="172"/>
      <c r="AJ122"/>
      <c r="AK122"/>
      <c r="AL122"/>
      <c r="AM122"/>
    </row>
    <row r="123" spans="1:77">
      <c r="B123" s="1" t="s">
        <v>536</v>
      </c>
      <c r="C123" t="s">
        <v>618</v>
      </c>
      <c r="D123"/>
      <c r="E123"/>
      <c r="F123"/>
      <c r="AG123"/>
      <c r="AJ123"/>
      <c r="AK123"/>
      <c r="AL123"/>
      <c r="AM123"/>
    </row>
    <row r="124" spans="1:77">
      <c r="B124" s="1" t="s">
        <v>537</v>
      </c>
      <c r="C124" t="s">
        <v>538</v>
      </c>
      <c r="D124"/>
      <c r="E124"/>
      <c r="F124"/>
      <c r="AG124"/>
      <c r="AJ124"/>
      <c r="AK124"/>
      <c r="AL124"/>
      <c r="AM124"/>
    </row>
    <row r="125" spans="1:77">
      <c r="B125" s="1" t="s">
        <v>539</v>
      </c>
      <c r="C125" s="172" t="s">
        <v>540</v>
      </c>
      <c r="D125" s="172"/>
      <c r="E125"/>
      <c r="F125"/>
      <c r="AG125"/>
      <c r="AJ125"/>
      <c r="AK125"/>
      <c r="AL125"/>
      <c r="AM125"/>
    </row>
    <row r="126" spans="1:77">
      <c r="B126" s="1" t="s">
        <v>541</v>
      </c>
      <c r="C126" s="172" t="s">
        <v>542</v>
      </c>
      <c r="D126" s="172"/>
      <c r="E126" s="172"/>
      <c r="F126" s="172"/>
      <c r="G126" s="172"/>
      <c r="H126" s="172"/>
      <c r="I126" s="172"/>
      <c r="J126" s="172"/>
      <c r="K126" s="172"/>
      <c r="L126" s="172"/>
      <c r="M126" s="172"/>
      <c r="N126" s="172"/>
      <c r="O126" s="172"/>
      <c r="P126" s="172"/>
      <c r="Q126" s="172"/>
      <c r="R126" s="172"/>
      <c r="S126" s="172"/>
      <c r="T126" s="172"/>
      <c r="U126" s="172"/>
      <c r="V126" s="172"/>
      <c r="W126" s="172"/>
      <c r="X126" s="172"/>
      <c r="Y126" s="172"/>
      <c r="Z126" s="172"/>
      <c r="AA126" s="172"/>
      <c r="AB126" s="172"/>
      <c r="AC126" s="172"/>
      <c r="AD126" s="172"/>
      <c r="AE126" s="172"/>
      <c r="AF126" s="172"/>
      <c r="AG126" s="172"/>
      <c r="AH126" s="172"/>
      <c r="AI126" s="172"/>
      <c r="AJ126" s="10"/>
      <c r="AK126" s="10"/>
      <c r="AL126"/>
      <c r="AM126"/>
    </row>
    <row r="127" spans="1:77">
      <c r="B127" s="1"/>
      <c r="C127" s="172"/>
      <c r="D127" s="172"/>
      <c r="E127"/>
      <c r="F127"/>
      <c r="AG127"/>
      <c r="AJ127"/>
      <c r="AK127"/>
      <c r="AL127"/>
      <c r="AM127"/>
    </row>
    <row r="129" spans="2:39">
      <c r="B129" s="43"/>
      <c r="C129" s="171" t="s">
        <v>611</v>
      </c>
      <c r="D129" s="172"/>
      <c r="E129"/>
      <c r="F129"/>
      <c r="AG129"/>
      <c r="AJ129"/>
      <c r="AK129"/>
      <c r="AL129"/>
      <c r="AM129"/>
    </row>
    <row r="130" spans="2:39">
      <c r="B130" s="40"/>
      <c r="C130" s="171" t="s">
        <v>612</v>
      </c>
      <c r="D130" s="172"/>
      <c r="E130"/>
      <c r="F130"/>
      <c r="AG130"/>
      <c r="AJ130"/>
      <c r="AK130"/>
      <c r="AL130"/>
      <c r="AM130"/>
    </row>
    <row r="131" spans="2:39">
      <c r="B131" s="44"/>
      <c r="C131" s="171" t="s">
        <v>616</v>
      </c>
      <c r="D131" s="172"/>
      <c r="E131"/>
      <c r="F131"/>
      <c r="AG131"/>
      <c r="AJ131"/>
      <c r="AK131"/>
      <c r="AL131"/>
      <c r="AM131"/>
    </row>
  </sheetData>
  <mergeCells count="46">
    <mergeCell ref="B1:F1"/>
    <mergeCell ref="O3:AF3"/>
    <mergeCell ref="AG3:BV3"/>
    <mergeCell ref="C131:D131"/>
    <mergeCell ref="C125:D125"/>
    <mergeCell ref="C126:AI126"/>
    <mergeCell ref="C127:D127"/>
    <mergeCell ref="C129:D129"/>
    <mergeCell ref="I4:N4"/>
    <mergeCell ref="I5:K5"/>
    <mergeCell ref="L5:N5"/>
    <mergeCell ref="O4:T4"/>
    <mergeCell ref="C130:D130"/>
    <mergeCell ref="C122:AI122"/>
    <mergeCell ref="C121:AJ121"/>
    <mergeCell ref="C119:G119"/>
    <mergeCell ref="C120:G120"/>
    <mergeCell ref="U4:Z4"/>
    <mergeCell ref="AA4:AF4"/>
    <mergeCell ref="AG4:AL4"/>
    <mergeCell ref="AM4:AR4"/>
    <mergeCell ref="AS4:AX4"/>
    <mergeCell ref="AY4:BD4"/>
    <mergeCell ref="BE4:BJ4"/>
    <mergeCell ref="BK4:BP4"/>
    <mergeCell ref="BQ4:BV4"/>
    <mergeCell ref="O5:Q5"/>
    <mergeCell ref="R5:T5"/>
    <mergeCell ref="U5:W5"/>
    <mergeCell ref="X5:Z5"/>
    <mergeCell ref="AA5:AC5"/>
    <mergeCell ref="AD5:AF5"/>
    <mergeCell ref="AG5:AI5"/>
    <mergeCell ref="AJ5:AL5"/>
    <mergeCell ref="AM5:AO5"/>
    <mergeCell ref="AP5:AR5"/>
    <mergeCell ref="AS5:AU5"/>
    <mergeCell ref="AV5:AX5"/>
    <mergeCell ref="BN5:BP5"/>
    <mergeCell ref="BQ5:BS5"/>
    <mergeCell ref="BT5:BV5"/>
    <mergeCell ref="AY5:BA5"/>
    <mergeCell ref="BB5:BD5"/>
    <mergeCell ref="BE5:BG5"/>
    <mergeCell ref="BH5:BJ5"/>
    <mergeCell ref="BK5:BM5"/>
  </mergeCells>
  <phoneticPr fontId="16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S5</vt:lpstr>
    </vt:vector>
  </TitlesOfParts>
  <Company>Gothenburg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Sofia de Jesus Vaz Luis</dc:creator>
  <cp:lastModifiedBy>Ana Sofia de Jesus Vaz Luis</cp:lastModifiedBy>
  <dcterms:created xsi:type="dcterms:W3CDTF">2023-05-31T08:07:24Z</dcterms:created>
  <dcterms:modified xsi:type="dcterms:W3CDTF">2025-11-20T15:54:16Z</dcterms:modified>
</cp:coreProperties>
</file>