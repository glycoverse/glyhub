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ana_luis_medkem_gu_se/Documents/Dokument/MyPapers/Enzyme paper/X_First submission_Cell/"/>
    </mc:Choice>
  </mc:AlternateContent>
  <xr:revisionPtr revIDLastSave="52" documentId="8_{9D1AFD9A-C952-4DE8-8838-5CCA5B0D61F8}" xr6:coauthVersionLast="47" xr6:coauthVersionMax="47" xr10:uidLastSave="{B6B3343C-18B2-4AB5-8B5C-587B645DA7EC}"/>
  <bookViews>
    <workbookView xWindow="-93" yWindow="-93" windowWidth="25786" windowHeight="15466" xr2:uid="{00000000-000D-0000-FFFF-FFFF00000000}"/>
  </bookViews>
  <sheets>
    <sheet name="Table S7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3" i="4" l="1"/>
  <c r="H30" i="4" s="1"/>
  <c r="V83" i="4"/>
  <c r="W78" i="4" s="1"/>
  <c r="S83" i="4"/>
  <c r="T33" i="4" s="1"/>
  <c r="P83" i="4"/>
  <c r="Q81" i="4" s="1"/>
  <c r="M83" i="4"/>
  <c r="N36" i="4" s="1"/>
  <c r="T75" i="4"/>
  <c r="T72" i="4"/>
  <c r="T68" i="4"/>
  <c r="T67" i="4"/>
  <c r="T64" i="4"/>
  <c r="T63" i="4"/>
  <c r="H60" i="4"/>
  <c r="T60" i="4"/>
  <c r="H53" i="4"/>
  <c r="T53" i="4"/>
  <c r="T52" i="4"/>
  <c r="T51" i="4"/>
  <c r="H49" i="4"/>
  <c r="H48" i="4"/>
  <c r="T48" i="4"/>
  <c r="T45" i="4"/>
  <c r="T44" i="4"/>
  <c r="H43" i="4"/>
  <c r="T43" i="4"/>
  <c r="T40" i="4"/>
  <c r="T39" i="4"/>
  <c r="T38" i="4"/>
  <c r="H37" i="4"/>
  <c r="J36" i="4"/>
  <c r="J83" i="4" s="1"/>
  <c r="T35" i="4"/>
  <c r="H33" i="4"/>
  <c r="H32" i="4"/>
  <c r="T32" i="4"/>
  <c r="T31" i="4"/>
  <c r="T30" i="4"/>
  <c r="T29" i="4"/>
  <c r="H27" i="4"/>
  <c r="T27" i="4"/>
  <c r="H26" i="4"/>
  <c r="H25" i="4"/>
  <c r="H24" i="4"/>
  <c r="T24" i="4"/>
  <c r="T23" i="4"/>
  <c r="T22" i="4"/>
  <c r="T21" i="4"/>
  <c r="H20" i="4"/>
  <c r="T20" i="4"/>
  <c r="H19" i="4"/>
  <c r="T19" i="4"/>
  <c r="T16" i="4"/>
  <c r="T15" i="4"/>
  <c r="T14" i="4"/>
  <c r="H13" i="4"/>
  <c r="T13" i="4"/>
  <c r="T12" i="4"/>
  <c r="T11" i="4"/>
  <c r="H10" i="4"/>
  <c r="T10" i="4"/>
  <c r="H9" i="4"/>
  <c r="H8" i="4"/>
  <c r="T8" i="4"/>
  <c r="T7" i="4"/>
  <c r="T6" i="4"/>
  <c r="H72" i="4" l="1"/>
  <c r="T37" i="4"/>
  <c r="T55" i="4"/>
  <c r="T56" i="4"/>
  <c r="T76" i="4"/>
  <c r="T77" i="4"/>
  <c r="T54" i="4"/>
  <c r="H77" i="4"/>
  <c r="T79" i="4"/>
  <c r="T46" i="4"/>
  <c r="H65" i="4"/>
  <c r="T47" i="4"/>
  <c r="H66" i="4"/>
  <c r="Q16" i="4"/>
  <c r="Q27" i="4"/>
  <c r="Q11" i="4"/>
  <c r="Q39" i="4"/>
  <c r="Q51" i="4"/>
  <c r="Q7" i="4"/>
  <c r="Q19" i="4"/>
  <c r="Q63" i="4"/>
  <c r="Q60" i="4"/>
  <c r="Q40" i="4"/>
  <c r="Q52" i="4"/>
  <c r="Q23" i="4"/>
  <c r="Q64" i="4"/>
  <c r="Q31" i="4"/>
  <c r="Q53" i="4"/>
  <c r="H64" i="4"/>
  <c r="Q80" i="4"/>
  <c r="Q32" i="4"/>
  <c r="Q44" i="4"/>
  <c r="T80" i="4"/>
  <c r="Q67" i="4"/>
  <c r="Q24" i="4"/>
  <c r="Q56" i="4"/>
  <c r="Q55" i="4"/>
  <c r="Q47" i="4"/>
  <c r="Q69" i="4"/>
  <c r="Q37" i="4"/>
  <c r="Q59" i="4"/>
  <c r="T71" i="4"/>
  <c r="Q45" i="4"/>
  <c r="T59" i="4"/>
  <c r="Q72" i="4"/>
  <c r="W77" i="4"/>
  <c r="W80" i="4"/>
  <c r="W81" i="4"/>
  <c r="W82" i="4"/>
  <c r="W49" i="4"/>
  <c r="N63" i="4"/>
  <c r="N16" i="4"/>
  <c r="W29" i="4"/>
  <c r="W23" i="4"/>
  <c r="W56" i="4"/>
  <c r="W31" i="4"/>
  <c r="W51" i="4"/>
  <c r="N39" i="4"/>
  <c r="W12" i="4"/>
  <c r="W73" i="4"/>
  <c r="N7" i="4"/>
  <c r="W32" i="4"/>
  <c r="N47" i="4"/>
  <c r="W66" i="4"/>
  <c r="W74" i="4"/>
  <c r="W68" i="4"/>
  <c r="W57" i="4"/>
  <c r="W13" i="4"/>
  <c r="Q75" i="4"/>
  <c r="W8" i="4"/>
  <c r="W28" i="4"/>
  <c r="W36" i="4"/>
  <c r="W61" i="4"/>
  <c r="N23" i="4"/>
  <c r="W43" i="4"/>
  <c r="W50" i="4"/>
  <c r="W69" i="4"/>
  <c r="W16" i="4"/>
  <c r="W58" i="4"/>
  <c r="W64" i="4"/>
  <c r="W11" i="4"/>
  <c r="N32" i="4"/>
  <c r="W72" i="4"/>
  <c r="W19" i="4"/>
  <c r="W24" i="4"/>
  <c r="W45" i="4"/>
  <c r="W65" i="4"/>
  <c r="W52" i="4"/>
  <c r="W59" i="4"/>
  <c r="W20" i="4"/>
  <c r="Q76" i="4"/>
  <c r="W15" i="4"/>
  <c r="W37" i="4"/>
  <c r="N24" i="4"/>
  <c r="W44" i="4"/>
  <c r="W40" i="4"/>
  <c r="W53" i="4"/>
  <c r="W60" i="4"/>
  <c r="W7" i="4"/>
  <c r="Q35" i="4"/>
  <c r="W41" i="4"/>
  <c r="Q48" i="4"/>
  <c r="Q8" i="4"/>
  <c r="N15" i="4"/>
  <c r="W21" i="4"/>
  <c r="W42" i="4"/>
  <c r="Q61" i="4"/>
  <c r="W67" i="4"/>
  <c r="Q15" i="4"/>
  <c r="H21" i="4"/>
  <c r="T28" i="4"/>
  <c r="T36" i="4"/>
  <c r="Q43" i="4"/>
  <c r="W48" i="4"/>
  <c r="N55" i="4"/>
  <c r="T61" i="4"/>
  <c r="Q68" i="4"/>
  <c r="Q77" i="4"/>
  <c r="H16" i="4"/>
  <c r="H45" i="4"/>
  <c r="H17" i="4"/>
  <c r="H29" i="4"/>
  <c r="H68" i="4"/>
  <c r="H41" i="4"/>
  <c r="H57" i="4"/>
  <c r="H12" i="4"/>
  <c r="N31" i="4"/>
  <c r="H36" i="4"/>
  <c r="T69" i="4"/>
  <c r="W76" i="4"/>
  <c r="H44" i="4"/>
  <c r="H50" i="4"/>
  <c r="H73" i="4"/>
  <c r="H28" i="4"/>
  <c r="H35" i="4"/>
  <c r="H51" i="4"/>
  <c r="H7" i="4"/>
  <c r="H52" i="4"/>
  <c r="H76" i="4"/>
  <c r="H34" i="4"/>
  <c r="H80" i="4"/>
  <c r="H74" i="4"/>
  <c r="H61" i="4"/>
  <c r="H81" i="4"/>
  <c r="H11" i="4"/>
  <c r="H40" i="4"/>
  <c r="H56" i="4"/>
  <c r="H82" i="4"/>
  <c r="H18" i="4"/>
  <c r="H42" i="4"/>
  <c r="H58" i="4"/>
  <c r="N8" i="4"/>
  <c r="H69" i="4"/>
  <c r="K75" i="4"/>
  <c r="K67" i="4"/>
  <c r="K59" i="4"/>
  <c r="K51" i="4"/>
  <c r="K43" i="4"/>
  <c r="K27" i="4"/>
  <c r="K19" i="4"/>
  <c r="K80" i="4"/>
  <c r="K72" i="4"/>
  <c r="K64" i="4"/>
  <c r="K48" i="4"/>
  <c r="K37" i="4"/>
  <c r="K29" i="4"/>
  <c r="K13" i="4"/>
  <c r="K82" i="4"/>
  <c r="K74" i="4"/>
  <c r="K58" i="4"/>
  <c r="K50" i="4"/>
  <c r="K34" i="4"/>
  <c r="K18" i="4"/>
  <c r="K79" i="4"/>
  <c r="K71" i="4"/>
  <c r="K63" i="4"/>
  <c r="K47" i="4"/>
  <c r="K39" i="4"/>
  <c r="K70" i="4"/>
  <c r="K32" i="4"/>
  <c r="K24" i="4"/>
  <c r="K16" i="4"/>
  <c r="K8" i="4"/>
  <c r="K77" i="4"/>
  <c r="K69" i="4"/>
  <c r="K21" i="4"/>
  <c r="K66" i="4"/>
  <c r="K42" i="4"/>
  <c r="K26" i="4"/>
  <c r="K10" i="4"/>
  <c r="K55" i="4"/>
  <c r="K31" i="4"/>
  <c r="K23" i="4"/>
  <c r="K15" i="4"/>
  <c r="K7" i="4"/>
  <c r="K60" i="4"/>
  <c r="K52" i="4"/>
  <c r="K44" i="4"/>
  <c r="K20" i="4"/>
  <c r="K65" i="4"/>
  <c r="K57" i="4"/>
  <c r="K17" i="4"/>
  <c r="K9" i="4"/>
  <c r="K46" i="4"/>
  <c r="K38" i="4"/>
  <c r="K76" i="4"/>
  <c r="K68" i="4"/>
  <c r="K28" i="4"/>
  <c r="K12" i="4"/>
  <c r="K81" i="4"/>
  <c r="K73" i="4"/>
  <c r="K49" i="4"/>
  <c r="K41" i="4"/>
  <c r="K33" i="4"/>
  <c r="K25" i="4"/>
  <c r="K78" i="4"/>
  <c r="K62" i="4"/>
  <c r="K54" i="4"/>
  <c r="K30" i="4"/>
  <c r="K22" i="4"/>
  <c r="K14" i="4"/>
  <c r="K6" i="4"/>
  <c r="K35" i="4"/>
  <c r="K11" i="4"/>
  <c r="K56" i="4"/>
  <c r="K40" i="4"/>
  <c r="K61" i="4"/>
  <c r="K53" i="4"/>
  <c r="K45" i="4"/>
  <c r="N22" i="4"/>
  <c r="N30" i="4"/>
  <c r="N9" i="4"/>
  <c r="Q46" i="4"/>
  <c r="Q9" i="4"/>
  <c r="Q17" i="4"/>
  <c r="W22" i="4"/>
  <c r="Q25" i="4"/>
  <c r="W30" i="4"/>
  <c r="N41" i="4"/>
  <c r="N49" i="4"/>
  <c r="W9" i="4"/>
  <c r="Q12" i="4"/>
  <c r="W17" i="4"/>
  <c r="Q20" i="4"/>
  <c r="W25" i="4"/>
  <c r="Q28" i="4"/>
  <c r="W33" i="4"/>
  <c r="Q36" i="4"/>
  <c r="H38" i="4"/>
  <c r="T41" i="4"/>
  <c r="N44" i="4"/>
  <c r="H46" i="4"/>
  <c r="T49" i="4"/>
  <c r="N52" i="4"/>
  <c r="H54" i="4"/>
  <c r="T57" i="4"/>
  <c r="N60" i="4"/>
  <c r="H62" i="4"/>
  <c r="T65" i="4"/>
  <c r="N68" i="4"/>
  <c r="H70" i="4"/>
  <c r="T73" i="4"/>
  <c r="N76" i="4"/>
  <c r="H78" i="4"/>
  <c r="T81" i="4"/>
  <c r="N79" i="4"/>
  <c r="N26" i="4"/>
  <c r="Q10" i="4"/>
  <c r="Q18" i="4"/>
  <c r="Q34" i="4"/>
  <c r="N58" i="4"/>
  <c r="N74" i="4"/>
  <c r="N13" i="4"/>
  <c r="T18" i="4"/>
  <c r="T26" i="4"/>
  <c r="T34" i="4"/>
  <c r="W39" i="4"/>
  <c r="Q42" i="4"/>
  <c r="W47" i="4"/>
  <c r="Q50" i="4"/>
  <c r="W55" i="4"/>
  <c r="Q58" i="4"/>
  <c r="W63" i="4"/>
  <c r="Q66" i="4"/>
  <c r="W71" i="4"/>
  <c r="Q74" i="4"/>
  <c r="W79" i="4"/>
  <c r="Q82" i="4"/>
  <c r="N71" i="4"/>
  <c r="N10" i="4"/>
  <c r="N18" i="4"/>
  <c r="N34" i="4"/>
  <c r="Q71" i="4"/>
  <c r="Q79" i="4"/>
  <c r="Q26" i="4"/>
  <c r="N42" i="4"/>
  <c r="N50" i="4"/>
  <c r="N66" i="4"/>
  <c r="N82" i="4"/>
  <c r="H15" i="4"/>
  <c r="N21" i="4"/>
  <c r="H23" i="4"/>
  <c r="N29" i="4"/>
  <c r="H31" i="4"/>
  <c r="K36" i="4"/>
  <c r="W10" i="4"/>
  <c r="Q13" i="4"/>
  <c r="W18" i="4"/>
  <c r="Q21" i="4"/>
  <c r="W26" i="4"/>
  <c r="Q29" i="4"/>
  <c r="W34" i="4"/>
  <c r="N37" i="4"/>
  <c r="H39" i="4"/>
  <c r="T42" i="4"/>
  <c r="N45" i="4"/>
  <c r="H47" i="4"/>
  <c r="T50" i="4"/>
  <c r="N53" i="4"/>
  <c r="H55" i="4"/>
  <c r="T58" i="4"/>
  <c r="N61" i="4"/>
  <c r="H63" i="4"/>
  <c r="T66" i="4"/>
  <c r="N69" i="4"/>
  <c r="H71" i="4"/>
  <c r="T74" i="4"/>
  <c r="N77" i="4"/>
  <c r="H79" i="4"/>
  <c r="T82" i="4"/>
  <c r="N40" i="4"/>
  <c r="N48" i="4"/>
  <c r="N64" i="4"/>
  <c r="N11" i="4"/>
  <c r="N27" i="4"/>
  <c r="N43" i="4"/>
  <c r="N59" i="4"/>
  <c r="N6" i="4"/>
  <c r="N14" i="4"/>
  <c r="Q6" i="4"/>
  <c r="Q14" i="4"/>
  <c r="Q22" i="4"/>
  <c r="W27" i="4"/>
  <c r="Q30" i="4"/>
  <c r="W35" i="4"/>
  <c r="N38" i="4"/>
  <c r="N46" i="4"/>
  <c r="N54" i="4"/>
  <c r="N62" i="4"/>
  <c r="N70" i="4"/>
  <c r="N78" i="4"/>
  <c r="N56" i="4"/>
  <c r="N72" i="4"/>
  <c r="N80" i="4"/>
  <c r="N19" i="4"/>
  <c r="N35" i="4"/>
  <c r="N51" i="4"/>
  <c r="N67" i="4"/>
  <c r="N75" i="4"/>
  <c r="N17" i="4"/>
  <c r="N25" i="4"/>
  <c r="N33" i="4"/>
  <c r="Q38" i="4"/>
  <c r="Q54" i="4"/>
  <c r="Q62" i="4"/>
  <c r="Q70" i="4"/>
  <c r="W75" i="4"/>
  <c r="Q78" i="4"/>
  <c r="W6" i="4"/>
  <c r="W14" i="4"/>
  <c r="Q33" i="4"/>
  <c r="N57" i="4"/>
  <c r="H59" i="4"/>
  <c r="T62" i="4"/>
  <c r="N65" i="4"/>
  <c r="H67" i="4"/>
  <c r="T70" i="4"/>
  <c r="N73" i="4"/>
  <c r="H75" i="4"/>
  <c r="T78" i="4"/>
  <c r="N81" i="4"/>
  <c r="H6" i="4"/>
  <c r="T9" i="4"/>
  <c r="N12" i="4"/>
  <c r="H14" i="4"/>
  <c r="T17" i="4"/>
  <c r="N20" i="4"/>
  <c r="H22" i="4"/>
  <c r="T25" i="4"/>
  <c r="N28" i="4"/>
  <c r="W38" i="4"/>
  <c r="Q41" i="4"/>
  <c r="W46" i="4"/>
  <c r="Q49" i="4"/>
  <c r="W54" i="4"/>
  <c r="Q57" i="4"/>
  <c r="W62" i="4"/>
  <c r="Q65" i="4"/>
  <c r="W70" i="4"/>
  <c r="Q73" i="4"/>
</calcChain>
</file>

<file path=xl/sharedStrings.xml><?xml version="1.0" encoding="utf-8"?>
<sst xmlns="http://schemas.openxmlformats.org/spreadsheetml/2006/main" count="448" uniqueCount="301">
  <si>
    <r>
      <t>Mass</t>
    </r>
    <r>
      <rPr>
        <vertAlign val="superscript"/>
        <sz val="11"/>
        <color theme="1"/>
        <rFont val="Calibri"/>
        <family val="2"/>
      </rPr>
      <t>[1]</t>
    </r>
  </si>
  <si>
    <r>
      <t>Composition</t>
    </r>
    <r>
      <rPr>
        <vertAlign val="superscript"/>
        <sz val="11"/>
        <color theme="1"/>
        <rFont val="Calibri"/>
        <family val="2"/>
      </rPr>
      <t>[2]</t>
    </r>
  </si>
  <si>
    <r>
      <t xml:space="preserve">Putative structures </t>
    </r>
    <r>
      <rPr>
        <vertAlign val="superscript"/>
        <sz val="11"/>
        <color theme="1"/>
        <rFont val="Calibri"/>
        <family val="2"/>
      </rPr>
      <t>[3]</t>
    </r>
  </si>
  <si>
    <t>nd</t>
  </si>
  <si>
    <t>Hex1HexNAc1deHex1</t>
  </si>
  <si>
    <t>Fucα1-2Galβ1-3GalNAcol</t>
  </si>
  <si>
    <t>587-1</t>
  </si>
  <si>
    <t>Hex1HexNAc2</t>
  </si>
  <si>
    <t>Galβ1-3(GlcNAcβ1-6)GalNAcol</t>
  </si>
  <si>
    <t>587-2</t>
  </si>
  <si>
    <t>Hex1HexNAc2Sul1</t>
  </si>
  <si>
    <t>675-1</t>
  </si>
  <si>
    <t>NeuAc1Hex1HexNAc1</t>
  </si>
  <si>
    <t>Galβ1-3(NeuAcα2-6)GalNAcol</t>
  </si>
  <si>
    <t>675-2</t>
  </si>
  <si>
    <t>NeuAcα2-3Galβ1-3GalNAcol</t>
  </si>
  <si>
    <t>733-1</t>
  </si>
  <si>
    <t>Hex1HexNAc2deHex1</t>
  </si>
  <si>
    <t>733-2</t>
  </si>
  <si>
    <t>Fucα1-2Galβ1-3(GlcNAcβ1-6)GalNAcol</t>
  </si>
  <si>
    <t>Hex2HexNAc2</t>
  </si>
  <si>
    <t>Hex1HexNAc3</t>
  </si>
  <si>
    <r>
      <t>Fuc</t>
    </r>
    <r>
      <rPr>
        <sz val="11"/>
        <color theme="1"/>
        <rFont val="Calibri"/>
        <family val="2"/>
      </rPr>
      <t>α1-2Galβ1-3(NeuAcα2-6)GalNAcol</t>
    </r>
  </si>
  <si>
    <t>NeuAc1Hex1HexNAc2</t>
  </si>
  <si>
    <t>Hex2HexNAc2deHex1</t>
  </si>
  <si>
    <t>Hex1HexNAc3deHex1</t>
  </si>
  <si>
    <t>Hex2HexNAc2deHex2</t>
  </si>
  <si>
    <t>Hex2HexNAc2deHex2Sul1</t>
  </si>
  <si>
    <t>NeuAc1Hex2HexNAc2deHex1</t>
  </si>
  <si>
    <t>384-2</t>
  </si>
  <si>
    <t>Hex1HexNAc1</t>
  </si>
  <si>
    <t>530-1</t>
  </si>
  <si>
    <t>530-2</t>
  </si>
  <si>
    <t>Galβ1-3(6SGlcNAcβ1-6)GalNAcol</t>
  </si>
  <si>
    <t>Galβ1-3(Galβ1-4GlcNAcβ1-6)GalNAcol</t>
  </si>
  <si>
    <t>Hex1HexNAc3deHex1Sul1</t>
  </si>
  <si>
    <t>Fucα1-2Galβ1-3[Fucα1-2Galβ1-4(6S)GlcNAcβ1-6]GalNAcol</t>
  </si>
  <si>
    <t>NeuAc1Hex1HexNAc1deHex1</t>
  </si>
  <si>
    <t>1186-2</t>
  </si>
  <si>
    <t>1016-2</t>
  </si>
  <si>
    <t>Fucα1-2Galβ1-3(Galβ1-4GlcNAcβ1-6)GalNAcol</t>
  </si>
  <si>
    <t>C6GlcNAc</t>
  </si>
  <si>
    <t>GlcNAcα1-4Galβ1-3GalNAcol</t>
  </si>
  <si>
    <t>A4GlcNAc</t>
  </si>
  <si>
    <t>6S-C6GlcNAc</t>
  </si>
  <si>
    <t>749-1</t>
  </si>
  <si>
    <t>GlcNAcα1-4Galβ1-4GlcNAcβ1-3Galol</t>
  </si>
  <si>
    <t>749-2</t>
  </si>
  <si>
    <t>17.58*</t>
  </si>
  <si>
    <t>749-3</t>
  </si>
  <si>
    <t>Galβ1-4GlcNAcβ1-3Galβ1-3GalNAcol</t>
  </si>
  <si>
    <t>18.23*</t>
  </si>
  <si>
    <t>GlcNAcα1-4Galβ1-3(GlcNAcβ1-6)GalNAcol</t>
  </si>
  <si>
    <t>A4GlcNAc/C6GlcNAc</t>
  </si>
  <si>
    <t>Hex1HexNAc2deHex1Sul1</t>
  </si>
  <si>
    <t>Fucα1-2Galβ1-3(6SGlcNAcβ1-6)GalNAcol</t>
  </si>
  <si>
    <r>
      <t>GlcNAc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1-4Galβ1-3(NeuAcα2-6)GalNAcol</t>
    </r>
  </si>
  <si>
    <t>895-2</t>
  </si>
  <si>
    <t>Fucα1-2Galβ1-4GlcNAcβ1-3Galβ1-3GalNAcol</t>
  </si>
  <si>
    <t>895-3</t>
  </si>
  <si>
    <t>Galβ1-3(Fucα1-2Galβ1-4GlcNAcβ1-6)GalNAcol</t>
  </si>
  <si>
    <t>Fucα1-2Galβ1-3(GalNAcβ1-4GlcNAcβ1-6)GalNAcol</t>
  </si>
  <si>
    <t>952-1</t>
  </si>
  <si>
    <t>Hex2HexNAc3</t>
  </si>
  <si>
    <t>952-2</t>
  </si>
  <si>
    <t>GlcNAcα1-4Galβ1-3(Galβ1-4GlcNAcβ1-6)GalNAcol</t>
  </si>
  <si>
    <t>A1,4GlcNAc</t>
  </si>
  <si>
    <r>
      <t>GlcNAc</t>
    </r>
    <r>
      <rPr>
        <sz val="11"/>
        <color theme="1"/>
        <rFont val="Calibri"/>
        <family val="2"/>
      </rPr>
      <t>α1-4Galβ1-3(GalNAcβ1-4GlcNAcβ1-6)GalNAcol</t>
    </r>
  </si>
  <si>
    <t>GalNAcα1-3(Fucα1-2)Galβ1-3(6SGlcNAcβ1-6)GalNAcol</t>
  </si>
  <si>
    <t>Fucα1-2Galβ1-3(Fucα1-2Galβ1-4GlcNAcβ1-6)GalNAcol</t>
  </si>
  <si>
    <t>Hex2HexNAc3deHex1</t>
  </si>
  <si>
    <t>1098-4</t>
  </si>
  <si>
    <r>
      <t>GlcNAc</t>
    </r>
    <r>
      <rPr>
        <sz val="11"/>
        <color theme="1"/>
        <rFont val="Calibri"/>
        <family val="2"/>
      </rPr>
      <t>α1-4Galβ1-3(Fucα1-2Galβ1-4GlcNAcβ1-6)GalNAcol</t>
    </r>
  </si>
  <si>
    <r>
      <t>Fucα1-2Galβ1-3(GlcNAc</t>
    </r>
    <r>
      <rPr>
        <sz val="11"/>
        <color theme="1"/>
        <rFont val="Calibri"/>
        <family val="2"/>
      </rPr>
      <t>α</t>
    </r>
    <r>
      <rPr>
        <sz val="8.8000000000000007"/>
        <color theme="1"/>
        <rFont val="Calibri"/>
        <family val="2"/>
      </rPr>
      <t>1</t>
    </r>
    <r>
      <rPr>
        <sz val="11"/>
        <color theme="1"/>
        <rFont val="Calibri"/>
        <family val="2"/>
        <scheme val="minor"/>
      </rPr>
      <t>-4Galβ1-4GlcNAcβ1-6)GalNAcol</t>
    </r>
  </si>
  <si>
    <t>1114-1</t>
  </si>
  <si>
    <t>Hex3HexNAc3</t>
  </si>
  <si>
    <t>Galβ1-4GlcNAcβ1-3(Galβ1-4GlcNAcβ1-6)Galβ1-3GalNAcol</t>
  </si>
  <si>
    <t>1114-2</t>
  </si>
  <si>
    <t>Hex2HexNAc4</t>
  </si>
  <si>
    <t>GlcNAcα1-4Galβ1-3(GlcNAcα1-4Galβ1-4GlcNAcβ1-6)GalNAcol</t>
  </si>
  <si>
    <t>18.94*</t>
  </si>
  <si>
    <t>NeuAcα2-3Galβ1-3(Fucα1-2Galβ1-4GlcNAcβ1-6)GalNAcol</t>
  </si>
  <si>
    <t>Hex2HexNAc4deHex1</t>
  </si>
  <si>
    <t>GlcNAcα1-4Galβ1-3[GalNAcα1-3(Fucα1-2)Galβ1-4GlcNAcβ1-6]GalNAcol</t>
  </si>
  <si>
    <t>1406-1</t>
  </si>
  <si>
    <t>Hex3HexNAc3deHex2</t>
  </si>
  <si>
    <r>
      <t>Fucα1-2Galβ1-4GlcNAcβ1-3Galβ1-3[Gal</t>
    </r>
    <r>
      <rPr>
        <sz val="11"/>
        <color theme="1"/>
        <rFont val="Calibri"/>
        <family val="2"/>
      </rPr>
      <t>β1-4</t>
    </r>
    <r>
      <rPr>
        <sz val="11"/>
        <color theme="1"/>
        <rFont val="Calibri"/>
        <family val="2"/>
        <scheme val="minor"/>
      </rPr>
      <t>(Fuc</t>
    </r>
    <r>
      <rPr>
        <sz val="11"/>
        <color theme="1"/>
        <rFont val="Calibri"/>
        <family val="2"/>
      </rPr>
      <t>α1-3</t>
    </r>
    <r>
      <rPr>
        <sz val="11"/>
        <color theme="1"/>
        <rFont val="Calibri"/>
        <family val="2"/>
        <scheme val="minor"/>
      </rPr>
      <t>)GlcNAcβ1-6]GalNAcol</t>
    </r>
  </si>
  <si>
    <t>Fucα1-2Galβ1-3(Fucα1-2Galβ1-4GlcNAcβ1-3Galβ1-4GlcNAcβ1-6)GalNAcol</t>
  </si>
  <si>
    <t>Hex3HexNAc4deHex1</t>
  </si>
  <si>
    <t>Fucα1-2Galβ1-4GlcNAcβ1-3(Galβ1-3GlcNAcβ1-6)Galβ1-3(GlcNAcβ1-6)GalNAcol</t>
  </si>
  <si>
    <t>Hex4HexNAc4</t>
  </si>
  <si>
    <t>Galβ1-4GlcNAcβ1-3(Galβ1-4GlcNAcβ1-6)Galβ1-3(Galβ1-4GlcNAcβ1-6)GalNAcol</t>
  </si>
  <si>
    <t>Hex3HexNAc5</t>
  </si>
  <si>
    <t>GlcNAcα1-4Galβ1-4GlcNAcβ1-3(GlcNAcα1-4Galβ1-4GlcNAcβ1-6)Galβ1-3GalNAcol</t>
  </si>
  <si>
    <t>19.88*</t>
  </si>
  <si>
    <t>1609-1</t>
  </si>
  <si>
    <t>Hex3HexHAc4deHex2</t>
  </si>
  <si>
    <t>1609-2</t>
  </si>
  <si>
    <t>Fucα1-2Galβ1-4GlcNAcβ1-3[Gal(Fuc)GlcNAcβ1-6]Galβ1-3(GlcNAcβ1-6)GalNAcol</t>
  </si>
  <si>
    <t>1609-3</t>
  </si>
  <si>
    <t>Fucα1-2Galβ1-4GlcNAcβ1-3(GlcNAcβ1-6)Galβ1-3(Fucα1-2Galβ1-4GlcNAcβ1-6)GalNAcol</t>
  </si>
  <si>
    <t>Fucα1-2Galβ1-4GlcNAcβ1-3(Fucα1-2Galβ1-4GlcNAcβ1-6)Galβ1-3(GlcNAcβ1-6)GalNAcol</t>
  </si>
  <si>
    <t>Hex3HexNAc5deHex1</t>
  </si>
  <si>
    <t>GlcNAcα1-4Galβ1-4GlcNAcβ1-3(Fucα1-2Galβ1-4GlcNAcβ1-6)Galβ1-3(GlcNAcβ1-6)GalNAcol</t>
  </si>
  <si>
    <t>1689-1</t>
  </si>
  <si>
    <t>Hex3HexNAc4deHex2Sul1</t>
  </si>
  <si>
    <r>
      <t>Fucα1-2Gal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-4GlcNAcβ1-3(Fucα1-2Gal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-4GlcNAcβ1-6)Galβ1-3(6S-GlcNAcβ1-6)GalNAcol</t>
    </r>
  </si>
  <si>
    <t>1689-2</t>
  </si>
  <si>
    <t>Hex3HexNAc6</t>
  </si>
  <si>
    <t>Hex4HexNAc5deHex1</t>
  </si>
  <si>
    <t>Hex4HexNAc4deHex3</t>
  </si>
  <si>
    <t>1917-2</t>
  </si>
  <si>
    <r>
      <t>Fucα1-2Galβ1-4GlcNAcβ1-3(Fucα1-2Galβ1-4GlcNAcβ1-6)Galβ1-3[Fuc</t>
    </r>
    <r>
      <rPr>
        <sz val="11"/>
        <color theme="1"/>
        <rFont val="Calibri"/>
        <family val="2"/>
      </rPr>
      <t>α1-2Galβ1-4</t>
    </r>
    <r>
      <rPr>
        <sz val="11"/>
        <color theme="1"/>
        <rFont val="Calibri"/>
        <family val="2"/>
        <scheme val="minor"/>
      </rPr>
      <t>GlcNAcβ1-6]GalNAcol</t>
    </r>
  </si>
  <si>
    <t>Hex4HexNAc7</t>
  </si>
  <si>
    <t>Hex4HexNAc5deHex2</t>
  </si>
  <si>
    <r>
      <t>GlcNAc</t>
    </r>
    <r>
      <rPr>
        <sz val="11"/>
        <color theme="1"/>
        <rFont val="Calibri"/>
        <family val="2"/>
      </rPr>
      <t>α1-4Galβ1-4GlcNAcβ1-3(Fucα1-2Galβ1-4GlcNAcβ1-6)Galβ1-3(Fucα1-2Galβ1-4GlcNAcβ1-6)GalNAcol</t>
    </r>
  </si>
  <si>
    <t>Hex4HexNAc6deHex1</t>
  </si>
  <si>
    <t>GlcNAcα1-4Galβ1-4GlcNAcβ1-3(GlcNAcα1-4Galβ1-4GlcNAcβ1-6)Galβ1-3(Fucα1-2Galβ1-4GlcNAcβ1-6)GalNAcol</t>
  </si>
  <si>
    <t>2088-1</t>
  </si>
  <si>
    <t>GlcNAcα1-4Galβ1-4GlcNAcβ1-3(GlcNAcα1-4Galβ1-4GlcNAcβ1-6)Galβ1-3(GlcNAcα1-4Galβ1-4GlcNAcβ1-6)GalNAcol</t>
  </si>
  <si>
    <t>Hex4HexNAc4deHex1</t>
  </si>
  <si>
    <t>Fucα1-2Galβ1-4GlcNAcβ1-3(Galβ1-4GlcNAcβ1-6)Galβ1-3(Galβ1-4GlcNAcβ1-6)GalNAcol</t>
  </si>
  <si>
    <t>17.76*</t>
  </si>
  <si>
    <t>530-3</t>
  </si>
  <si>
    <t>14.72*</t>
  </si>
  <si>
    <t>18.22*</t>
  </si>
  <si>
    <t>BT0438</t>
  </si>
  <si>
    <t>BT4359</t>
  </si>
  <si>
    <t>HexNAc1deHex1Sul1</t>
  </si>
  <si>
    <t>530-4</t>
  </si>
  <si>
    <t>530-5</t>
  </si>
  <si>
    <t>Gal-GlcNAc-Fucol</t>
  </si>
  <si>
    <t>Fucα1-2Galβ1-4GlcNAcol</t>
  </si>
  <si>
    <t>HexNAc2deHex1</t>
  </si>
  <si>
    <t>Hex1HexNAc1deHex1Sul1</t>
  </si>
  <si>
    <t>Fucα1-2Galβ1-4(6S)GlcNAcol</t>
  </si>
  <si>
    <t>12.75*</t>
  </si>
  <si>
    <t>Hex1HexNAc1deHex2</t>
  </si>
  <si>
    <t>Fucα1-2Galβ1-4(Fucα1-3)GlcNAcol</t>
  </si>
  <si>
    <t>Fucα1-2(GalNAcα1-3)Galβ1-4GlcNAcol</t>
  </si>
  <si>
    <t>733-3</t>
  </si>
  <si>
    <t>733-4</t>
  </si>
  <si>
    <t>733-5</t>
  </si>
  <si>
    <t>Fucα1-2(GalNAcα1-3)Galβ1-3GalNAcol</t>
  </si>
  <si>
    <t>GlcNAc-Gal-GlcNAc-Fucol</t>
  </si>
  <si>
    <t>19.15*</t>
  </si>
  <si>
    <t>19.54*</t>
  </si>
  <si>
    <t>16.64*</t>
  </si>
  <si>
    <t>Hex3deHex2</t>
  </si>
  <si>
    <t>27.00*</t>
  </si>
  <si>
    <t>16.46*</t>
  </si>
  <si>
    <t>15.98*</t>
  </si>
  <si>
    <t>Fucα1-2(GalNAcα1-3)Gal-(Fuc)GlcNAcol</t>
  </si>
  <si>
    <t>Hex1HexNAc2deHex2</t>
  </si>
  <si>
    <t>Hex4HexNAc4deHex2</t>
  </si>
  <si>
    <t>Galβ1-4GlcNAcβ1-3(Fucα1-3Galβ1-4GlcNAcβ1-6)Galβ1-3(Fucα1-2Galβ1-4GlcNAcβ1-6)GalNAcol</t>
  </si>
  <si>
    <t>Galβ1-4GlcNAcβ1-3(GlcNAcα1-4Galβ1-4GlcNAcβ1-6)Galβ1-3(Fucα1-2Galβ1-4GlcNAcβ1-6)GalNAcol</t>
  </si>
  <si>
    <t>936-1</t>
  </si>
  <si>
    <t>936-2</t>
  </si>
  <si>
    <t>Fucα1-2Galβ1-3GlcNAcβ1-3(GlcNAcβ1-6)GalNAcol</t>
  </si>
  <si>
    <t>GlcNAcα1-4Galβ1-4GlcNAcβ1-3Galβ1-3GalNAcol</t>
  </si>
  <si>
    <t>18.11*</t>
  </si>
  <si>
    <t>18.67*</t>
  </si>
  <si>
    <t>GlcNAcα1-4Galβ1-4GlcNAcβ1-3(GlcNAcα1-4Galβ1-4GlcNAcβ1-6)Galβ1-3(GlcNAcβ1-6)GalNAcol</t>
  </si>
  <si>
    <t>NeuAc1Hex1</t>
  </si>
  <si>
    <t>NeuAcα2-3Galol</t>
  </si>
  <si>
    <t>6SGlcNAcβ1-6GalNAcol</t>
  </si>
  <si>
    <t>HexNAc2Sul1</t>
  </si>
  <si>
    <t>18.07*</t>
  </si>
  <si>
    <t>18.52*</t>
  </si>
  <si>
    <t>610-1</t>
  </si>
  <si>
    <t>1406-2</t>
  </si>
  <si>
    <t>790-1</t>
  </si>
  <si>
    <t>790-2</t>
  </si>
  <si>
    <t>Galβ1-3(GalNAcβ1-4GlcNAcβ1-6)GalNAcol</t>
  </si>
  <si>
    <t>Fucα1-2Galβ1-4(Fucα1-2)Galβ1-4Glcol</t>
  </si>
  <si>
    <t>895-1</t>
  </si>
  <si>
    <t>Galβ1-3[Fucα1-2(GalNAcα1-3)Galβ1-4GlcNAcβ1-6]GalNAcol</t>
  </si>
  <si>
    <t>Fucα1-2(GalNAcα1-3)Galβ1-3(Galβ1-4GlcNAcβ1-6)GalNAcol</t>
  </si>
  <si>
    <t>1098-1</t>
  </si>
  <si>
    <t>1098-2</t>
  </si>
  <si>
    <t>1098-3</t>
  </si>
  <si>
    <t>Galβ1-3(Galβ1-4GlcNAcβ1-3Galβ1-4GlcNAcβ1-6)GalNAcol</t>
  </si>
  <si>
    <t>GlcNAcβ1-3Galol</t>
  </si>
  <si>
    <t>18.06*</t>
  </si>
  <si>
    <t>18.48*</t>
  </si>
  <si>
    <t>19.38*</t>
  </si>
  <si>
    <t>15.82*</t>
  </si>
  <si>
    <t>13.98*</t>
  </si>
  <si>
    <t>15.01*</t>
  </si>
  <si>
    <t>18.71*</t>
  </si>
  <si>
    <t>19.74*</t>
  </si>
  <si>
    <t>20.14*</t>
  </si>
  <si>
    <t>18.92*</t>
  </si>
  <si>
    <t>Hex4HexNAc6</t>
  </si>
  <si>
    <r>
      <t>GlcNAc</t>
    </r>
    <r>
      <rPr>
        <sz val="11"/>
        <color theme="1"/>
        <rFont val="Calibri"/>
        <family val="2"/>
      </rPr>
      <t>α1</t>
    </r>
    <r>
      <rPr>
        <sz val="11"/>
        <color theme="1"/>
        <rFont val="Calibri"/>
        <family val="2"/>
        <scheme val="minor"/>
      </rPr>
      <t>-4Gal</t>
    </r>
    <r>
      <rPr>
        <sz val="11"/>
        <color theme="1"/>
        <rFont val="Calibri"/>
        <family val="2"/>
      </rPr>
      <t>β1-4GlcNAcβ1-3(Galβ1-4GlcNAcβ1-6)Galβ1-3(GlcNAcα1-4Galβ1-4GlcNAcβ</t>
    </r>
    <r>
      <rPr>
        <sz val="11"/>
        <color theme="1"/>
        <rFont val="Calibri"/>
        <family val="2"/>
        <scheme val="minor"/>
      </rPr>
      <t>1-6)GalNAcol</t>
    </r>
  </si>
  <si>
    <t>Fucα1-2Galβ1-3[Galβ1-4(6S)GlcNAcβ1-6]GalNAcol</t>
  </si>
  <si>
    <t>Hex2HexNAc2deHex1Sul1</t>
  </si>
  <si>
    <t>NeuAc1Hex2HexNAc3</t>
  </si>
  <si>
    <t>NeuAcα2-3Galβ1-3[GlcNAcα1-4Galβ1-4GlcNAcβ1-6]GalNAcol</t>
  </si>
  <si>
    <t>Fucα1-2Galβ1-3[GalNAcα1-3(Fucα1-2)Galβ1-4GlcNAcβ1-6]GalNAcol</t>
  </si>
  <si>
    <t>Hex2HexNAc3deHex2</t>
  </si>
  <si>
    <t>19.66*</t>
  </si>
  <si>
    <t>20.18*</t>
  </si>
  <si>
    <t>16.25*</t>
  </si>
  <si>
    <t>12.92*</t>
  </si>
  <si>
    <t>1040-1</t>
  </si>
  <si>
    <t>1040-2</t>
  </si>
  <si>
    <t>NeuAc1Hex2HexNAc2</t>
  </si>
  <si>
    <t>NeuAcα2-3Galβ1-3(Galβ1-4GlcNAcβ1-6)GalNAcol</t>
  </si>
  <si>
    <t>1301-1</t>
  </si>
  <si>
    <t>40.73*</t>
  </si>
  <si>
    <t>20.63*</t>
  </si>
  <si>
    <t>22.09*</t>
  </si>
  <si>
    <t>22.57*</t>
  </si>
  <si>
    <t>23.95*</t>
  </si>
  <si>
    <t>24.55*</t>
  </si>
  <si>
    <t>17.57*</t>
  </si>
  <si>
    <t>22.73*</t>
  </si>
  <si>
    <r>
      <t>6SGlcNAc</t>
    </r>
    <r>
      <rPr>
        <sz val="11"/>
        <color theme="1"/>
        <rFont val="Calibri"/>
        <family val="2"/>
      </rPr>
      <t>β1</t>
    </r>
    <r>
      <rPr>
        <sz val="11"/>
        <color theme="1"/>
        <rFont val="Calibri"/>
        <family val="2"/>
        <scheme val="minor"/>
      </rPr>
      <t>-3Fucol</t>
    </r>
  </si>
  <si>
    <t>Galβ1-4GlcNAcβ1-3Fucol</t>
  </si>
  <si>
    <t>16.90*</t>
  </si>
  <si>
    <t>GalNAcβ1-4GlcNAcβ1-3Fucol</t>
  </si>
  <si>
    <t>GlcNAcα1-4Galβ1-4GlcNAcβ1-3Fucol</t>
  </si>
  <si>
    <t>14.98**</t>
  </si>
  <si>
    <t>30.49**</t>
  </si>
  <si>
    <t>21.06**</t>
  </si>
  <si>
    <t>16.39*</t>
  </si>
  <si>
    <t>16.19*</t>
  </si>
  <si>
    <t>21.05**</t>
  </si>
  <si>
    <t>27.97*</t>
  </si>
  <si>
    <t>27.20*</t>
  </si>
  <si>
    <t>29.99**</t>
  </si>
  <si>
    <t>31.04**</t>
  </si>
  <si>
    <t>NeuAcα2-6Galβ1-4GlcNAcβ1-3Galβ1-3GalNAcol</t>
  </si>
  <si>
    <t>20.51*</t>
  </si>
  <si>
    <t>22.52*</t>
  </si>
  <si>
    <t>27.52**</t>
  </si>
  <si>
    <t>15.09**</t>
  </si>
  <si>
    <t>14.56*</t>
  </si>
  <si>
    <t>24.57**</t>
  </si>
  <si>
    <t>17.89*</t>
  </si>
  <si>
    <t>18.86*</t>
  </si>
  <si>
    <t>22.82**</t>
  </si>
  <si>
    <t>29.93**</t>
  </si>
  <si>
    <t>27.20**</t>
  </si>
  <si>
    <t>24.64**</t>
  </si>
  <si>
    <t>24.49**</t>
  </si>
  <si>
    <t>19.69**</t>
  </si>
  <si>
    <t>18.97**</t>
  </si>
  <si>
    <t>28.35**</t>
  </si>
  <si>
    <t>32.44*</t>
  </si>
  <si>
    <r>
      <t>Fuc</t>
    </r>
    <r>
      <rPr>
        <sz val="11"/>
        <color theme="1"/>
        <rFont val="Calibri"/>
        <family val="2"/>
      </rPr>
      <t>α1-2(GalNAcα1-3)Galol</t>
    </r>
  </si>
  <si>
    <t>b6GlcNAc</t>
  </si>
  <si>
    <r>
      <t>GlcNAc</t>
    </r>
    <r>
      <rPr>
        <vertAlign val="superscript"/>
        <sz val="11"/>
        <color theme="1"/>
        <rFont val="Calibri"/>
        <family val="2"/>
      </rPr>
      <t>[4]</t>
    </r>
  </si>
  <si>
    <t>Replicate 1</t>
  </si>
  <si>
    <t>Replicate 2</t>
  </si>
  <si>
    <r>
      <t>Control</t>
    </r>
    <r>
      <rPr>
        <vertAlign val="superscript"/>
        <sz val="16"/>
        <rFont val="Calibri"/>
        <family val="2"/>
        <scheme val="minor"/>
      </rPr>
      <t>[5]</t>
    </r>
  </si>
  <si>
    <t>b3GlcNAc</t>
  </si>
  <si>
    <t>6S-b3GlcNAc</t>
  </si>
  <si>
    <t>Sum</t>
  </si>
  <si>
    <t>Supplementary Table 7. LC-MS analysis of activity of GH89 on porcine gastric mucin (PGM)</t>
  </si>
  <si>
    <r>
      <t xml:space="preserve">(Gal) 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-Galactose; (Fuc)</t>
    </r>
    <r>
      <rPr>
        <sz val="9"/>
        <color theme="1"/>
        <rFont val="Calibri"/>
        <family val="2"/>
        <scheme val="minor"/>
      </rPr>
      <t xml:space="preserve"> L</t>
    </r>
    <r>
      <rPr>
        <sz val="11"/>
        <color theme="1"/>
        <rFont val="Calibri"/>
        <family val="2"/>
        <scheme val="minor"/>
      </rPr>
      <t xml:space="preserve">-Fucose; (GlcNAc)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-glucosamine; (GalNAc)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-acetyl-</t>
    </r>
    <r>
      <rPr>
        <sz val="9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-galactosamine; (NA) not assigned; (nd) not detected; </t>
    </r>
  </si>
  <si>
    <t>RT*=manual calculation of intensity for glycan with MS2; RT**= Structure (without ms2) assigned based on retention time and intensity was calculated manually.</t>
  </si>
  <si>
    <t>Footnote:</t>
  </si>
  <si>
    <t>[1]</t>
  </si>
  <si>
    <t>mass of strucutre in negative ion mode; mass with hyphens indicates the isomeric structures;</t>
  </si>
  <si>
    <t>[2]</t>
  </si>
  <si>
    <t>(Hex) hexose; (HexNAc) N-acetylhexosamine; (deHex) fucose; (NeuAc) N-acetylneuraminic acid; (NeuGc) N-acetyl glycolylneuraminic acid; (S) sulfate</t>
  </si>
  <si>
    <t>[3]</t>
  </si>
  <si>
    <t>structures are given in the text according following rules: the structure is described clockwise and left-to-right where reducing end locates rightmost side (as shown in cartoon figure); "-" is used for uncertain location</t>
  </si>
  <si>
    <t>The cartoon figure is described as "NeuAcα2-6Galβ1-4GlcNAcβ1-2(Galβ1-4GlcNAcβ1-4)Manα1-3(GlcNAcβ1-4)(Galβ1-4GlcNAcβ1-2Manα1-6)Manβ1-4GlcNAcβ1-4(Fucα1-6)GlcNAcol"</t>
  </si>
  <si>
    <t>[4]</t>
  </si>
  <si>
    <t>[5]</t>
  </si>
  <si>
    <t>Sample name</t>
  </si>
  <si>
    <t>[6]</t>
  </si>
  <si>
    <t>Retention time (RT) of selected structure on LC</t>
  </si>
  <si>
    <t>[7]</t>
  </si>
  <si>
    <t>The intensity is area-under-the-curves (AUCs) of each glycan. For comparsion of glycan abundances between samples, the intensity is normalised to total AUC (summed AUCs of all glycans in a sample) and expressed as a percentage</t>
  </si>
  <si>
    <t>Terminal GlcNAc linkages; (1) terminal GlcNAc present; (2) no terminal GlcNAc</t>
  </si>
  <si>
    <t>Not detected after incubation with GH89 enzyme</t>
  </si>
  <si>
    <t>Only detected after incubation with GH89 enzyme</t>
  </si>
  <si>
    <t>Relative abundance of the oligosaccharide increased &gt;2% after incubation with enzyme</t>
  </si>
  <si>
    <t>RT</t>
  </si>
  <si>
    <t>RT2</t>
  </si>
  <si>
    <t>RT3</t>
  </si>
  <si>
    <t>RT4</t>
  </si>
  <si>
    <t>RT5</t>
  </si>
  <si>
    <t>RT6</t>
  </si>
  <si>
    <t>Intensity</t>
  </si>
  <si>
    <t>Percentage</t>
  </si>
  <si>
    <t>Intensity2</t>
  </si>
  <si>
    <t>Percentage2</t>
  </si>
  <si>
    <t>Intensity3</t>
  </si>
  <si>
    <t>Percentage3</t>
  </si>
  <si>
    <t>Intensity4</t>
  </si>
  <si>
    <t>Percentage4</t>
  </si>
  <si>
    <t>Intensity5</t>
  </si>
  <si>
    <t>Percentage5</t>
  </si>
  <si>
    <t>Intensity6</t>
  </si>
  <si>
    <t>Percentage6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</si>
</sst>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kr&quot;_-;\-* #,##0.00\ &quot;kr&quot;_-;_-* &quot;-&quot;??\ &quot;kr&quot;_-;_-@_-"/>
    <numFmt numFmtId="164" formatCode="0.0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Symbol"/>
      <family val="1"/>
      <charset val="2"/>
    </font>
    <font>
      <sz val="8.8000000000000007"/>
      <color theme="1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vertAlign val="superscript"/>
      <sz val="16"/>
      <name val="Calibri"/>
      <family val="2"/>
      <scheme val="minor"/>
    </font>
    <font>
      <b/>
      <sz val="16"/>
      <color theme="1"/>
      <name val="Arial Bold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62">
    <xf numFmtId="0" fontId="0" fillId="0" borderId="0"/>
    <xf numFmtId="0" fontId="4" fillId="0" borderId="0"/>
    <xf numFmtId="0" fontId="7" fillId="0" borderId="0"/>
    <xf numFmtId="0" fontId="4" fillId="0" borderId="0"/>
    <xf numFmtId="0" fontId="8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8" fillId="2" borderId="0" applyNumberFormat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8" applyNumberFormat="0" applyAlignment="0" applyProtection="0"/>
    <xf numFmtId="0" fontId="23" fillId="7" borderId="9" applyNumberFormat="0" applyAlignment="0" applyProtection="0"/>
    <xf numFmtId="0" fontId="24" fillId="7" borderId="8" applyNumberFormat="0" applyAlignment="0" applyProtection="0"/>
    <xf numFmtId="0" fontId="25" fillId="0" borderId="10" applyNumberFormat="0" applyFill="0" applyAlignment="0" applyProtection="0"/>
    <xf numFmtId="0" fontId="13" fillId="8" borderId="11" applyNumberFormat="0" applyAlignment="0" applyProtection="0"/>
    <xf numFmtId="0" fontId="26" fillId="0" borderId="0" applyNumberFormat="0" applyFill="0" applyBorder="0" applyAlignment="0" applyProtection="0"/>
    <xf numFmtId="0" fontId="1" fillId="9" borderId="12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0" borderId="0"/>
    <xf numFmtId="0" fontId="8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1" xfId="1" applyBorder="1" applyAlignment="1">
      <alignment horizontal="center" vertical="center"/>
    </xf>
    <xf numFmtId="0" fontId="4" fillId="0" borderId="0" xfId="1" applyAlignment="1">
      <alignment horizontal="right"/>
    </xf>
    <xf numFmtId="164" fontId="4" fillId="0" borderId="0" xfId="1" applyNumberFormat="1" applyAlignment="1">
      <alignment horizontal="right"/>
    </xf>
    <xf numFmtId="0" fontId="4" fillId="0" borderId="4" xfId="1" applyBorder="1" applyAlignment="1">
      <alignment horizontal="right"/>
    </xf>
    <xf numFmtId="0" fontId="4" fillId="0" borderId="1" xfId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0" fontId="4" fillId="0" borderId="3" xfId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0" xfId="0" applyFont="1" applyAlignment="1">
      <alignment horizontal="right"/>
    </xf>
    <xf numFmtId="0" fontId="4" fillId="0" borderId="1" xfId="1" applyBorder="1" applyAlignment="1">
      <alignment horizontal="right" vertical="center"/>
    </xf>
    <xf numFmtId="2" fontId="0" fillId="0" borderId="1" xfId="0" applyNumberFormat="1" applyBorder="1" applyAlignment="1">
      <alignment horizontal="right"/>
    </xf>
    <xf numFmtId="0" fontId="0" fillId="0" borderId="1" xfId="3" applyFont="1" applyBorder="1" applyAlignment="1">
      <alignment horizontal="right"/>
    </xf>
    <xf numFmtId="0" fontId="4" fillId="0" borderId="1" xfId="3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1" fillId="0" borderId="1" xfId="2" applyFont="1" applyBorder="1" applyAlignment="1">
      <alignment horizontal="right"/>
    </xf>
    <xf numFmtId="164" fontId="0" fillId="0" borderId="0" xfId="68" applyNumberFormat="1" applyFont="1" applyAlignment="1">
      <alignment horizontal="right"/>
    </xf>
    <xf numFmtId="164" fontId="4" fillId="0" borderId="2" xfId="1" applyNumberFormat="1" applyBorder="1" applyAlignment="1">
      <alignment horizontal="right"/>
    </xf>
    <xf numFmtId="0" fontId="4" fillId="0" borderId="3" xfId="1" applyBorder="1" applyAlignment="1">
      <alignment horizontal="center"/>
    </xf>
    <xf numFmtId="164" fontId="0" fillId="0" borderId="0" xfId="0" applyNumberFormat="1"/>
    <xf numFmtId="0" fontId="0" fillId="0" borderId="3" xfId="93" applyFont="1" applyBorder="1" applyAlignment="1">
      <alignment horizontal="center"/>
    </xf>
    <xf numFmtId="0" fontId="0" fillId="0" borderId="3" xfId="68" applyFont="1" applyBorder="1" applyAlignment="1">
      <alignment horizontal="center"/>
    </xf>
    <xf numFmtId="0" fontId="4" fillId="0" borderId="3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14" xfId="0" applyBorder="1" applyAlignment="1">
      <alignment readingOrder="1"/>
    </xf>
    <xf numFmtId="0" fontId="4" fillId="0" borderId="0" xfId="1" applyAlignment="1">
      <alignment horizontal="right" vertic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3" borderId="3" xfId="1" applyFill="1" applyBorder="1" applyAlignment="1">
      <alignment horizontal="right"/>
    </xf>
    <xf numFmtId="164" fontId="4" fillId="33" borderId="0" xfId="1" applyNumberFormat="1" applyFill="1" applyAlignment="1">
      <alignment horizontal="right"/>
    </xf>
    <xf numFmtId="0" fontId="1" fillId="0" borderId="0" xfId="0" applyFont="1"/>
    <xf numFmtId="0" fontId="6" fillId="0" borderId="1" xfId="0" applyFont="1" applyBorder="1" applyAlignment="1">
      <alignment horizontal="right"/>
    </xf>
    <xf numFmtId="0" fontId="0" fillId="0" borderId="0" xfId="0" applyAlignment="1">
      <alignment readingOrder="1"/>
    </xf>
    <xf numFmtId="0" fontId="4" fillId="37" borderId="3" xfId="1" applyFill="1" applyBorder="1" applyAlignment="1">
      <alignment horizontal="right"/>
    </xf>
    <xf numFmtId="164" fontId="4" fillId="37" borderId="0" xfId="1" applyNumberFormat="1" applyFill="1" applyAlignment="1">
      <alignment horizontal="right"/>
    </xf>
    <xf numFmtId="0" fontId="4" fillId="38" borderId="3" xfId="1" applyFill="1" applyBorder="1" applyAlignment="1">
      <alignment horizontal="right"/>
    </xf>
    <xf numFmtId="164" fontId="4" fillId="38" borderId="0" xfId="1" applyNumberFormat="1" applyFill="1" applyAlignment="1">
      <alignment horizontal="right"/>
    </xf>
    <xf numFmtId="164" fontId="0" fillId="38" borderId="0" xfId="93" applyNumberFormat="1" applyFont="1" applyFill="1" applyAlignment="1">
      <alignment horizontal="right"/>
    </xf>
    <xf numFmtId="164" fontId="4" fillId="37" borderId="3" xfId="1" applyNumberFormat="1" applyFill="1" applyBorder="1" applyAlignment="1">
      <alignment horizontal="right"/>
    </xf>
    <xf numFmtId="164" fontId="6" fillId="33" borderId="0" xfId="1" applyNumberFormat="1" applyFont="1" applyFill="1" applyAlignment="1">
      <alignment horizontal="right"/>
    </xf>
    <xf numFmtId="164" fontId="0" fillId="33" borderId="0" xfId="68" applyNumberFormat="1" applyFont="1" applyFill="1" applyAlignment="1">
      <alignment horizontal="right"/>
    </xf>
    <xf numFmtId="164" fontId="4" fillId="33" borderId="0" xfId="3" applyNumberFormat="1" applyFill="1" applyAlignment="1">
      <alignment horizontal="right"/>
    </xf>
    <xf numFmtId="0" fontId="4" fillId="0" borderId="4" xfId="1" applyBorder="1" applyAlignment="1">
      <alignment horizontal="center" vertical="center"/>
    </xf>
    <xf numFmtId="0" fontId="4" fillId="0" borderId="18" xfId="1" applyBorder="1" applyAlignment="1">
      <alignment horizontal="right" vertical="center"/>
    </xf>
    <xf numFmtId="164" fontId="4" fillId="0" borderId="18" xfId="1" applyNumberFormat="1" applyBorder="1" applyAlignment="1">
      <alignment horizontal="right"/>
    </xf>
    <xf numFmtId="0" fontId="4" fillId="37" borderId="0" xfId="1" applyFill="1" applyAlignment="1">
      <alignment horizontal="right"/>
    </xf>
    <xf numFmtId="0" fontId="4" fillId="33" borderId="0" xfId="1" applyFill="1" applyAlignment="1">
      <alignment horizontal="right"/>
    </xf>
    <xf numFmtId="0" fontId="4" fillId="0" borderId="19" xfId="0" applyFont="1" applyBorder="1" applyAlignment="1">
      <alignment horizontal="center"/>
    </xf>
    <xf numFmtId="164" fontId="0" fillId="0" borderId="20" xfId="0" applyNumberFormat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4" fillId="0" borderId="3" xfId="1" applyBorder="1" applyAlignment="1">
      <alignment horizontal="left"/>
    </xf>
    <xf numFmtId="0" fontId="4" fillId="0" borderId="3" xfId="1" quotePrefix="1" applyBorder="1" applyAlignment="1">
      <alignment horizontal="left"/>
    </xf>
    <xf numFmtId="164" fontId="1" fillId="37" borderId="0" xfId="68" applyNumberFormat="1" applyFill="1" applyAlignment="1">
      <alignment horizontal="right"/>
    </xf>
    <xf numFmtId="0" fontId="4" fillId="38" borderId="0" xfId="1" applyFill="1" applyAlignment="1">
      <alignment horizontal="right"/>
    </xf>
    <xf numFmtId="0" fontId="4" fillId="0" borderId="2" xfId="1" applyBorder="1" applyAlignment="1">
      <alignment horizontal="right" vertical="center"/>
    </xf>
    <xf numFmtId="164" fontId="0" fillId="0" borderId="2" xfId="93" applyNumberFormat="1" applyFont="1" applyBorder="1" applyAlignment="1">
      <alignment horizontal="right"/>
    </xf>
    <xf numFmtId="164" fontId="0" fillId="0" borderId="2" xfId="68" applyNumberFormat="1" applyFont="1" applyBorder="1" applyAlignment="1">
      <alignment horizontal="right"/>
    </xf>
    <xf numFmtId="164" fontId="4" fillId="0" borderId="2" xfId="3" applyNumberForma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4" fillId="0" borderId="0" xfId="1" applyAlignment="1">
      <alignment horizontal="left" vertical="center"/>
    </xf>
    <xf numFmtId="0" fontId="4" fillId="0" borderId="0" xfId="1" applyAlignment="1">
      <alignment horizontal="left"/>
    </xf>
    <xf numFmtId="0" fontId="12" fillId="0" borderId="0" xfId="1" applyFont="1" applyAlignment="1">
      <alignment horizontal="left"/>
    </xf>
    <xf numFmtId="0" fontId="30" fillId="0" borderId="0" xfId="1" applyFont="1" applyAlignment="1">
      <alignment horizontal="left"/>
    </xf>
    <xf numFmtId="0" fontId="4" fillId="0" borderId="0" xfId="1" quotePrefix="1" applyAlignment="1">
      <alignment horizontal="left"/>
    </xf>
    <xf numFmtId="0" fontId="29" fillId="0" borderId="0" xfId="1" applyFont="1" applyAlignment="1">
      <alignment horizontal="left"/>
    </xf>
    <xf numFmtId="1" fontId="4" fillId="0" borderId="0" xfId="1" quotePrefix="1" applyNumberFormat="1" applyAlignment="1">
      <alignment horizontal="left"/>
    </xf>
    <xf numFmtId="17" fontId="4" fillId="0" borderId="0" xfId="1" quotePrefix="1" applyNumberFormat="1" applyAlignment="1">
      <alignment horizontal="left"/>
    </xf>
    <xf numFmtId="0" fontId="4" fillId="0" borderId="0" xfId="0" applyFont="1" applyAlignment="1">
      <alignment horizontal="left"/>
    </xf>
    <xf numFmtId="0" fontId="30" fillId="0" borderId="1" xfId="1" applyFont="1" applyBorder="1" applyAlignment="1">
      <alignment horizontal="right"/>
    </xf>
    <xf numFmtId="0" fontId="29" fillId="0" borderId="1" xfId="1" applyFont="1" applyBorder="1" applyAlignment="1">
      <alignment horizontal="right"/>
    </xf>
    <xf numFmtId="0" fontId="38" fillId="0" borderId="0" xfId="0" applyFont="1"/>
    <xf numFmtId="0" fontId="0" fillId="0" borderId="0" xfId="0" applyAlignment="1">
      <alignment horizontal="left"/>
    </xf>
    <xf numFmtId="0" fontId="39" fillId="0" borderId="0" xfId="0" applyFont="1" applyAlignment="1">
      <alignment horizontal="right"/>
    </xf>
    <xf numFmtId="0" fontId="39" fillId="0" borderId="0" xfId="0" applyFont="1"/>
    <xf numFmtId="0" fontId="0" fillId="39" borderId="23" xfId="0" applyFill="1" applyBorder="1"/>
    <xf numFmtId="0" fontId="0" fillId="37" borderId="23" xfId="0" applyFill="1" applyBorder="1"/>
    <xf numFmtId="0" fontId="0" fillId="38" borderId="23" xfId="0" applyFill="1" applyBorder="1"/>
    <xf numFmtId="0" fontId="32" fillId="0" borderId="4" xfId="0" quotePrefix="1" applyFont="1" applyBorder="1" applyAlignment="1">
      <alignment horizontal="center"/>
    </xf>
    <xf numFmtId="0" fontId="32" fillId="0" borderId="0" xfId="0" quotePrefix="1" applyFont="1" applyAlignment="1">
      <alignment horizontal="center"/>
    </xf>
    <xf numFmtId="0" fontId="32" fillId="0" borderId="2" xfId="0" quotePrefix="1" applyFont="1" applyBorder="1" applyAlignment="1">
      <alignment horizontal="center"/>
    </xf>
    <xf numFmtId="0" fontId="32" fillId="0" borderId="18" xfId="0" quotePrefix="1" applyFont="1" applyBorder="1" applyAlignment="1">
      <alignment horizontal="center"/>
    </xf>
    <xf numFmtId="0" fontId="33" fillId="34" borderId="15" xfId="0" applyFont="1" applyFill="1" applyBorder="1" applyAlignment="1">
      <alignment horizontal="center"/>
    </xf>
    <xf numFmtId="0" fontId="33" fillId="34" borderId="16" xfId="0" applyFont="1" applyFill="1" applyBorder="1" applyAlignment="1">
      <alignment horizontal="center"/>
    </xf>
    <xf numFmtId="0" fontId="33" fillId="34" borderId="17" xfId="0" applyFont="1" applyFill="1" applyBorder="1" applyAlignment="1">
      <alignment horizontal="center"/>
    </xf>
    <xf numFmtId="0" fontId="33" fillId="35" borderId="15" xfId="0" applyFont="1" applyFill="1" applyBorder="1" applyAlignment="1">
      <alignment horizontal="center"/>
    </xf>
    <xf numFmtId="0" fontId="33" fillId="35" borderId="16" xfId="0" applyFont="1" applyFill="1" applyBorder="1" applyAlignment="1">
      <alignment horizontal="center"/>
    </xf>
    <xf numFmtId="0" fontId="33" fillId="35" borderId="17" xfId="0" applyFont="1" applyFill="1" applyBorder="1" applyAlignment="1">
      <alignment horizontal="center"/>
    </xf>
    <xf numFmtId="0" fontId="33" fillId="36" borderId="16" xfId="0" applyFont="1" applyFill="1" applyBorder="1" applyAlignment="1">
      <alignment horizontal="center"/>
    </xf>
    <xf numFmtId="0" fontId="33" fillId="36" borderId="17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35" fillId="40" borderId="0" xfId="0" applyFont="1" applyFill="1" applyAlignment="1">
      <alignment horizontal="left"/>
    </xf>
    <xf numFmtId="0" fontId="35" fillId="40" borderId="24" xfId="0" applyFont="1" applyFill="1" applyBorder="1" applyAlignment="1">
      <alignment horizontal="left"/>
    </xf>
  </cellXfs>
  <cellStyles count="162">
    <cellStyle name="20% - Accent1" xfId="119" builtinId="30" customBuiltin="1"/>
    <cellStyle name="20% - Accent2" xfId="123" builtinId="34" customBuiltin="1"/>
    <cellStyle name="20% - Accent3" xfId="126" builtinId="38" customBuiltin="1"/>
    <cellStyle name="20% - Accent4" xfId="130" builtinId="42" customBuiltin="1"/>
    <cellStyle name="20% - Accent5" xfId="134" builtinId="46" customBuiltin="1"/>
    <cellStyle name="20% - Accent6" xfId="138" builtinId="50" customBuiltin="1"/>
    <cellStyle name="40% - Accent1" xfId="120" builtinId="31" customBuiltin="1"/>
    <cellStyle name="40% - Accent2" xfId="124" builtinId="35" customBuiltin="1"/>
    <cellStyle name="40% - Accent3" xfId="127" builtinId="39" customBuiltin="1"/>
    <cellStyle name="40% - Accent4" xfId="131" builtinId="43" customBuiltin="1"/>
    <cellStyle name="40% - Accent5" xfId="135" builtinId="47" customBuiltin="1"/>
    <cellStyle name="40% - Accent6" xfId="139" builtinId="51" customBuiltin="1"/>
    <cellStyle name="60% - Accent1" xfId="121" builtinId="32" customBuiltin="1"/>
    <cellStyle name="60% - Accent2" xfId="125" builtinId="36" customBuiltin="1"/>
    <cellStyle name="60% - Accent3" xfId="128" builtinId="40" customBuiltin="1"/>
    <cellStyle name="60% - Accent4" xfId="132" builtinId="44" customBuiltin="1"/>
    <cellStyle name="60% - Accent5" xfId="136" builtinId="48" customBuiltin="1"/>
    <cellStyle name="60% - Accent6" xfId="140" builtinId="52" customBuiltin="1"/>
    <cellStyle name="Accent1" xfId="118" builtinId="29" customBuiltin="1"/>
    <cellStyle name="Accent2" xfId="122" builtinId="33" customBuiltin="1"/>
    <cellStyle name="Accent3 2" xfId="4" xr:uid="{00000000-0005-0000-0000-000014000000}"/>
    <cellStyle name="Accent3 2 2" xfId="5" xr:uid="{00000000-0005-0000-0000-000015000000}"/>
    <cellStyle name="Accent3 2 3" xfId="6" xr:uid="{00000000-0005-0000-0000-000016000000}"/>
    <cellStyle name="Accent3 2 4" xfId="142" xr:uid="{00000000-0005-0000-0000-000017000000}"/>
    <cellStyle name="Accent3 3" xfId="7" xr:uid="{00000000-0005-0000-0000-000018000000}"/>
    <cellStyle name="Accent4" xfId="129" builtinId="41" customBuiltin="1"/>
    <cellStyle name="Accent5" xfId="133" builtinId="45" customBuiltin="1"/>
    <cellStyle name="Accent6" xfId="137" builtinId="49" customBuiltin="1"/>
    <cellStyle name="Bad" xfId="107" builtinId="27" customBuiltin="1"/>
    <cellStyle name="Calculation" xfId="111" builtinId="22" customBuiltin="1"/>
    <cellStyle name="Check Cell" xfId="113" builtinId="23" customBuiltin="1"/>
    <cellStyle name="Currency 2" xfId="8" xr:uid="{00000000-0005-0000-0000-00001F000000}"/>
    <cellStyle name="Explanatory Text" xfId="116" builtinId="53" customBuiltin="1"/>
    <cellStyle name="Good" xfId="102" builtinId="26" customBuiltin="1"/>
    <cellStyle name="Heading 1" xfId="103" builtinId="16" customBuiltin="1"/>
    <cellStyle name="Heading 2" xfId="104" builtinId="17" customBuiltin="1"/>
    <cellStyle name="Heading 3" xfId="105" builtinId="18" customBuiltin="1"/>
    <cellStyle name="Heading 4" xfId="106" builtinId="19" customBuiltin="1"/>
    <cellStyle name="Hyperlink 2" xfId="9" xr:uid="{00000000-0005-0000-0000-000026000000}"/>
    <cellStyle name="Hyperlink 2 2" xfId="10" xr:uid="{00000000-0005-0000-0000-000027000000}"/>
    <cellStyle name="Hyperlink 3" xfId="11" xr:uid="{00000000-0005-0000-0000-000028000000}"/>
    <cellStyle name="Input" xfId="109" builtinId="20" customBuiltin="1"/>
    <cellStyle name="Linked Cell" xfId="112" builtinId="24" customBuiltin="1"/>
    <cellStyle name="Neutral" xfId="108" builtinId="28" customBuiltin="1"/>
    <cellStyle name="Normal" xfId="0" builtinId="0"/>
    <cellStyle name="Normal 10" xfId="12" xr:uid="{00000000-0005-0000-0000-00002D000000}"/>
    <cellStyle name="Normal 10 2" xfId="13" xr:uid="{00000000-0005-0000-0000-00002E000000}"/>
    <cellStyle name="Normal 10 2 2" xfId="14" xr:uid="{00000000-0005-0000-0000-00002F000000}"/>
    <cellStyle name="Normal 10 3" xfId="15" xr:uid="{00000000-0005-0000-0000-000030000000}"/>
    <cellStyle name="Normal 10 4" xfId="16" xr:uid="{00000000-0005-0000-0000-000031000000}"/>
    <cellStyle name="Normal 11" xfId="17" xr:uid="{00000000-0005-0000-0000-000032000000}"/>
    <cellStyle name="Normal 11 2" xfId="18" xr:uid="{00000000-0005-0000-0000-000033000000}"/>
    <cellStyle name="Normal 11 2 2" xfId="19" xr:uid="{00000000-0005-0000-0000-000034000000}"/>
    <cellStyle name="Normal 11 2 2 2" xfId="159" xr:uid="{00000000-0005-0000-0000-000035000000}"/>
    <cellStyle name="Normal 11 2 3" xfId="20" xr:uid="{00000000-0005-0000-0000-000036000000}"/>
    <cellStyle name="Normal 11 3" xfId="21" xr:uid="{00000000-0005-0000-0000-000037000000}"/>
    <cellStyle name="Normal 11 4" xfId="22" xr:uid="{00000000-0005-0000-0000-000038000000}"/>
    <cellStyle name="Normal 12" xfId="23" xr:uid="{00000000-0005-0000-0000-000039000000}"/>
    <cellStyle name="Normal 12 2" xfId="24" xr:uid="{00000000-0005-0000-0000-00003A000000}"/>
    <cellStyle name="Normal 13" xfId="25" xr:uid="{00000000-0005-0000-0000-00003B000000}"/>
    <cellStyle name="Normal 13 2" xfId="26" xr:uid="{00000000-0005-0000-0000-00003C000000}"/>
    <cellStyle name="Normal 13 2 2" xfId="160" xr:uid="{00000000-0005-0000-0000-00003D000000}"/>
    <cellStyle name="Normal 14" xfId="1" xr:uid="{00000000-0005-0000-0000-00003E000000}"/>
    <cellStyle name="Normal 15" xfId="27" xr:uid="{00000000-0005-0000-0000-00003F000000}"/>
    <cellStyle name="Normal 16" xfId="28" xr:uid="{00000000-0005-0000-0000-000040000000}"/>
    <cellStyle name="Normal 17" xfId="29" xr:uid="{00000000-0005-0000-0000-000041000000}"/>
    <cellStyle name="Normal 18" xfId="30" xr:uid="{00000000-0005-0000-0000-000042000000}"/>
    <cellStyle name="Normal 19" xfId="31" xr:uid="{00000000-0005-0000-0000-000043000000}"/>
    <cellStyle name="Normal 2" xfId="3" xr:uid="{00000000-0005-0000-0000-000044000000}"/>
    <cellStyle name="Normal 2 2" xfId="2" xr:uid="{00000000-0005-0000-0000-000045000000}"/>
    <cellStyle name="Normal 2 2 2" xfId="32" xr:uid="{00000000-0005-0000-0000-000046000000}"/>
    <cellStyle name="Normal 2 2 3" xfId="33" xr:uid="{00000000-0005-0000-0000-000047000000}"/>
    <cellStyle name="Normal 2 3" xfId="34" xr:uid="{00000000-0005-0000-0000-000048000000}"/>
    <cellStyle name="Normal 2 3 2" xfId="35" xr:uid="{00000000-0005-0000-0000-000049000000}"/>
    <cellStyle name="Normal 2 3 3" xfId="143" xr:uid="{00000000-0005-0000-0000-00004A000000}"/>
    <cellStyle name="Normal 2 4" xfId="36" xr:uid="{00000000-0005-0000-0000-00004B000000}"/>
    <cellStyle name="Normal 2 4 2" xfId="37" xr:uid="{00000000-0005-0000-0000-00004C000000}"/>
    <cellStyle name="Normal 2 4 3" xfId="38" xr:uid="{00000000-0005-0000-0000-00004D000000}"/>
    <cellStyle name="Normal 2 4 4" xfId="144" xr:uid="{00000000-0005-0000-0000-00004E000000}"/>
    <cellStyle name="Normal 2 5" xfId="39" xr:uid="{00000000-0005-0000-0000-00004F000000}"/>
    <cellStyle name="Normal 2 6" xfId="40" xr:uid="{00000000-0005-0000-0000-000050000000}"/>
    <cellStyle name="Normal 2 7" xfId="41" xr:uid="{00000000-0005-0000-0000-000051000000}"/>
    <cellStyle name="Normal 2 8" xfId="42" xr:uid="{00000000-0005-0000-0000-000052000000}"/>
    <cellStyle name="Normal 2 9" xfId="141" xr:uid="{00000000-0005-0000-0000-000053000000}"/>
    <cellStyle name="Normal 20" xfId="43" xr:uid="{00000000-0005-0000-0000-000054000000}"/>
    <cellStyle name="Normal 21" xfId="44" xr:uid="{00000000-0005-0000-0000-000055000000}"/>
    <cellStyle name="Normal 22" xfId="45" xr:uid="{00000000-0005-0000-0000-000056000000}"/>
    <cellStyle name="Normal 23" xfId="46" xr:uid="{00000000-0005-0000-0000-000057000000}"/>
    <cellStyle name="Normal 24" xfId="47" xr:uid="{00000000-0005-0000-0000-000058000000}"/>
    <cellStyle name="Normal 25" xfId="48" xr:uid="{00000000-0005-0000-0000-000059000000}"/>
    <cellStyle name="Normal 3" xfId="49" xr:uid="{00000000-0005-0000-0000-00005A000000}"/>
    <cellStyle name="Normal 3 2" xfId="50" xr:uid="{00000000-0005-0000-0000-00005B000000}"/>
    <cellStyle name="Normal 3 2 2" xfId="51" xr:uid="{00000000-0005-0000-0000-00005C000000}"/>
    <cellStyle name="Normal 3 2 3" xfId="146" xr:uid="{00000000-0005-0000-0000-00005D000000}"/>
    <cellStyle name="Normal 3 3" xfId="52" xr:uid="{00000000-0005-0000-0000-00005E000000}"/>
    <cellStyle name="Normal 3 3 2" xfId="147" xr:uid="{00000000-0005-0000-0000-00005F000000}"/>
    <cellStyle name="Normal 3 4" xfId="53" xr:uid="{00000000-0005-0000-0000-000060000000}"/>
    <cellStyle name="Normal 3 5" xfId="54" xr:uid="{00000000-0005-0000-0000-000061000000}"/>
    <cellStyle name="Normal 3 6" xfId="55" xr:uid="{00000000-0005-0000-0000-000062000000}"/>
    <cellStyle name="Normal 3 7" xfId="56" xr:uid="{00000000-0005-0000-0000-000063000000}"/>
    <cellStyle name="Normal 3 8" xfId="145" xr:uid="{00000000-0005-0000-0000-000064000000}"/>
    <cellStyle name="Normal 32" xfId="57" xr:uid="{00000000-0005-0000-0000-000065000000}"/>
    <cellStyle name="Normal 33" xfId="157" xr:uid="{00000000-0005-0000-0000-000066000000}"/>
    <cellStyle name="Normal 35" xfId="156" xr:uid="{00000000-0005-0000-0000-000067000000}"/>
    <cellStyle name="Normal 36" xfId="58" xr:uid="{00000000-0005-0000-0000-000068000000}"/>
    <cellStyle name="Normal 37" xfId="158" xr:uid="{00000000-0005-0000-0000-000069000000}"/>
    <cellStyle name="Normal 4" xfId="59" xr:uid="{00000000-0005-0000-0000-00006A000000}"/>
    <cellStyle name="Normal 4 2" xfId="60" xr:uid="{00000000-0005-0000-0000-00006B000000}"/>
    <cellStyle name="Normal 4 2 2" xfId="61" xr:uid="{00000000-0005-0000-0000-00006C000000}"/>
    <cellStyle name="Normal 4 2 3" xfId="149" xr:uid="{00000000-0005-0000-0000-00006D000000}"/>
    <cellStyle name="Normal 4 3" xfId="62" xr:uid="{00000000-0005-0000-0000-00006E000000}"/>
    <cellStyle name="Normal 4 3 2" xfId="63" xr:uid="{00000000-0005-0000-0000-00006F000000}"/>
    <cellStyle name="Normal 4 3 3" xfId="150" xr:uid="{00000000-0005-0000-0000-000070000000}"/>
    <cellStyle name="Normal 4 4" xfId="64" xr:uid="{00000000-0005-0000-0000-000071000000}"/>
    <cellStyle name="Normal 4 4 2" xfId="155" xr:uid="{00000000-0005-0000-0000-000072000000}"/>
    <cellStyle name="Normal 4 4 3" xfId="154" xr:uid="{00000000-0005-0000-0000-000073000000}"/>
    <cellStyle name="Normal 4 5" xfId="65" xr:uid="{00000000-0005-0000-0000-000074000000}"/>
    <cellStyle name="Normal 4 6" xfId="66" xr:uid="{00000000-0005-0000-0000-000075000000}"/>
    <cellStyle name="Normal 4 7" xfId="148" xr:uid="{00000000-0005-0000-0000-000076000000}"/>
    <cellStyle name="Normal 5" xfId="67" xr:uid="{00000000-0005-0000-0000-000077000000}"/>
    <cellStyle name="Normal 5 2" xfId="68" xr:uid="{00000000-0005-0000-0000-000078000000}"/>
    <cellStyle name="Normal 5 2 2" xfId="69" xr:uid="{00000000-0005-0000-0000-000079000000}"/>
    <cellStyle name="Normal 5 3" xfId="70" xr:uid="{00000000-0005-0000-0000-00007A000000}"/>
    <cellStyle name="Normal 5 3 2" xfId="71" xr:uid="{00000000-0005-0000-0000-00007B000000}"/>
    <cellStyle name="Normal 5 4" xfId="72" xr:uid="{00000000-0005-0000-0000-00007C000000}"/>
    <cellStyle name="Normal 5 5" xfId="73" xr:uid="{00000000-0005-0000-0000-00007D000000}"/>
    <cellStyle name="Normal 5 6" xfId="151" xr:uid="{00000000-0005-0000-0000-00007E000000}"/>
    <cellStyle name="Normal 6" xfId="74" xr:uid="{00000000-0005-0000-0000-00007F000000}"/>
    <cellStyle name="Normal 6 2" xfId="75" xr:uid="{00000000-0005-0000-0000-000080000000}"/>
    <cellStyle name="Normal 6 2 2" xfId="76" xr:uid="{00000000-0005-0000-0000-000081000000}"/>
    <cellStyle name="Normal 6 3" xfId="77" xr:uid="{00000000-0005-0000-0000-000082000000}"/>
    <cellStyle name="Normal 6 4" xfId="78" xr:uid="{00000000-0005-0000-0000-000083000000}"/>
    <cellStyle name="Normal 6 5" xfId="79" xr:uid="{00000000-0005-0000-0000-000084000000}"/>
    <cellStyle name="Normal 6 6" xfId="80" xr:uid="{00000000-0005-0000-0000-000085000000}"/>
    <cellStyle name="Normal 6 7" xfId="152" xr:uid="{00000000-0005-0000-0000-000086000000}"/>
    <cellStyle name="Normal 7" xfId="81" xr:uid="{00000000-0005-0000-0000-000087000000}"/>
    <cellStyle name="Normal 7 2" xfId="82" xr:uid="{00000000-0005-0000-0000-000088000000}"/>
    <cellStyle name="Normal 7 2 2" xfId="83" xr:uid="{00000000-0005-0000-0000-000089000000}"/>
    <cellStyle name="Normal 7 3" xfId="84" xr:uid="{00000000-0005-0000-0000-00008A000000}"/>
    <cellStyle name="Normal 7 4" xfId="85" xr:uid="{00000000-0005-0000-0000-00008B000000}"/>
    <cellStyle name="Normal 7 5" xfId="86" xr:uid="{00000000-0005-0000-0000-00008C000000}"/>
    <cellStyle name="Normal 8" xfId="87" xr:uid="{00000000-0005-0000-0000-00008D000000}"/>
    <cellStyle name="Normal 8 2" xfId="88" xr:uid="{00000000-0005-0000-0000-00008E000000}"/>
    <cellStyle name="Normal 8 2 2" xfId="89" xr:uid="{00000000-0005-0000-0000-00008F000000}"/>
    <cellStyle name="Normal 8 3" xfId="90" xr:uid="{00000000-0005-0000-0000-000090000000}"/>
    <cellStyle name="Normal 8 4" xfId="91" xr:uid="{00000000-0005-0000-0000-000091000000}"/>
    <cellStyle name="Normal 8 5" xfId="92" xr:uid="{00000000-0005-0000-0000-000092000000}"/>
    <cellStyle name="Normal 9" xfId="93" xr:uid="{00000000-0005-0000-0000-000093000000}"/>
    <cellStyle name="Normal 9 2" xfId="94" xr:uid="{00000000-0005-0000-0000-000094000000}"/>
    <cellStyle name="Normal 9 2 2" xfId="95" xr:uid="{00000000-0005-0000-0000-000095000000}"/>
    <cellStyle name="Normal 9 2 3" xfId="161" xr:uid="{00000000-0005-0000-0000-000096000000}"/>
    <cellStyle name="Normal 9 3" xfId="96" xr:uid="{00000000-0005-0000-0000-000097000000}"/>
    <cellStyle name="Normal 9 4" xfId="97" xr:uid="{00000000-0005-0000-0000-000098000000}"/>
    <cellStyle name="Normal 9 4 2" xfId="98" xr:uid="{00000000-0005-0000-0000-000099000000}"/>
    <cellStyle name="Normal 9 4 3" xfId="99" xr:uid="{00000000-0005-0000-0000-00009A000000}"/>
    <cellStyle name="Normal 9 5" xfId="100" xr:uid="{00000000-0005-0000-0000-00009B000000}"/>
    <cellStyle name="Normal 9 6" xfId="153" xr:uid="{00000000-0005-0000-0000-00009C000000}"/>
    <cellStyle name="Note" xfId="115" builtinId="10" customBuiltin="1"/>
    <cellStyle name="Output" xfId="110" builtinId="21" customBuiltin="1"/>
    <cellStyle name="Title 2" xfId="101" xr:uid="{00000000-0005-0000-0000-00009F000000}"/>
    <cellStyle name="Total" xfId="117" builtinId="25" customBuiltin="1"/>
    <cellStyle name="Warning Text" xfId="114" builtinId="11" customBuiltin="1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border diagonalUp="0" diagonalDown="0" outline="0">
        <left/>
        <right/>
        <top/>
        <bottom/>
      </border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64" formatCode="0.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  <protection locked="1" hidden="0"/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  <protection locked="1" hidden="0"/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  <protection locked="1" hidden="0"/>
    </dxf>
    <dxf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  <protection locked="1" hidden="0"/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medium">
          <color indexed="64"/>
        </bottom>
      </border>
      <protection locked="1" hidden="0"/>
    </dxf>
    <dxf>
      <numFmt numFmtId="164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4" formatCode="0.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221627</xdr:colOff>
      <xdr:row>88</xdr:row>
      <xdr:rowOff>37244</xdr:rowOff>
    </xdr:from>
    <xdr:to>
      <xdr:col>17</xdr:col>
      <xdr:colOff>306150</xdr:colOff>
      <xdr:row>98</xdr:row>
      <xdr:rowOff>58997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00596-0D3C-4227-9286-D25929253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4639151" y="16371863"/>
          <a:ext cx="3557670" cy="18339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D6BAC-8284-4BB4-9C60-257025C726F9}" name="Table12" displayName="Table12" ref="B5:W83" totalsRowCount="1" headerRowDxfId="46" dataDxfId="45" tableBorderDxfId="44" headerRowCellStyle="Normal 14" dataCellStyle="Normal 14">
  <autoFilter ref="B5:W82" xr:uid="{00000000-0009-0000-0100-000003000000}"/>
  <tableColumns count="22">
    <tableColumn id="1" xr3:uid="{7DC22159-32C7-42A2-ADCF-727B8A722FB2}" name="Mass[1]" totalsRowLabel="Sum" dataDxfId="43" totalsRowDxfId="42" dataCellStyle="Normal 14"/>
    <tableColumn id="2" xr3:uid="{21DA1BDA-991B-4DC0-AD93-525660184727}" name="Composition[2]" dataDxfId="41" totalsRowDxfId="40" dataCellStyle="Normal 14"/>
    <tableColumn id="3" xr3:uid="{7571B217-B0FD-407C-BE20-7512B38DBF48}" name="Putative structures [3]" dataDxfId="39" totalsRowDxfId="38" dataCellStyle="Normal 14"/>
    <tableColumn id="21" xr3:uid="{45579DD3-3BC7-41C8-B25F-8317839DEFB6}" name="GlcNAc[4]" dataDxfId="37" totalsRowDxfId="36" dataCellStyle="Normal 14"/>
    <tableColumn id="77" xr3:uid="{8C33668F-FB4B-4CE5-841F-A40D149214B3}" name="RT" dataDxfId="35" totalsRowDxfId="34" dataCellStyle="Normal 14"/>
    <tableColumn id="78" xr3:uid="{70FE6E9B-B685-4EF9-8115-7041F346CCD4}" name="Intensity" totalsRowFunction="custom" dataDxfId="33" totalsRowDxfId="32" dataCellStyle="Normal 14">
      <totalsRowFormula>SUM(G6:G82)</totalsRowFormula>
    </tableColumn>
    <tableColumn id="79" xr3:uid="{42C1EAD2-2B7F-4A3C-8799-534504F5B331}" name="Percentage" dataDxfId="31" totalsRowDxfId="30" dataCellStyle="Normal 14">
      <calculatedColumnFormula>G6/$G$83*100</calculatedColumnFormula>
    </tableColumn>
    <tableColumn id="86" xr3:uid="{BD1BE0A4-08CB-4792-B9E8-113769A99B4B}" name="RT2" dataDxfId="29" totalsRowDxfId="28" dataCellStyle="Normal 14"/>
    <tableColumn id="87" xr3:uid="{88B5759A-7508-4B49-B197-FDD1FC99AE9A}" name="Intensity2" totalsRowFunction="custom" dataDxfId="27" totalsRowDxfId="26" dataCellStyle="Normal 14">
      <totalsRowFormula>SUM(J6:J82)</totalsRowFormula>
    </tableColumn>
    <tableColumn id="88" xr3:uid="{769CB321-4776-48C5-91C6-AECE72AFCEF2}" name="Percentage2" dataDxfId="25" totalsRowDxfId="24" dataCellStyle="Normal 14">
      <calculatedColumnFormula>J6/$J$83*100</calculatedColumnFormula>
    </tableColumn>
    <tableColumn id="71" xr3:uid="{DA9A05E6-1AE0-46E9-AE59-160682FF7AEA}" name="RT3" dataDxfId="23" totalsRowDxfId="22" dataCellStyle="Normal 14"/>
    <tableColumn id="72" xr3:uid="{395479DF-8820-4B92-88F2-D78217DDBF55}" name="Intensity3" totalsRowFunction="custom" dataDxfId="21" totalsRowDxfId="20" dataCellStyle="Normal 14">
      <totalsRowFormula>SUM(M6:M82)</totalsRowFormula>
    </tableColumn>
    <tableColumn id="73" xr3:uid="{9EB4DDC0-671C-4805-8F09-48FFBC11BF78}" name="Percentage3" dataDxfId="19" totalsRowDxfId="18" dataCellStyle="Normal 14">
      <calculatedColumnFormula>M6/$M$83*100</calculatedColumnFormula>
    </tableColumn>
    <tableColumn id="80" xr3:uid="{1D04FD32-5A02-4C1D-8465-B3544848CFB2}" name="RT4" dataDxfId="17" totalsRowDxfId="16" dataCellStyle="Normal 14"/>
    <tableColumn id="81" xr3:uid="{02BB64E2-223D-481B-9E30-2AA835A35647}" name="Intensity4" totalsRowFunction="custom" dataDxfId="15" totalsRowDxfId="14" dataCellStyle="Normal 14">
      <totalsRowFormula>SUM(P6:P82)</totalsRowFormula>
    </tableColumn>
    <tableColumn id="82" xr3:uid="{AF0ECB81-2CEC-4888-8F00-DF3E497BDD70}" name="Percentage4" dataDxfId="13" totalsRowDxfId="12" dataCellStyle="Normal 5 2">
      <calculatedColumnFormula>P6/$P$83*100</calculatedColumnFormula>
    </tableColumn>
    <tableColumn id="74" xr3:uid="{A33C766F-2D64-4F77-95C7-8D5CEAD0B5CF}" name="RT5" dataDxfId="11" totalsRowDxfId="10" dataCellStyle="Normal 14"/>
    <tableColumn id="75" xr3:uid="{90924580-228F-47C4-B747-D1AF60896977}" name="Intensity5" totalsRowFunction="custom" dataDxfId="9" totalsRowDxfId="8" dataCellStyle="Normal 14">
      <totalsRowFormula>SUM(S6:S82)</totalsRowFormula>
    </tableColumn>
    <tableColumn id="76" xr3:uid="{F4599361-13CB-4463-9173-3A1A34783B4D}" name="Percentage5" dataDxfId="7" totalsRowDxfId="6" dataCellStyle="Normal 14">
      <calculatedColumnFormula>S6/$S$83*100</calculatedColumnFormula>
    </tableColumn>
    <tableColumn id="83" xr3:uid="{E4C5DB35-F509-4C79-B1F5-6E86AF2741F2}" name="RT6" dataDxfId="5" totalsRowDxfId="4" dataCellStyle="Normal 14"/>
    <tableColumn id="84" xr3:uid="{31E3070D-31AA-4AA7-A826-AA1E96A20F6A}" name="Intensity6" totalsRowFunction="custom" dataDxfId="3" totalsRowDxfId="2" dataCellStyle="Normal 14">
      <totalsRowFormula>SUM(V6:V82)</totalsRowFormula>
    </tableColumn>
    <tableColumn id="85" xr3:uid="{B389182B-CA85-4517-9E67-3DAE4C756083}" name="Percentage6" dataDxfId="1" totalsRowDxfId="0" dataCellStyle="Normal 5 2">
      <calculatedColumnFormula>V6/$V$83*100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18D6-75D0-468E-8A20-65DBD4846661}">
  <dimension ref="A1:AJ100"/>
  <sheetViews>
    <sheetView tabSelected="1" zoomScale="70" zoomScaleNormal="70" workbookViewId="0">
      <pane xSplit="4" ySplit="5" topLeftCell="E6" activePane="bottomRight" state="frozen"/>
      <selection pane="topRight" activeCell="E1" sqref="E1"/>
      <selection pane="bottomLeft" activeCell="A4" sqref="A4"/>
      <selection pane="bottomRight" sqref="A1:E1"/>
    </sheetView>
  </sheetViews>
  <sheetFormatPr defaultColWidth="8.87890625" defaultRowHeight="14.35"/>
  <cols>
    <col min="1" max="1" width="7.52734375" customWidth="1"/>
    <col min="2" max="2" width="9.3515625" customWidth="1"/>
    <col min="3" max="3" width="6.52734375" customWidth="1"/>
    <col min="4" max="4" width="92.52734375" style="8" customWidth="1"/>
    <col min="5" max="5" width="16.41015625" customWidth="1"/>
    <col min="6" max="7" width="9.64453125" customWidth="1"/>
    <col min="8" max="8" width="9.64453125" style="8" customWidth="1"/>
    <col min="10" max="10" width="11.46875" customWidth="1"/>
    <col min="12" max="13" width="9.64453125" customWidth="1"/>
    <col min="14" max="14" width="9.64453125" style="8" customWidth="1"/>
    <col min="15" max="16" width="9.64453125" customWidth="1"/>
    <col min="17" max="17" width="9.64453125" style="8" customWidth="1"/>
    <col min="18" max="19" width="9.64453125" customWidth="1"/>
    <col min="20" max="20" width="9.64453125" style="8" customWidth="1"/>
    <col min="22" max="22" width="9.52734375" bestFit="1" customWidth="1"/>
    <col min="30" max="30" width="8" style="7" customWidth="1"/>
    <col min="31" max="31" width="8" style="21" customWidth="1"/>
    <col min="32" max="32" width="8" customWidth="1"/>
    <col min="44" max="44" width="9.52734375" bestFit="1" customWidth="1"/>
  </cols>
  <sheetData>
    <row r="1" spans="1:31" ht="31.7" customHeight="1">
      <c r="A1" s="97" t="s">
        <v>261</v>
      </c>
      <c r="B1" s="97"/>
      <c r="C1" s="97"/>
      <c r="D1" s="97"/>
      <c r="E1" s="98"/>
      <c r="F1" s="26"/>
      <c r="I1" s="26"/>
      <c r="K1" s="8"/>
      <c r="L1" s="26"/>
      <c r="R1" s="26"/>
      <c r="U1" s="26"/>
      <c r="W1" s="8"/>
      <c r="AD1"/>
      <c r="AE1"/>
    </row>
    <row r="2" spans="1:31" ht="14.7" thickBot="1">
      <c r="F2" s="36"/>
      <c r="I2" s="36"/>
      <c r="K2" s="8"/>
      <c r="L2" s="36"/>
      <c r="R2" s="36"/>
      <c r="U2" s="36"/>
      <c r="W2" s="8"/>
      <c r="AD2"/>
      <c r="AE2"/>
    </row>
    <row r="3" spans="1:31" ht="23.35">
      <c r="F3" s="87" t="s">
        <v>257</v>
      </c>
      <c r="G3" s="88"/>
      <c r="H3" s="88"/>
      <c r="I3" s="88"/>
      <c r="J3" s="88"/>
      <c r="K3" s="89"/>
      <c r="L3" s="90" t="s">
        <v>126</v>
      </c>
      <c r="M3" s="91"/>
      <c r="N3" s="91"/>
      <c r="O3" s="91"/>
      <c r="P3" s="91"/>
      <c r="Q3" s="92"/>
      <c r="R3" s="93" t="s">
        <v>127</v>
      </c>
      <c r="S3" s="93"/>
      <c r="T3" s="93"/>
      <c r="U3" s="93"/>
      <c r="V3" s="93"/>
      <c r="W3" s="94"/>
      <c r="AD3"/>
      <c r="AE3"/>
    </row>
    <row r="4" spans="1:31" s="1" customFormat="1" ht="20.7">
      <c r="D4" s="11"/>
      <c r="F4" s="83" t="s">
        <v>255</v>
      </c>
      <c r="G4" s="84"/>
      <c r="H4" s="85"/>
      <c r="I4" s="84" t="s">
        <v>256</v>
      </c>
      <c r="J4" s="84"/>
      <c r="K4" s="86"/>
      <c r="L4" s="83" t="s">
        <v>255</v>
      </c>
      <c r="M4" s="84"/>
      <c r="N4" s="85"/>
      <c r="O4" s="84" t="s">
        <v>256</v>
      </c>
      <c r="P4" s="84"/>
      <c r="Q4" s="86"/>
      <c r="R4" s="84" t="s">
        <v>255</v>
      </c>
      <c r="S4" s="84"/>
      <c r="T4" s="84"/>
      <c r="U4" s="84" t="s">
        <v>256</v>
      </c>
      <c r="V4" s="84"/>
      <c r="W4" s="86"/>
    </row>
    <row r="5" spans="1:31" ht="16.350000000000001">
      <c r="B5" s="65" t="s">
        <v>0</v>
      </c>
      <c r="C5" s="2" t="s">
        <v>1</v>
      </c>
      <c r="D5" s="12" t="s">
        <v>2</v>
      </c>
      <c r="E5" s="24" t="s">
        <v>254</v>
      </c>
      <c r="F5" s="46" t="s">
        <v>283</v>
      </c>
      <c r="G5" s="25" t="s">
        <v>289</v>
      </c>
      <c r="H5" s="59" t="s">
        <v>290</v>
      </c>
      <c r="I5" s="25" t="s">
        <v>284</v>
      </c>
      <c r="J5" s="25" t="s">
        <v>291</v>
      </c>
      <c r="K5" s="47" t="s">
        <v>292</v>
      </c>
      <c r="L5" s="46" t="s">
        <v>285</v>
      </c>
      <c r="M5" s="25" t="s">
        <v>293</v>
      </c>
      <c r="N5" s="59" t="s">
        <v>294</v>
      </c>
      <c r="O5" s="25" t="s">
        <v>286</v>
      </c>
      <c r="P5" s="25" t="s">
        <v>295</v>
      </c>
      <c r="Q5" s="47" t="s">
        <v>296</v>
      </c>
      <c r="R5" s="25" t="s">
        <v>287</v>
      </c>
      <c r="S5" s="25" t="s">
        <v>297</v>
      </c>
      <c r="T5" s="27" t="s">
        <v>298</v>
      </c>
      <c r="U5" s="25" t="s">
        <v>288</v>
      </c>
      <c r="V5" s="25" t="s">
        <v>299</v>
      </c>
      <c r="W5" s="27" t="s">
        <v>300</v>
      </c>
      <c r="AD5"/>
      <c r="AE5"/>
    </row>
    <row r="6" spans="1:31">
      <c r="B6" s="66" t="s">
        <v>29</v>
      </c>
      <c r="C6" s="6" t="s">
        <v>30</v>
      </c>
      <c r="D6" s="10" t="s">
        <v>183</v>
      </c>
      <c r="E6" s="20" t="s">
        <v>258</v>
      </c>
      <c r="F6" s="5">
        <v>11.53</v>
      </c>
      <c r="G6" s="4">
        <v>100050.52</v>
      </c>
      <c r="H6" s="19">
        <f t="shared" ref="H6:H37" si="0">G6/$G$83*100</f>
        <v>0.81173530297183227</v>
      </c>
      <c r="I6" s="3">
        <v>12.94</v>
      </c>
      <c r="J6" s="4">
        <v>152982.79</v>
      </c>
      <c r="K6" s="48">
        <f t="shared" ref="K6:K37" si="1">J6/$J$83*100</f>
        <v>0.97990900379798729</v>
      </c>
      <c r="L6" s="5" t="s">
        <v>3</v>
      </c>
      <c r="M6" s="4">
        <v>0</v>
      </c>
      <c r="N6" s="19">
        <f t="shared" ref="N6:N69" si="2">M6/$M$83*100</f>
        <v>0</v>
      </c>
      <c r="O6" s="3" t="s">
        <v>3</v>
      </c>
      <c r="P6" s="4">
        <v>0</v>
      </c>
      <c r="Q6" s="48">
        <f t="shared" ref="Q6:Q69" si="3">P6/$P$83*100</f>
        <v>0</v>
      </c>
      <c r="R6" s="3" t="s">
        <v>3</v>
      </c>
      <c r="S6" s="4">
        <v>0</v>
      </c>
      <c r="T6" s="4">
        <f t="shared" ref="T6:T69" si="4">S6/$S$83*100</f>
        <v>0</v>
      </c>
      <c r="U6" s="9" t="s">
        <v>3</v>
      </c>
      <c r="V6" s="4">
        <v>0</v>
      </c>
      <c r="W6" s="4">
        <f t="shared" ref="W6:W69" si="5">V6/$V$83*100</f>
        <v>0</v>
      </c>
      <c r="AD6"/>
      <c r="AE6"/>
    </row>
    <row r="7" spans="1:31">
      <c r="B7" s="66">
        <v>448</v>
      </c>
      <c r="C7" s="6" t="s">
        <v>128</v>
      </c>
      <c r="D7" s="10" t="s">
        <v>219</v>
      </c>
      <c r="E7" s="20" t="s">
        <v>259</v>
      </c>
      <c r="F7" s="5">
        <v>16.05</v>
      </c>
      <c r="G7" s="4">
        <v>137808.56</v>
      </c>
      <c r="H7" s="19">
        <f t="shared" si="0"/>
        <v>1.1180758801024915</v>
      </c>
      <c r="I7" s="3">
        <v>18.510000000000002</v>
      </c>
      <c r="J7" s="4">
        <v>189937.79</v>
      </c>
      <c r="K7" s="48">
        <f t="shared" si="1"/>
        <v>1.216618879695496</v>
      </c>
      <c r="L7" s="5">
        <v>16.22</v>
      </c>
      <c r="M7" s="4">
        <v>76502.27</v>
      </c>
      <c r="N7" s="19">
        <f t="shared" si="2"/>
        <v>0.69101871231006162</v>
      </c>
      <c r="O7" s="3">
        <v>15.91</v>
      </c>
      <c r="P7" s="4">
        <v>160880.29999999999</v>
      </c>
      <c r="Q7" s="48">
        <f t="shared" si="3"/>
        <v>1.1030939009633691</v>
      </c>
      <c r="R7" s="3">
        <v>16.61</v>
      </c>
      <c r="S7" s="4">
        <v>99452.76</v>
      </c>
      <c r="T7" s="4">
        <f t="shared" si="4"/>
        <v>1.4022819212960356</v>
      </c>
      <c r="U7" s="9">
        <v>16.760000000000002</v>
      </c>
      <c r="V7" s="4">
        <v>128660.78</v>
      </c>
      <c r="W7" s="4">
        <f t="shared" si="5"/>
        <v>1.1464171524671976</v>
      </c>
      <c r="AD7"/>
      <c r="AE7"/>
    </row>
    <row r="8" spans="1:31">
      <c r="B8" s="66">
        <v>472</v>
      </c>
      <c r="C8" s="6" t="s">
        <v>164</v>
      </c>
      <c r="D8" s="10" t="s">
        <v>165</v>
      </c>
      <c r="E8" s="20">
        <v>0</v>
      </c>
      <c r="F8" s="5">
        <v>14.75</v>
      </c>
      <c r="G8" s="4">
        <v>14151.04</v>
      </c>
      <c r="H8" s="19">
        <f t="shared" si="0"/>
        <v>0.11481098490808961</v>
      </c>
      <c r="I8" s="3">
        <v>16.55</v>
      </c>
      <c r="J8" s="4">
        <v>16507.29</v>
      </c>
      <c r="K8" s="48">
        <f t="shared" si="1"/>
        <v>0.10573504444064905</v>
      </c>
      <c r="L8" s="5" t="s">
        <v>224</v>
      </c>
      <c r="M8" s="4">
        <v>4229.3</v>
      </c>
      <c r="N8" s="19">
        <f t="shared" si="2"/>
        <v>3.82018133576029E-2</v>
      </c>
      <c r="O8" s="3">
        <v>14.59</v>
      </c>
      <c r="P8" s="4">
        <v>8515.4599999999991</v>
      </c>
      <c r="Q8" s="48">
        <f t="shared" si="3"/>
        <v>5.8387210801431444E-2</v>
      </c>
      <c r="R8" s="3">
        <v>15.28</v>
      </c>
      <c r="S8" s="4">
        <v>8045.47</v>
      </c>
      <c r="T8" s="4">
        <f t="shared" si="4"/>
        <v>0.11344096563362964</v>
      </c>
      <c r="U8" s="9" t="s">
        <v>238</v>
      </c>
      <c r="V8" s="4">
        <v>13766.4</v>
      </c>
      <c r="W8" s="4">
        <f t="shared" si="5"/>
        <v>0.12266393136839701</v>
      </c>
      <c r="AD8"/>
      <c r="AE8"/>
    </row>
    <row r="9" spans="1:31">
      <c r="B9" s="66">
        <v>505</v>
      </c>
      <c r="C9" s="6" t="s">
        <v>167</v>
      </c>
      <c r="D9" s="6" t="s">
        <v>166</v>
      </c>
      <c r="E9" s="20" t="s">
        <v>44</v>
      </c>
      <c r="F9" s="5">
        <v>14.18</v>
      </c>
      <c r="G9" s="4">
        <v>15623.84</v>
      </c>
      <c r="H9" s="19">
        <f t="shared" si="0"/>
        <v>0.1267601857140116</v>
      </c>
      <c r="I9" s="3">
        <v>15.98</v>
      </c>
      <c r="J9" s="4">
        <v>13947.58</v>
      </c>
      <c r="K9" s="48">
        <f t="shared" si="1"/>
        <v>8.9339194449210471E-2</v>
      </c>
      <c r="L9" s="5">
        <v>14.51</v>
      </c>
      <c r="M9" s="4">
        <v>10631.28</v>
      </c>
      <c r="N9" s="19">
        <f t="shared" si="2"/>
        <v>9.6028698440029467E-2</v>
      </c>
      <c r="O9" s="3" t="s">
        <v>188</v>
      </c>
      <c r="P9" s="4">
        <v>11403.3</v>
      </c>
      <c r="Q9" s="48">
        <f t="shared" si="3"/>
        <v>7.8188011091821608E-2</v>
      </c>
      <c r="R9" s="3">
        <v>14.64</v>
      </c>
      <c r="S9" s="4">
        <v>14517.96</v>
      </c>
      <c r="T9" s="4">
        <f t="shared" si="4"/>
        <v>0.2047029448162021</v>
      </c>
      <c r="U9" s="9" t="s">
        <v>239</v>
      </c>
      <c r="V9" s="4">
        <v>10753.4</v>
      </c>
      <c r="W9" s="4">
        <f t="shared" si="5"/>
        <v>9.5816939764711215E-2</v>
      </c>
      <c r="AD9"/>
      <c r="AE9"/>
    </row>
    <row r="10" spans="1:31">
      <c r="B10" s="66" t="s">
        <v>31</v>
      </c>
      <c r="C10" s="6" t="s">
        <v>4</v>
      </c>
      <c r="D10" s="10" t="s">
        <v>252</v>
      </c>
      <c r="E10" s="20">
        <v>0</v>
      </c>
      <c r="F10" s="5">
        <v>14.86</v>
      </c>
      <c r="G10" s="4">
        <v>86411.72</v>
      </c>
      <c r="H10" s="19">
        <f t="shared" si="0"/>
        <v>0.70108025140216301</v>
      </c>
      <c r="I10" s="3" t="s">
        <v>217</v>
      </c>
      <c r="J10" s="4">
        <v>121518.5</v>
      </c>
      <c r="K10" s="48">
        <f t="shared" si="1"/>
        <v>0.77836907195917737</v>
      </c>
      <c r="L10" s="5" t="s">
        <v>124</v>
      </c>
      <c r="M10" s="4">
        <v>47834.5</v>
      </c>
      <c r="N10" s="19">
        <f t="shared" si="2"/>
        <v>0.43207259855159391</v>
      </c>
      <c r="O10" s="3" t="s">
        <v>189</v>
      </c>
      <c r="P10" s="4">
        <v>103675.4</v>
      </c>
      <c r="Q10" s="48">
        <f t="shared" si="3"/>
        <v>0.7108620596800086</v>
      </c>
      <c r="R10" s="3">
        <v>14.88</v>
      </c>
      <c r="S10" s="4">
        <v>9588.74</v>
      </c>
      <c r="T10" s="4">
        <f t="shared" si="4"/>
        <v>0.13520104168057426</v>
      </c>
      <c r="U10" s="9">
        <v>15.86</v>
      </c>
      <c r="V10" s="4">
        <v>88553.38</v>
      </c>
      <c r="W10" s="4">
        <f t="shared" si="5"/>
        <v>0.78904475583737088</v>
      </c>
      <c r="AD10"/>
      <c r="AE10"/>
    </row>
    <row r="11" spans="1:31">
      <c r="A11" s="55"/>
      <c r="B11" s="66" t="s">
        <v>32</v>
      </c>
      <c r="C11" s="6" t="s">
        <v>4</v>
      </c>
      <c r="D11" s="10" t="s">
        <v>131</v>
      </c>
      <c r="E11" s="20">
        <v>0</v>
      </c>
      <c r="F11" s="5" t="s">
        <v>184</v>
      </c>
      <c r="G11" s="4">
        <v>23361.599999999999</v>
      </c>
      <c r="H11" s="19">
        <f t="shared" si="0"/>
        <v>0.18953859963853018</v>
      </c>
      <c r="I11" s="3" t="s">
        <v>213</v>
      </c>
      <c r="J11" s="4">
        <v>49192.9</v>
      </c>
      <c r="K11" s="48">
        <f t="shared" si="1"/>
        <v>0.31509796384896632</v>
      </c>
      <c r="L11" s="5" t="s">
        <v>122</v>
      </c>
      <c r="M11" s="4">
        <v>44458.5</v>
      </c>
      <c r="N11" s="19">
        <f t="shared" si="2"/>
        <v>0.40157835082850324</v>
      </c>
      <c r="O11" s="3" t="s">
        <v>51</v>
      </c>
      <c r="P11" s="4">
        <v>55779.6</v>
      </c>
      <c r="Q11" s="48">
        <f t="shared" si="3"/>
        <v>0.38245911126580662</v>
      </c>
      <c r="R11" s="3" t="s">
        <v>168</v>
      </c>
      <c r="S11" s="4">
        <v>75397.399999999994</v>
      </c>
      <c r="T11" s="4">
        <f t="shared" si="4"/>
        <v>1.0631018277695432</v>
      </c>
      <c r="U11" s="9" t="s">
        <v>202</v>
      </c>
      <c r="V11" s="4">
        <v>147678.39999999999</v>
      </c>
      <c r="W11" s="4">
        <f t="shared" si="5"/>
        <v>1.315871478541571</v>
      </c>
      <c r="AD11"/>
      <c r="AE11"/>
    </row>
    <row r="12" spans="1:31">
      <c r="A12" s="55"/>
      <c r="B12" s="66" t="s">
        <v>123</v>
      </c>
      <c r="C12" s="6" t="s">
        <v>4</v>
      </c>
      <c r="D12" s="10" t="s">
        <v>220</v>
      </c>
      <c r="E12" s="20">
        <v>0</v>
      </c>
      <c r="F12" s="5" t="s">
        <v>185</v>
      </c>
      <c r="G12" s="4">
        <v>59441.7</v>
      </c>
      <c r="H12" s="19">
        <f t="shared" si="0"/>
        <v>0.4822656229938711</v>
      </c>
      <c r="I12" s="3" t="s">
        <v>218</v>
      </c>
      <c r="J12" s="4">
        <v>102645.4</v>
      </c>
      <c r="K12" s="48">
        <f t="shared" si="1"/>
        <v>0.65748017576647622</v>
      </c>
      <c r="L12" s="5" t="s">
        <v>125</v>
      </c>
      <c r="M12" s="4">
        <v>107690.7</v>
      </c>
      <c r="N12" s="19">
        <f t="shared" si="2"/>
        <v>0.97273308153822302</v>
      </c>
      <c r="O12" s="3" t="s">
        <v>190</v>
      </c>
      <c r="P12" s="4">
        <v>104627.6</v>
      </c>
      <c r="Q12" s="48">
        <f t="shared" si="3"/>
        <v>0.71739092625035517</v>
      </c>
      <c r="R12" s="3" t="s">
        <v>169</v>
      </c>
      <c r="S12" s="4">
        <v>139851.29999999999</v>
      </c>
      <c r="T12" s="4">
        <f t="shared" si="4"/>
        <v>1.9719005250306603</v>
      </c>
      <c r="U12" s="9" t="s">
        <v>203</v>
      </c>
      <c r="V12" s="4">
        <v>308453</v>
      </c>
      <c r="W12" s="4">
        <f t="shared" si="5"/>
        <v>2.7484351480689337</v>
      </c>
      <c r="AD12"/>
      <c r="AE12"/>
    </row>
    <row r="13" spans="1:31">
      <c r="B13" s="66" t="s">
        <v>129</v>
      </c>
      <c r="C13" s="6" t="s">
        <v>4</v>
      </c>
      <c r="D13" s="6" t="s">
        <v>132</v>
      </c>
      <c r="E13" s="20">
        <v>0</v>
      </c>
      <c r="F13" s="5">
        <v>19.88</v>
      </c>
      <c r="G13" s="4">
        <v>417039.85</v>
      </c>
      <c r="H13" s="19">
        <f t="shared" si="0"/>
        <v>3.3835503202889647</v>
      </c>
      <c r="I13" s="3">
        <v>24.45</v>
      </c>
      <c r="J13" s="4">
        <v>545429.67000000004</v>
      </c>
      <c r="K13" s="48">
        <f t="shared" si="1"/>
        <v>3.4936703963338949</v>
      </c>
      <c r="L13" s="5">
        <v>19.68</v>
      </c>
      <c r="M13" s="4">
        <v>492550.8</v>
      </c>
      <c r="N13" s="19">
        <f t="shared" si="2"/>
        <v>4.4490420946109266</v>
      </c>
      <c r="O13" s="3">
        <v>20.14</v>
      </c>
      <c r="P13" s="4">
        <v>523746.8</v>
      </c>
      <c r="Q13" s="48">
        <f t="shared" si="3"/>
        <v>3.5911289370363031</v>
      </c>
      <c r="R13" s="3">
        <v>19.95</v>
      </c>
      <c r="S13" s="4">
        <v>286264</v>
      </c>
      <c r="T13" s="4">
        <f t="shared" si="4"/>
        <v>4.0363166584606436</v>
      </c>
      <c r="U13" s="9">
        <v>21.78</v>
      </c>
      <c r="V13" s="4">
        <v>523168.47</v>
      </c>
      <c r="W13" s="4">
        <f t="shared" si="5"/>
        <v>4.6616327651520564</v>
      </c>
      <c r="AD13"/>
      <c r="AE13"/>
    </row>
    <row r="14" spans="1:31">
      <c r="B14" s="66" t="s">
        <v>130</v>
      </c>
      <c r="C14" s="6" t="s">
        <v>4</v>
      </c>
      <c r="D14" s="10" t="s">
        <v>5</v>
      </c>
      <c r="E14" s="20">
        <v>0</v>
      </c>
      <c r="F14" s="5">
        <v>27.5</v>
      </c>
      <c r="G14" s="4">
        <v>1617058.07</v>
      </c>
      <c r="H14" s="19">
        <f t="shared" si="0"/>
        <v>13.119603200208218</v>
      </c>
      <c r="I14" s="3">
        <v>34.090000000000003</v>
      </c>
      <c r="J14" s="4">
        <v>1874095.05</v>
      </c>
      <c r="K14" s="48">
        <f t="shared" si="1"/>
        <v>12.004243179695175</v>
      </c>
      <c r="L14" s="5">
        <v>27.05</v>
      </c>
      <c r="M14" s="4">
        <v>1584793.17</v>
      </c>
      <c r="N14" s="19">
        <f t="shared" si="2"/>
        <v>14.314892036683101</v>
      </c>
      <c r="O14" s="3">
        <v>27.6</v>
      </c>
      <c r="P14" s="4">
        <v>1922079.3</v>
      </c>
      <c r="Q14" s="48">
        <f t="shared" si="3"/>
        <v>13.178953252809336</v>
      </c>
      <c r="R14" s="3">
        <v>27.36</v>
      </c>
      <c r="S14" s="4">
        <v>1117998.49</v>
      </c>
      <c r="T14" s="4">
        <f t="shared" si="4"/>
        <v>15.763756285529599</v>
      </c>
      <c r="U14" s="9">
        <v>30.11</v>
      </c>
      <c r="V14" s="4">
        <v>1528892.66</v>
      </c>
      <c r="W14" s="4">
        <f t="shared" si="5"/>
        <v>13.623023035498457</v>
      </c>
      <c r="AD14"/>
      <c r="AE14"/>
    </row>
    <row r="15" spans="1:31">
      <c r="B15" s="66">
        <v>571</v>
      </c>
      <c r="C15" s="6" t="s">
        <v>133</v>
      </c>
      <c r="D15" s="15" t="s">
        <v>222</v>
      </c>
      <c r="E15" s="20">
        <v>0</v>
      </c>
      <c r="F15" s="5">
        <v>16.78</v>
      </c>
      <c r="G15" s="4">
        <v>19842.18</v>
      </c>
      <c r="H15" s="19">
        <f t="shared" si="0"/>
        <v>0.16098465049378685</v>
      </c>
      <c r="I15" s="3">
        <v>20.63</v>
      </c>
      <c r="J15" s="4">
        <v>46273.66</v>
      </c>
      <c r="K15" s="48">
        <f t="shared" si="1"/>
        <v>0.29639919675073761</v>
      </c>
      <c r="L15" s="5">
        <v>16.579999999999998</v>
      </c>
      <c r="M15" s="4">
        <v>43089.59</v>
      </c>
      <c r="N15" s="19">
        <f t="shared" si="2"/>
        <v>0.38921345727085621</v>
      </c>
      <c r="O15" s="3">
        <v>17.079999999999998</v>
      </c>
      <c r="P15" s="4">
        <v>31770.83</v>
      </c>
      <c r="Q15" s="48">
        <f t="shared" si="3"/>
        <v>0.21784027504637948</v>
      </c>
      <c r="R15" s="3" t="s">
        <v>221</v>
      </c>
      <c r="S15" s="4">
        <v>32484.799999999999</v>
      </c>
      <c r="T15" s="4">
        <f t="shared" si="4"/>
        <v>0.45803502845891314</v>
      </c>
      <c r="U15" s="9">
        <v>18.34</v>
      </c>
      <c r="V15" s="4">
        <v>49316.57</v>
      </c>
      <c r="W15" s="4">
        <f t="shared" si="5"/>
        <v>0.43942965174662574</v>
      </c>
      <c r="AD15"/>
      <c r="AE15"/>
    </row>
    <row r="16" spans="1:31">
      <c r="A16" s="55"/>
      <c r="B16" s="66" t="s">
        <v>6</v>
      </c>
      <c r="C16" s="6" t="s">
        <v>7</v>
      </c>
      <c r="D16" s="6" t="s">
        <v>8</v>
      </c>
      <c r="E16" s="20" t="s">
        <v>41</v>
      </c>
      <c r="F16" s="5" t="s">
        <v>3</v>
      </c>
      <c r="G16" s="4">
        <v>0</v>
      </c>
      <c r="H16" s="19">
        <f t="shared" si="0"/>
        <v>0</v>
      </c>
      <c r="I16" s="3" t="s">
        <v>3</v>
      </c>
      <c r="J16" s="4">
        <v>0</v>
      </c>
      <c r="K16" s="48">
        <f t="shared" si="1"/>
        <v>0</v>
      </c>
      <c r="L16" s="5" t="s">
        <v>3</v>
      </c>
      <c r="M16" s="4">
        <v>0</v>
      </c>
      <c r="N16" s="19">
        <f t="shared" si="2"/>
        <v>0</v>
      </c>
      <c r="O16" s="3" t="s">
        <v>3</v>
      </c>
      <c r="P16" s="4">
        <v>0</v>
      </c>
      <c r="Q16" s="48">
        <f t="shared" si="3"/>
        <v>0</v>
      </c>
      <c r="R16" s="49">
        <v>12.63</v>
      </c>
      <c r="S16" s="38">
        <v>178014.05</v>
      </c>
      <c r="T16" s="38">
        <f t="shared" si="4"/>
        <v>2.5099945346080745</v>
      </c>
      <c r="U16" s="37">
        <v>13.45</v>
      </c>
      <c r="V16" s="38">
        <v>146304.51999999999</v>
      </c>
      <c r="W16" s="38">
        <f t="shared" si="5"/>
        <v>1.3036296780687957</v>
      </c>
      <c r="AD16"/>
      <c r="AE16"/>
    </row>
    <row r="17" spans="1:31">
      <c r="B17" s="66" t="s">
        <v>9</v>
      </c>
      <c r="C17" s="6" t="s">
        <v>7</v>
      </c>
      <c r="D17" s="6" t="s">
        <v>42</v>
      </c>
      <c r="E17" s="20" t="s">
        <v>43</v>
      </c>
      <c r="F17" s="5">
        <v>12.87</v>
      </c>
      <c r="G17" s="4">
        <v>1281616.3799999999</v>
      </c>
      <c r="H17" s="19">
        <f t="shared" si="0"/>
        <v>10.398079495368568</v>
      </c>
      <c r="I17" s="3">
        <v>14.87</v>
      </c>
      <c r="J17" s="4">
        <v>2040507.98</v>
      </c>
      <c r="K17" s="48">
        <f t="shared" si="1"/>
        <v>13.07017699130499</v>
      </c>
      <c r="L17" s="5">
        <v>12.7</v>
      </c>
      <c r="M17" s="4">
        <v>245355.86</v>
      </c>
      <c r="N17" s="19">
        <f t="shared" si="2"/>
        <v>2.2162151585165741</v>
      </c>
      <c r="O17" s="3">
        <v>12.85</v>
      </c>
      <c r="P17" s="4">
        <v>1534631.82</v>
      </c>
      <c r="Q17" s="48">
        <f t="shared" si="3"/>
        <v>10.522375958189507</v>
      </c>
      <c r="R17" s="50" t="s">
        <v>3</v>
      </c>
      <c r="S17" s="33">
        <v>0</v>
      </c>
      <c r="T17" s="33">
        <f t="shared" si="4"/>
        <v>0</v>
      </c>
      <c r="U17" s="32" t="s">
        <v>3</v>
      </c>
      <c r="V17" s="33">
        <v>0</v>
      </c>
      <c r="W17" s="33">
        <f t="shared" si="5"/>
        <v>0</v>
      </c>
      <c r="AD17"/>
      <c r="AE17"/>
    </row>
    <row r="18" spans="1:31">
      <c r="B18" s="66" t="s">
        <v>170</v>
      </c>
      <c r="C18" s="6" t="s">
        <v>134</v>
      </c>
      <c r="D18" s="6" t="s">
        <v>135</v>
      </c>
      <c r="E18" s="20">
        <v>0</v>
      </c>
      <c r="F18" s="5">
        <v>18.809999999999999</v>
      </c>
      <c r="G18" s="4">
        <v>38203.129999999997</v>
      </c>
      <c r="H18" s="19">
        <f t="shared" si="0"/>
        <v>0.30995170544863027</v>
      </c>
      <c r="I18" s="3">
        <v>22.33</v>
      </c>
      <c r="J18" s="4">
        <v>49537.4</v>
      </c>
      <c r="K18" s="48">
        <f t="shared" si="1"/>
        <v>0.31730460847747921</v>
      </c>
      <c r="L18" s="5">
        <v>18.989999999999998</v>
      </c>
      <c r="M18" s="4">
        <v>91005.45</v>
      </c>
      <c r="N18" s="19">
        <f t="shared" si="2"/>
        <v>0.82202095274032638</v>
      </c>
      <c r="O18" s="3">
        <v>18.760000000000002</v>
      </c>
      <c r="P18" s="4">
        <v>41220.29</v>
      </c>
      <c r="Q18" s="48">
        <f t="shared" si="3"/>
        <v>0.28263156206783152</v>
      </c>
      <c r="R18" s="3">
        <v>19.440000000000001</v>
      </c>
      <c r="S18" s="4">
        <v>61820.5</v>
      </c>
      <c r="T18" s="4">
        <f t="shared" si="4"/>
        <v>0.87166781007869032</v>
      </c>
      <c r="U18" s="9">
        <v>20.02</v>
      </c>
      <c r="V18" s="4">
        <v>53782.78</v>
      </c>
      <c r="W18" s="4">
        <f t="shared" si="5"/>
        <v>0.47922530470722896</v>
      </c>
      <c r="AD18"/>
      <c r="AE18"/>
    </row>
    <row r="19" spans="1:31">
      <c r="B19" s="66">
        <v>667</v>
      </c>
      <c r="C19" s="6" t="s">
        <v>10</v>
      </c>
      <c r="D19" s="10" t="s">
        <v>33</v>
      </c>
      <c r="E19" s="20" t="s">
        <v>44</v>
      </c>
      <c r="F19" s="5">
        <v>14.75</v>
      </c>
      <c r="G19" s="4">
        <v>92646.24</v>
      </c>
      <c r="H19" s="19">
        <f t="shared" si="0"/>
        <v>0.75166249706249499</v>
      </c>
      <c r="I19" s="3">
        <v>17.09</v>
      </c>
      <c r="J19" s="4">
        <v>110404.52</v>
      </c>
      <c r="K19" s="48">
        <f t="shared" si="1"/>
        <v>0.70718009004800453</v>
      </c>
      <c r="L19" s="5">
        <v>14.98</v>
      </c>
      <c r="M19" s="4">
        <v>44914.12</v>
      </c>
      <c r="N19" s="19">
        <f t="shared" si="2"/>
        <v>0.40569380969923624</v>
      </c>
      <c r="O19" s="3">
        <v>14.64</v>
      </c>
      <c r="P19" s="4">
        <v>133773.35</v>
      </c>
      <c r="Q19" s="48">
        <f t="shared" si="3"/>
        <v>0.91723204454764273</v>
      </c>
      <c r="R19" s="3">
        <v>15.22</v>
      </c>
      <c r="S19" s="4">
        <v>46473.19</v>
      </c>
      <c r="T19" s="4">
        <f t="shared" si="4"/>
        <v>0.6552710468965941</v>
      </c>
      <c r="U19" s="9">
        <v>15.44</v>
      </c>
      <c r="V19" s="4">
        <v>55079.040000000001</v>
      </c>
      <c r="W19" s="4">
        <f t="shared" si="5"/>
        <v>0.49077548105511931</v>
      </c>
      <c r="AD19"/>
      <c r="AE19"/>
    </row>
    <row r="20" spans="1:31">
      <c r="A20" s="55"/>
      <c r="B20" s="66" t="s">
        <v>11</v>
      </c>
      <c r="C20" s="6" t="s">
        <v>12</v>
      </c>
      <c r="D20" s="10" t="s">
        <v>13</v>
      </c>
      <c r="E20" s="20">
        <v>0</v>
      </c>
      <c r="F20" s="5">
        <v>12.54</v>
      </c>
      <c r="G20" s="4">
        <v>26778.76</v>
      </c>
      <c r="H20" s="19">
        <f t="shared" si="0"/>
        <v>0.21726288740738162</v>
      </c>
      <c r="I20" s="3">
        <v>14.09</v>
      </c>
      <c r="J20" s="4">
        <v>59388.94</v>
      </c>
      <c r="K20" s="48">
        <f t="shared" si="1"/>
        <v>0.38040721464171523</v>
      </c>
      <c r="L20" s="5" t="s">
        <v>136</v>
      </c>
      <c r="M20" s="4">
        <v>6321.4</v>
      </c>
      <c r="N20" s="19">
        <f t="shared" si="2"/>
        <v>5.7099033636476712E-2</v>
      </c>
      <c r="O20" s="3">
        <v>12.47</v>
      </c>
      <c r="P20" s="4">
        <v>46305.120000000003</v>
      </c>
      <c r="Q20" s="48">
        <f t="shared" si="3"/>
        <v>0.31749627179571971</v>
      </c>
      <c r="R20" s="3">
        <v>12.97</v>
      </c>
      <c r="S20" s="4">
        <v>63619.33</v>
      </c>
      <c r="T20" s="4">
        <f t="shared" si="4"/>
        <v>0.89703127699991958</v>
      </c>
      <c r="U20" s="9" t="s">
        <v>205</v>
      </c>
      <c r="V20" s="4">
        <v>72651.3</v>
      </c>
      <c r="W20" s="4">
        <f t="shared" si="5"/>
        <v>0.64735109229899046</v>
      </c>
      <c r="AD20"/>
      <c r="AE20"/>
    </row>
    <row r="21" spans="1:31">
      <c r="B21" s="66" t="s">
        <v>14</v>
      </c>
      <c r="C21" s="6" t="s">
        <v>12</v>
      </c>
      <c r="D21" s="10" t="s">
        <v>15</v>
      </c>
      <c r="E21" s="20">
        <v>0</v>
      </c>
      <c r="F21" s="5">
        <v>15.47</v>
      </c>
      <c r="G21" s="4">
        <v>67025.13</v>
      </c>
      <c r="H21" s="19">
        <f t="shared" si="0"/>
        <v>0.54379191839559105</v>
      </c>
      <c r="I21" s="3">
        <v>17.88</v>
      </c>
      <c r="J21" s="4">
        <v>89369.3</v>
      </c>
      <c r="K21" s="48">
        <f t="shared" si="1"/>
        <v>0.57244204876328553</v>
      </c>
      <c r="L21" s="5">
        <v>15.7</v>
      </c>
      <c r="M21" s="4">
        <v>39793.71</v>
      </c>
      <c r="N21" s="19">
        <f t="shared" si="2"/>
        <v>0.35944290597181006</v>
      </c>
      <c r="O21" s="3">
        <v>15.41</v>
      </c>
      <c r="P21" s="4">
        <v>75612.92</v>
      </c>
      <c r="Q21" s="48">
        <f t="shared" si="3"/>
        <v>0.51844850417379351</v>
      </c>
      <c r="R21" s="3">
        <v>16.07</v>
      </c>
      <c r="S21" s="4">
        <v>52051.14</v>
      </c>
      <c r="T21" s="4">
        <f t="shared" si="4"/>
        <v>0.73392003002077499</v>
      </c>
      <c r="U21" s="9" t="s">
        <v>204</v>
      </c>
      <c r="V21" s="4">
        <v>70152.899999999994</v>
      </c>
      <c r="W21" s="4">
        <f t="shared" si="5"/>
        <v>0.6250893850893493</v>
      </c>
      <c r="AD21"/>
      <c r="AE21"/>
    </row>
    <row r="22" spans="1:31">
      <c r="B22" s="66">
        <v>676</v>
      </c>
      <c r="C22" s="6" t="s">
        <v>137</v>
      </c>
      <c r="D22" s="6" t="s">
        <v>138</v>
      </c>
      <c r="E22" s="20">
        <v>0</v>
      </c>
      <c r="F22" s="5">
        <v>22.17</v>
      </c>
      <c r="G22" s="4">
        <v>331427.96999999997</v>
      </c>
      <c r="H22" s="19">
        <f t="shared" si="0"/>
        <v>2.6889593741370792</v>
      </c>
      <c r="I22" s="3">
        <v>27.59</v>
      </c>
      <c r="J22" s="4">
        <v>390326.66</v>
      </c>
      <c r="K22" s="48">
        <f t="shared" si="1"/>
        <v>2.5001806317978361</v>
      </c>
      <c r="L22" s="5">
        <v>21.83</v>
      </c>
      <c r="M22" s="4">
        <v>381347.35</v>
      </c>
      <c r="N22" s="19">
        <f t="shared" si="2"/>
        <v>3.4445795495983895</v>
      </c>
      <c r="O22" s="3">
        <v>22.49</v>
      </c>
      <c r="P22" s="4">
        <v>412291.97</v>
      </c>
      <c r="Q22" s="48">
        <f t="shared" si="3"/>
        <v>2.8269263391675197</v>
      </c>
      <c r="R22" s="3">
        <v>22.17</v>
      </c>
      <c r="S22" s="4">
        <v>224339.45</v>
      </c>
      <c r="T22" s="4">
        <f t="shared" si="4"/>
        <v>3.1631817454688633</v>
      </c>
      <c r="U22" s="9">
        <v>24.4</v>
      </c>
      <c r="V22" s="4">
        <v>377443.89</v>
      </c>
      <c r="W22" s="4">
        <f t="shared" si="5"/>
        <v>3.3631705760678754</v>
      </c>
      <c r="AD22"/>
      <c r="AE22"/>
    </row>
    <row r="23" spans="1:31">
      <c r="B23" s="66" t="s">
        <v>16</v>
      </c>
      <c r="C23" s="6" t="s">
        <v>17</v>
      </c>
      <c r="D23" s="10" t="s">
        <v>139</v>
      </c>
      <c r="E23" s="20">
        <v>0</v>
      </c>
      <c r="F23" s="5">
        <v>15.01</v>
      </c>
      <c r="G23" s="4">
        <v>328846.51</v>
      </c>
      <c r="H23" s="19">
        <f t="shared" si="0"/>
        <v>2.6680153329146084</v>
      </c>
      <c r="I23" s="3">
        <v>18.079999999999998</v>
      </c>
      <c r="J23" s="4">
        <v>462791.71</v>
      </c>
      <c r="K23" s="48">
        <f t="shared" si="1"/>
        <v>2.9643449665943931</v>
      </c>
      <c r="L23" s="5">
        <v>14.92</v>
      </c>
      <c r="M23" s="4">
        <v>188239.75</v>
      </c>
      <c r="N23" s="19">
        <f t="shared" si="2"/>
        <v>1.7003049667750765</v>
      </c>
      <c r="O23" s="3">
        <v>15.16</v>
      </c>
      <c r="P23" s="4">
        <v>380727.33</v>
      </c>
      <c r="Q23" s="48">
        <f t="shared" si="3"/>
        <v>2.6104998290845307</v>
      </c>
      <c r="R23" s="3">
        <v>15.11</v>
      </c>
      <c r="S23" s="4">
        <v>199452.22</v>
      </c>
      <c r="T23" s="4">
        <f t="shared" si="4"/>
        <v>2.8122723016270195</v>
      </c>
      <c r="U23" s="9">
        <v>16.25</v>
      </c>
      <c r="V23" s="4">
        <v>310703.78000000003</v>
      </c>
      <c r="W23" s="4">
        <f t="shared" si="5"/>
        <v>2.768490465613489</v>
      </c>
      <c r="AD23"/>
      <c r="AE23"/>
    </row>
    <row r="24" spans="1:31">
      <c r="B24" s="66" t="s">
        <v>18</v>
      </c>
      <c r="C24" s="6" t="s">
        <v>17</v>
      </c>
      <c r="D24" s="13" t="s">
        <v>143</v>
      </c>
      <c r="E24" s="20">
        <v>0</v>
      </c>
      <c r="F24" s="5">
        <v>18.59</v>
      </c>
      <c r="G24" s="4">
        <v>215636.38</v>
      </c>
      <c r="H24" s="19">
        <f t="shared" si="0"/>
        <v>1.7495127686597647</v>
      </c>
      <c r="I24" s="3">
        <v>22.88</v>
      </c>
      <c r="J24" s="4">
        <v>327896.06</v>
      </c>
      <c r="K24" s="48">
        <f t="shared" si="1"/>
        <v>2.1002905065588431</v>
      </c>
      <c r="L24" s="5">
        <v>18.39</v>
      </c>
      <c r="M24" s="4">
        <v>255426.67</v>
      </c>
      <c r="N24" s="19">
        <f t="shared" si="2"/>
        <v>2.3071813240711299</v>
      </c>
      <c r="O24" s="3">
        <v>18.920000000000002</v>
      </c>
      <c r="P24" s="4">
        <v>264788.18</v>
      </c>
      <c r="Q24" s="48">
        <f t="shared" si="3"/>
        <v>1.8155499859534745</v>
      </c>
      <c r="R24" s="3">
        <v>18.68</v>
      </c>
      <c r="S24" s="4">
        <v>161637.23000000001</v>
      </c>
      <c r="T24" s="4">
        <f t="shared" si="4"/>
        <v>2.2790817010746531</v>
      </c>
      <c r="U24" s="9">
        <v>20.43</v>
      </c>
      <c r="V24" s="4">
        <v>364092.92</v>
      </c>
      <c r="W24" s="4">
        <f t="shared" si="5"/>
        <v>3.2442082861604535</v>
      </c>
      <c r="AD24"/>
      <c r="AE24"/>
    </row>
    <row r="25" spans="1:31" s="34" customFormat="1" ht="13.35" customHeight="1">
      <c r="A25" s="55"/>
      <c r="B25" s="66" t="s">
        <v>140</v>
      </c>
      <c r="C25" s="6" t="s">
        <v>17</v>
      </c>
      <c r="D25" s="64" t="s">
        <v>144</v>
      </c>
      <c r="E25" s="20">
        <v>1</v>
      </c>
      <c r="F25" s="5" t="s">
        <v>186</v>
      </c>
      <c r="G25" s="4">
        <v>101514.6</v>
      </c>
      <c r="H25" s="19">
        <f t="shared" si="0"/>
        <v>0.82361375620101096</v>
      </c>
      <c r="I25" s="3" t="s">
        <v>215</v>
      </c>
      <c r="J25" s="4">
        <v>154489.1</v>
      </c>
      <c r="K25" s="48">
        <f t="shared" si="1"/>
        <v>0.98955745334914891</v>
      </c>
      <c r="L25" s="5" t="s">
        <v>145</v>
      </c>
      <c r="M25" s="4">
        <v>115304.6</v>
      </c>
      <c r="N25" s="19">
        <f t="shared" si="2"/>
        <v>1.041506823463235</v>
      </c>
      <c r="O25" s="3" t="s">
        <v>191</v>
      </c>
      <c r="P25" s="4">
        <v>124670.6</v>
      </c>
      <c r="Q25" s="48">
        <f t="shared" si="3"/>
        <v>0.85481801369989874</v>
      </c>
      <c r="R25" s="50" t="s">
        <v>3</v>
      </c>
      <c r="S25" s="33">
        <v>0</v>
      </c>
      <c r="T25" s="33">
        <f t="shared" si="4"/>
        <v>0</v>
      </c>
      <c r="U25" s="32" t="s">
        <v>3</v>
      </c>
      <c r="V25" s="33">
        <v>0</v>
      </c>
      <c r="W25" s="33">
        <f t="shared" si="5"/>
        <v>0</v>
      </c>
    </row>
    <row r="26" spans="1:31" s="34" customFormat="1">
      <c r="A26" s="55"/>
      <c r="B26" s="66" t="s">
        <v>141</v>
      </c>
      <c r="C26" s="6" t="s">
        <v>17</v>
      </c>
      <c r="D26" s="64" t="s">
        <v>223</v>
      </c>
      <c r="E26" s="20" t="s">
        <v>43</v>
      </c>
      <c r="F26" s="5" t="s">
        <v>94</v>
      </c>
      <c r="G26" s="4">
        <v>168436.4</v>
      </c>
      <c r="H26" s="19">
        <f t="shared" si="0"/>
        <v>1.3665673320387013</v>
      </c>
      <c r="I26" s="3" t="s">
        <v>216</v>
      </c>
      <c r="J26" s="4">
        <v>298509.40000000002</v>
      </c>
      <c r="K26" s="48">
        <f t="shared" si="1"/>
        <v>1.9120585314095457</v>
      </c>
      <c r="L26" s="5" t="s">
        <v>146</v>
      </c>
      <c r="M26" s="4">
        <v>231629.4</v>
      </c>
      <c r="N26" s="19">
        <f t="shared" si="2"/>
        <v>2.0922287629001359</v>
      </c>
      <c r="O26" s="3" t="s">
        <v>192</v>
      </c>
      <c r="P26" s="4">
        <v>175172.1</v>
      </c>
      <c r="Q26" s="48">
        <f t="shared" si="3"/>
        <v>1.2010872377099335</v>
      </c>
      <c r="R26" s="50" t="s">
        <v>3</v>
      </c>
      <c r="S26" s="33">
        <v>0</v>
      </c>
      <c r="T26" s="33">
        <f t="shared" si="4"/>
        <v>0</v>
      </c>
      <c r="U26" s="32" t="s">
        <v>3</v>
      </c>
      <c r="V26" s="33">
        <v>0</v>
      </c>
      <c r="W26" s="33">
        <f t="shared" si="5"/>
        <v>0</v>
      </c>
    </row>
    <row r="27" spans="1:31">
      <c r="B27" s="66" t="s">
        <v>142</v>
      </c>
      <c r="C27" s="6" t="s">
        <v>17</v>
      </c>
      <c r="D27" s="6" t="s">
        <v>19</v>
      </c>
      <c r="E27" s="20" t="s">
        <v>41</v>
      </c>
      <c r="F27" s="5">
        <v>27.89</v>
      </c>
      <c r="G27" s="4">
        <v>611251.06999999995</v>
      </c>
      <c r="H27" s="19">
        <f t="shared" si="0"/>
        <v>4.959235319299756</v>
      </c>
      <c r="I27" s="3">
        <v>34.94</v>
      </c>
      <c r="J27" s="4">
        <v>725295.51</v>
      </c>
      <c r="K27" s="48">
        <f t="shared" si="1"/>
        <v>4.6457748656777218</v>
      </c>
      <c r="L27" s="5">
        <v>27.59</v>
      </c>
      <c r="M27" s="4">
        <v>548139.35</v>
      </c>
      <c r="N27" s="19">
        <f t="shared" si="2"/>
        <v>4.9511543618702314</v>
      </c>
      <c r="O27" s="3">
        <v>28.32</v>
      </c>
      <c r="P27" s="4">
        <v>669712.48</v>
      </c>
      <c r="Q27" s="48">
        <f t="shared" si="3"/>
        <v>4.5919590657591529</v>
      </c>
      <c r="R27" s="3">
        <v>28</v>
      </c>
      <c r="S27" s="4">
        <v>424118.83</v>
      </c>
      <c r="T27" s="4">
        <f t="shared" si="4"/>
        <v>5.9800669965341005</v>
      </c>
      <c r="U27" s="9">
        <v>30.85</v>
      </c>
      <c r="V27" s="4">
        <v>584560.73</v>
      </c>
      <c r="W27" s="4">
        <f t="shared" si="5"/>
        <v>5.2086614703466454</v>
      </c>
      <c r="AD27"/>
      <c r="AE27"/>
    </row>
    <row r="28" spans="1:31">
      <c r="A28" s="55"/>
      <c r="B28" s="66" t="s">
        <v>45</v>
      </c>
      <c r="C28" s="6" t="s">
        <v>20</v>
      </c>
      <c r="D28" s="10" t="s">
        <v>34</v>
      </c>
      <c r="E28" s="22">
        <v>0</v>
      </c>
      <c r="F28" s="5">
        <v>16.84</v>
      </c>
      <c r="G28" s="4">
        <v>48005.03</v>
      </c>
      <c r="H28" s="60">
        <f t="shared" si="0"/>
        <v>0.38947701192579404</v>
      </c>
      <c r="I28" s="3" t="s">
        <v>212</v>
      </c>
      <c r="J28" s="4">
        <v>84136.9</v>
      </c>
      <c r="K28" s="48">
        <f t="shared" si="1"/>
        <v>0.53892667182792831</v>
      </c>
      <c r="L28" s="5" t="s">
        <v>147</v>
      </c>
      <c r="M28" s="4">
        <v>62633</v>
      </c>
      <c r="N28" s="19">
        <f t="shared" si="2"/>
        <v>0.56574236304512393</v>
      </c>
      <c r="O28" s="3">
        <v>17.14</v>
      </c>
      <c r="P28" s="4">
        <v>72479.759999999995</v>
      </c>
      <c r="Q28" s="48">
        <f t="shared" si="3"/>
        <v>0.4969656396668129</v>
      </c>
      <c r="R28" s="58">
        <v>16.899999999999999</v>
      </c>
      <c r="S28" s="40">
        <v>391613.48</v>
      </c>
      <c r="T28" s="41">
        <f t="shared" si="4"/>
        <v>5.5217422134873537</v>
      </c>
      <c r="U28" s="39">
        <v>18.34</v>
      </c>
      <c r="V28" s="40">
        <v>790720.09</v>
      </c>
      <c r="W28" s="40">
        <f t="shared" si="5"/>
        <v>7.0456208486875811</v>
      </c>
      <c r="AD28"/>
      <c r="AE28"/>
    </row>
    <row r="29" spans="1:31">
      <c r="A29" s="55"/>
      <c r="B29" s="66" t="s">
        <v>47</v>
      </c>
      <c r="C29" s="6" t="s">
        <v>20</v>
      </c>
      <c r="D29" s="10" t="s">
        <v>50</v>
      </c>
      <c r="E29" s="20">
        <v>0</v>
      </c>
      <c r="F29" s="5" t="s">
        <v>241</v>
      </c>
      <c r="G29" s="4">
        <v>51872.3</v>
      </c>
      <c r="H29" s="19">
        <f t="shared" si="0"/>
        <v>0.42085315654876937</v>
      </c>
      <c r="I29" s="3" t="s">
        <v>213</v>
      </c>
      <c r="J29" s="4">
        <v>76363.899999999994</v>
      </c>
      <c r="K29" s="48">
        <f t="shared" si="1"/>
        <v>0.48913785122580861</v>
      </c>
      <c r="L29" s="5" t="s">
        <v>48</v>
      </c>
      <c r="M29" s="4">
        <v>88907.7</v>
      </c>
      <c r="N29" s="19">
        <f t="shared" si="2"/>
        <v>0.80307269795326686</v>
      </c>
      <c r="O29" s="3" t="s">
        <v>51</v>
      </c>
      <c r="P29" s="4">
        <v>89053.7</v>
      </c>
      <c r="Q29" s="48">
        <f t="shared" si="3"/>
        <v>0.61060672641847125</v>
      </c>
      <c r="R29" s="58">
        <v>17.96</v>
      </c>
      <c r="S29" s="40">
        <v>212692.39</v>
      </c>
      <c r="T29" s="40">
        <f t="shared" si="4"/>
        <v>2.9989584330715982</v>
      </c>
      <c r="U29" s="39">
        <v>19.55</v>
      </c>
      <c r="V29" s="40">
        <v>449379.57</v>
      </c>
      <c r="W29" s="40">
        <f t="shared" si="5"/>
        <v>4.00414521827346</v>
      </c>
      <c r="AD29"/>
      <c r="AE29"/>
    </row>
    <row r="30" spans="1:31">
      <c r="B30" s="66" t="s">
        <v>49</v>
      </c>
      <c r="C30" s="6" t="s">
        <v>20</v>
      </c>
      <c r="D30" s="10" t="s">
        <v>46</v>
      </c>
      <c r="E30" s="20" t="s">
        <v>43</v>
      </c>
      <c r="F30" s="5" t="s">
        <v>242</v>
      </c>
      <c r="G30" s="4">
        <v>34110.1</v>
      </c>
      <c r="H30" s="19">
        <f t="shared" si="0"/>
        <v>0.27674391255437247</v>
      </c>
      <c r="I30" s="3" t="s">
        <v>214</v>
      </c>
      <c r="J30" s="4">
        <v>48419.3</v>
      </c>
      <c r="K30" s="48">
        <f t="shared" si="1"/>
        <v>0.3101427816004394</v>
      </c>
      <c r="L30" s="5" t="s">
        <v>80</v>
      </c>
      <c r="M30" s="4">
        <v>39626.9</v>
      </c>
      <c r="N30" s="19">
        <f t="shared" si="2"/>
        <v>0.3579361685717245</v>
      </c>
      <c r="O30" s="3" t="s">
        <v>193</v>
      </c>
      <c r="P30" s="4">
        <v>52361.3</v>
      </c>
      <c r="Q30" s="48">
        <f t="shared" si="3"/>
        <v>0.35902115222630282</v>
      </c>
      <c r="R30" s="50" t="s">
        <v>3</v>
      </c>
      <c r="S30" s="33">
        <v>0</v>
      </c>
      <c r="T30" s="33">
        <f t="shared" si="4"/>
        <v>0</v>
      </c>
      <c r="U30" s="32" t="s">
        <v>3</v>
      </c>
      <c r="V30" s="33">
        <v>0</v>
      </c>
      <c r="W30" s="33">
        <f t="shared" si="5"/>
        <v>0</v>
      </c>
      <c r="AD30"/>
      <c r="AE30"/>
    </row>
    <row r="31" spans="1:31">
      <c r="A31" s="55"/>
      <c r="B31" s="66" t="s">
        <v>172</v>
      </c>
      <c r="C31" s="6" t="s">
        <v>21</v>
      </c>
      <c r="D31" s="10" t="s">
        <v>52</v>
      </c>
      <c r="E31" s="20" t="s">
        <v>53</v>
      </c>
      <c r="F31" s="5">
        <v>15.99</v>
      </c>
      <c r="G31" s="4">
        <v>354517.7</v>
      </c>
      <c r="H31" s="19">
        <f t="shared" si="0"/>
        <v>2.8762922233525337</v>
      </c>
      <c r="I31" s="3">
        <v>19.36</v>
      </c>
      <c r="J31" s="4">
        <v>496814.93</v>
      </c>
      <c r="K31" s="48">
        <f t="shared" si="1"/>
        <v>3.182275752248124</v>
      </c>
      <c r="L31" s="5">
        <v>15.87</v>
      </c>
      <c r="M31" s="4">
        <v>268830.63</v>
      </c>
      <c r="N31" s="19">
        <f t="shared" si="2"/>
        <v>2.4282546880256315</v>
      </c>
      <c r="O31" s="3">
        <v>16.239999999999998</v>
      </c>
      <c r="P31" s="4">
        <v>443746.74</v>
      </c>
      <c r="Q31" s="48">
        <f t="shared" si="3"/>
        <v>3.0425995132180752</v>
      </c>
      <c r="R31" s="50" t="s">
        <v>3</v>
      </c>
      <c r="S31" s="33">
        <v>0</v>
      </c>
      <c r="T31" s="33">
        <f t="shared" si="4"/>
        <v>0</v>
      </c>
      <c r="U31" s="32" t="s">
        <v>3</v>
      </c>
      <c r="V31" s="33">
        <v>0</v>
      </c>
      <c r="W31" s="33">
        <f t="shared" si="5"/>
        <v>0</v>
      </c>
      <c r="AD31"/>
      <c r="AE31"/>
    </row>
    <row r="32" spans="1:31">
      <c r="A32" s="55"/>
      <c r="B32" s="66" t="s">
        <v>173</v>
      </c>
      <c r="C32" s="6" t="s">
        <v>21</v>
      </c>
      <c r="D32" s="6" t="s">
        <v>174</v>
      </c>
      <c r="E32" s="20">
        <v>0</v>
      </c>
      <c r="F32" s="5" t="s">
        <v>3</v>
      </c>
      <c r="G32" s="4">
        <v>0</v>
      </c>
      <c r="H32" s="19">
        <f t="shared" si="0"/>
        <v>0</v>
      </c>
      <c r="I32" s="3" t="s">
        <v>3</v>
      </c>
      <c r="J32" s="4">
        <v>0</v>
      </c>
      <c r="K32" s="48">
        <f t="shared" si="1"/>
        <v>0</v>
      </c>
      <c r="L32" s="5" t="s">
        <v>3</v>
      </c>
      <c r="M32" s="4">
        <v>0</v>
      </c>
      <c r="N32" s="19">
        <f t="shared" si="2"/>
        <v>0</v>
      </c>
      <c r="O32" s="3" t="s">
        <v>3</v>
      </c>
      <c r="P32" s="4">
        <v>0</v>
      </c>
      <c r="Q32" s="48">
        <f t="shared" si="3"/>
        <v>0</v>
      </c>
      <c r="R32" s="49">
        <v>15.76</v>
      </c>
      <c r="S32" s="38">
        <v>65745.98</v>
      </c>
      <c r="T32" s="38">
        <f t="shared" si="4"/>
        <v>0.92701699934612902</v>
      </c>
      <c r="U32" s="37">
        <v>17.170000000000002</v>
      </c>
      <c r="V32" s="38">
        <v>90430.45</v>
      </c>
      <c r="W32" s="38">
        <f t="shared" si="5"/>
        <v>0.80577017320528666</v>
      </c>
      <c r="AD32"/>
      <c r="AE32"/>
    </row>
    <row r="33" spans="1:31">
      <c r="B33" s="66">
        <v>797</v>
      </c>
      <c r="C33" s="6" t="s">
        <v>148</v>
      </c>
      <c r="D33" s="10" t="s">
        <v>175</v>
      </c>
      <c r="E33" s="20">
        <v>0</v>
      </c>
      <c r="F33" s="5" t="s">
        <v>243</v>
      </c>
      <c r="G33" s="4">
        <v>19364.3</v>
      </c>
      <c r="H33" s="19">
        <f t="shared" si="0"/>
        <v>0.15710748857014886</v>
      </c>
      <c r="I33" s="3">
        <v>27.7</v>
      </c>
      <c r="J33" s="4">
        <v>40240.1</v>
      </c>
      <c r="K33" s="48">
        <f t="shared" si="1"/>
        <v>0.2577521059965725</v>
      </c>
      <c r="L33" s="5">
        <v>22.99</v>
      </c>
      <c r="M33" s="4">
        <v>33260.199999999997</v>
      </c>
      <c r="N33" s="19">
        <f t="shared" si="2"/>
        <v>0.30042795560412927</v>
      </c>
      <c r="O33" s="3">
        <v>22.89</v>
      </c>
      <c r="P33" s="4">
        <v>31444.85</v>
      </c>
      <c r="Q33" s="48">
        <f t="shared" si="3"/>
        <v>0.21560515645301503</v>
      </c>
      <c r="R33" s="3">
        <v>23.53</v>
      </c>
      <c r="S33" s="4">
        <v>26406.58</v>
      </c>
      <c r="T33" s="4">
        <f t="shared" si="4"/>
        <v>0.37233224836854673</v>
      </c>
      <c r="U33" s="9" t="s">
        <v>240</v>
      </c>
      <c r="V33" s="4">
        <v>28133.599999999999</v>
      </c>
      <c r="W33" s="4">
        <f t="shared" si="5"/>
        <v>0.2506812223635761</v>
      </c>
      <c r="AD33"/>
      <c r="AE33"/>
    </row>
    <row r="34" spans="1:31">
      <c r="B34" s="66">
        <v>813</v>
      </c>
      <c r="C34" s="6" t="s">
        <v>54</v>
      </c>
      <c r="D34" s="13" t="s">
        <v>55</v>
      </c>
      <c r="E34" s="20" t="s">
        <v>44</v>
      </c>
      <c r="F34" s="5">
        <v>29.72</v>
      </c>
      <c r="G34" s="4">
        <v>1266381.8600000001</v>
      </c>
      <c r="H34" s="19">
        <f t="shared" si="0"/>
        <v>10.274477961785031</v>
      </c>
      <c r="I34" s="3">
        <v>36.22</v>
      </c>
      <c r="J34" s="4">
        <v>1315036.52</v>
      </c>
      <c r="K34" s="48">
        <f t="shared" si="1"/>
        <v>8.4232751035013287</v>
      </c>
      <c r="L34" s="5">
        <v>30.14</v>
      </c>
      <c r="M34" s="4">
        <v>1239112.24</v>
      </c>
      <c r="N34" s="19">
        <f t="shared" si="2"/>
        <v>11.192475000969724</v>
      </c>
      <c r="O34" s="3">
        <v>29.89</v>
      </c>
      <c r="P34" s="4">
        <v>1253138.3500000001</v>
      </c>
      <c r="Q34" s="48">
        <f t="shared" si="3"/>
        <v>8.5922842694121044</v>
      </c>
      <c r="R34" s="3">
        <v>30.89</v>
      </c>
      <c r="S34" s="4">
        <v>671805.98</v>
      </c>
      <c r="T34" s="4">
        <f t="shared" si="4"/>
        <v>9.4724508437228483</v>
      </c>
      <c r="U34" s="9">
        <v>32.29</v>
      </c>
      <c r="V34" s="4">
        <v>1120009.7</v>
      </c>
      <c r="W34" s="4">
        <f t="shared" si="5"/>
        <v>9.9797182250071863</v>
      </c>
      <c r="AD34"/>
      <c r="AE34"/>
    </row>
    <row r="35" spans="1:31">
      <c r="B35" s="66">
        <v>821</v>
      </c>
      <c r="C35" s="6" t="s">
        <v>37</v>
      </c>
      <c r="D35" s="10" t="s">
        <v>22</v>
      </c>
      <c r="E35" s="20">
        <v>0</v>
      </c>
      <c r="F35" s="5">
        <v>29.72</v>
      </c>
      <c r="G35" s="4">
        <v>160722.41</v>
      </c>
      <c r="H35" s="19">
        <f t="shared" si="0"/>
        <v>1.3039817701668421</v>
      </c>
      <c r="I35" s="3">
        <v>36.32</v>
      </c>
      <c r="J35" s="4">
        <v>181636.65</v>
      </c>
      <c r="K35" s="48">
        <f t="shared" si="1"/>
        <v>1.163447135162744</v>
      </c>
      <c r="L35" s="5">
        <v>30.25</v>
      </c>
      <c r="M35" s="4">
        <v>187664.18</v>
      </c>
      <c r="N35" s="19">
        <f t="shared" si="2"/>
        <v>1.6951060407792293</v>
      </c>
      <c r="O35" s="3">
        <v>29.94</v>
      </c>
      <c r="P35" s="4">
        <v>173065.88</v>
      </c>
      <c r="Q35" s="48">
        <f t="shared" si="3"/>
        <v>1.1866457030031541</v>
      </c>
      <c r="R35" s="3">
        <v>30.89</v>
      </c>
      <c r="S35" s="4">
        <v>103248.94</v>
      </c>
      <c r="T35" s="4">
        <f t="shared" si="4"/>
        <v>1.4558079831568185</v>
      </c>
      <c r="U35" s="9">
        <v>32.4</v>
      </c>
      <c r="V35" s="4">
        <v>160758.57</v>
      </c>
      <c r="W35" s="4">
        <f t="shared" si="5"/>
        <v>1.4324208360473074</v>
      </c>
      <c r="AD35"/>
      <c r="AE35"/>
    </row>
    <row r="36" spans="1:31">
      <c r="A36" s="55"/>
      <c r="B36" s="66">
        <v>878</v>
      </c>
      <c r="C36" s="6" t="s">
        <v>23</v>
      </c>
      <c r="D36" s="10" t="s">
        <v>56</v>
      </c>
      <c r="E36" s="20" t="s">
        <v>43</v>
      </c>
      <c r="F36" s="5">
        <v>16.21</v>
      </c>
      <c r="G36" s="4">
        <v>251832.46</v>
      </c>
      <c r="H36" s="19">
        <f t="shared" si="0"/>
        <v>2.0431807672388094</v>
      </c>
      <c r="I36" s="3" t="s">
        <v>249</v>
      </c>
      <c r="J36" s="4">
        <f>306868.87/2</f>
        <v>153434.435</v>
      </c>
      <c r="K36" s="48">
        <f t="shared" si="1"/>
        <v>0.98280195013541738</v>
      </c>
      <c r="L36" s="5" t="s">
        <v>150</v>
      </c>
      <c r="M36" s="4">
        <v>91360.6</v>
      </c>
      <c r="N36" s="19">
        <f t="shared" si="2"/>
        <v>0.82522890063098286</v>
      </c>
      <c r="O36" s="3" t="s">
        <v>227</v>
      </c>
      <c r="P36" s="4">
        <v>148735.5</v>
      </c>
      <c r="Q36" s="48">
        <f t="shared" si="3"/>
        <v>1.0198217115876662</v>
      </c>
      <c r="R36" s="50" t="s">
        <v>3</v>
      </c>
      <c r="S36" s="33">
        <v>0</v>
      </c>
      <c r="T36" s="33">
        <f t="shared" si="4"/>
        <v>0</v>
      </c>
      <c r="U36" s="32" t="s">
        <v>3</v>
      </c>
      <c r="V36" s="33">
        <v>0</v>
      </c>
      <c r="W36" s="33">
        <f t="shared" si="5"/>
        <v>0</v>
      </c>
      <c r="AD36"/>
      <c r="AE36"/>
    </row>
    <row r="37" spans="1:31">
      <c r="B37" s="67">
        <v>879</v>
      </c>
      <c r="C37" s="6" t="s">
        <v>153</v>
      </c>
      <c r="D37" s="10" t="s">
        <v>152</v>
      </c>
      <c r="E37" s="20">
        <v>0</v>
      </c>
      <c r="F37" s="5" t="s">
        <v>187</v>
      </c>
      <c r="G37" s="4">
        <v>16346.9</v>
      </c>
      <c r="H37" s="19">
        <f t="shared" si="0"/>
        <v>0.13262655530576198</v>
      </c>
      <c r="I37" s="3" t="s">
        <v>248</v>
      </c>
      <c r="J37" s="4">
        <v>153434.4</v>
      </c>
      <c r="K37" s="48">
        <f t="shared" si="1"/>
        <v>0.98280172594800952</v>
      </c>
      <c r="L37" s="5" t="s">
        <v>151</v>
      </c>
      <c r="M37" s="4">
        <v>52304.800000000003</v>
      </c>
      <c r="N37" s="19">
        <f t="shared" si="2"/>
        <v>0.47245128208137244</v>
      </c>
      <c r="O37" s="3" t="s">
        <v>228</v>
      </c>
      <c r="P37" s="4">
        <v>148735.5</v>
      </c>
      <c r="Q37" s="48">
        <f t="shared" si="3"/>
        <v>1.0198217115876662</v>
      </c>
      <c r="R37" s="3">
        <v>16.37</v>
      </c>
      <c r="S37" s="4">
        <v>69140.740000000005</v>
      </c>
      <c r="T37" s="4">
        <f t="shared" si="4"/>
        <v>0.97488304725811203</v>
      </c>
      <c r="U37" s="9">
        <v>17.670000000000002</v>
      </c>
      <c r="V37" s="4">
        <v>136553.85</v>
      </c>
      <c r="W37" s="4">
        <f t="shared" si="5"/>
        <v>1.216747449187179</v>
      </c>
      <c r="AD37"/>
      <c r="AE37"/>
    </row>
    <row r="38" spans="1:31">
      <c r="B38" s="66" t="s">
        <v>176</v>
      </c>
      <c r="C38" s="6" t="s">
        <v>24</v>
      </c>
      <c r="D38" s="10" t="s">
        <v>58</v>
      </c>
      <c r="E38" s="20">
        <v>0</v>
      </c>
      <c r="F38" s="5">
        <v>21.31</v>
      </c>
      <c r="G38" s="4">
        <v>88797.86</v>
      </c>
      <c r="H38" s="19">
        <f t="shared" ref="H38:H69" si="6">G38/$G$83*100</f>
        <v>0.72043961181161631</v>
      </c>
      <c r="I38" s="3">
        <v>26.47</v>
      </c>
      <c r="J38" s="4">
        <v>84965.1</v>
      </c>
      <c r="K38" s="48">
        <f t="shared" ref="K38:K69" si="7">J38/$J$83*100</f>
        <v>0.54423158643267244</v>
      </c>
      <c r="L38" s="5">
        <v>21.06</v>
      </c>
      <c r="M38" s="4">
        <v>147549.03</v>
      </c>
      <c r="N38" s="19">
        <f t="shared" si="2"/>
        <v>1.3327596777611783</v>
      </c>
      <c r="O38" s="3">
        <v>21.61</v>
      </c>
      <c r="P38" s="4">
        <v>129863.98</v>
      </c>
      <c r="Q38" s="48">
        <f t="shared" si="3"/>
        <v>0.89042700873151626</v>
      </c>
      <c r="R38" s="3">
        <v>21.43</v>
      </c>
      <c r="S38" s="4">
        <v>51153.63</v>
      </c>
      <c r="T38" s="4">
        <f t="shared" si="4"/>
        <v>0.72126515702195215</v>
      </c>
      <c r="U38" s="9">
        <v>23.38</v>
      </c>
      <c r="V38" s="4">
        <v>96214.97</v>
      </c>
      <c r="W38" s="4">
        <f t="shared" si="5"/>
        <v>0.85731247651472997</v>
      </c>
      <c r="AD38"/>
      <c r="AE38"/>
    </row>
    <row r="39" spans="1:31">
      <c r="A39" s="55"/>
      <c r="B39" s="66" t="s">
        <v>57</v>
      </c>
      <c r="C39" s="6" t="s">
        <v>24</v>
      </c>
      <c r="D39" s="10" t="s">
        <v>60</v>
      </c>
      <c r="E39" s="20">
        <v>0</v>
      </c>
      <c r="F39" s="5">
        <v>22.46</v>
      </c>
      <c r="G39" s="4">
        <v>95842.48</v>
      </c>
      <c r="H39" s="19">
        <f t="shared" si="6"/>
        <v>0.77759440471045793</v>
      </c>
      <c r="I39" s="3">
        <v>28.06</v>
      </c>
      <c r="J39" s="4">
        <v>106902.48</v>
      </c>
      <c r="K39" s="48">
        <f t="shared" si="7"/>
        <v>0.68474828234165597</v>
      </c>
      <c r="L39" s="5">
        <v>22.22</v>
      </c>
      <c r="M39" s="4">
        <v>146149.25</v>
      </c>
      <c r="N39" s="19">
        <f t="shared" si="2"/>
        <v>1.3201159461030538</v>
      </c>
      <c r="O39" s="3">
        <v>22.89</v>
      </c>
      <c r="P39" s="4">
        <v>165154.01999999999</v>
      </c>
      <c r="Q39" s="48">
        <f t="shared" si="3"/>
        <v>1.1323971436004425</v>
      </c>
      <c r="R39" s="58">
        <v>22.52</v>
      </c>
      <c r="S39" s="40">
        <v>329305.08</v>
      </c>
      <c r="T39" s="40">
        <f t="shared" si="4"/>
        <v>4.6431950231943766</v>
      </c>
      <c r="U39" s="39">
        <v>24.74</v>
      </c>
      <c r="V39" s="40">
        <v>565391</v>
      </c>
      <c r="W39" s="40">
        <f t="shared" si="5"/>
        <v>5.0378517855292131</v>
      </c>
      <c r="AD39"/>
      <c r="AE39"/>
    </row>
    <row r="40" spans="1:31">
      <c r="A40" s="55"/>
      <c r="B40" s="66" t="s">
        <v>59</v>
      </c>
      <c r="C40" s="6" t="s">
        <v>24</v>
      </c>
      <c r="D40" s="6" t="s">
        <v>40</v>
      </c>
      <c r="E40" s="20">
        <v>0</v>
      </c>
      <c r="F40" s="5">
        <v>28.19</v>
      </c>
      <c r="G40" s="4">
        <v>178671.24</v>
      </c>
      <c r="H40" s="19">
        <f t="shared" si="6"/>
        <v>1.4496051907951397</v>
      </c>
      <c r="I40" s="3">
        <v>35.42</v>
      </c>
      <c r="J40" s="4">
        <v>210711.95</v>
      </c>
      <c r="K40" s="48">
        <f t="shared" si="7"/>
        <v>1.3496847391319724</v>
      </c>
      <c r="L40" s="5">
        <v>28</v>
      </c>
      <c r="M40" s="4">
        <v>172947.6</v>
      </c>
      <c r="N40" s="19">
        <f t="shared" si="2"/>
        <v>1.562176231491113</v>
      </c>
      <c r="O40" s="3">
        <v>28.68</v>
      </c>
      <c r="P40" s="4">
        <v>274525.24</v>
      </c>
      <c r="Q40" s="48">
        <f t="shared" si="3"/>
        <v>1.8823132347745817</v>
      </c>
      <c r="R40" s="58">
        <v>28.32</v>
      </c>
      <c r="S40" s="40">
        <v>384665.56</v>
      </c>
      <c r="T40" s="40">
        <f t="shared" si="4"/>
        <v>5.423776680840386</v>
      </c>
      <c r="U40" s="39">
        <v>31.38</v>
      </c>
      <c r="V40" s="40">
        <v>485536.36</v>
      </c>
      <c r="W40" s="40">
        <f t="shared" si="5"/>
        <v>4.3263161567222586</v>
      </c>
      <c r="AD40"/>
      <c r="AE40"/>
    </row>
    <row r="41" spans="1:31">
      <c r="B41" s="66" t="s">
        <v>157</v>
      </c>
      <c r="C41" s="6" t="s">
        <v>25</v>
      </c>
      <c r="D41" s="14" t="s">
        <v>159</v>
      </c>
      <c r="E41" s="20" t="s">
        <v>41</v>
      </c>
      <c r="F41" s="5">
        <v>19.66</v>
      </c>
      <c r="G41" s="4">
        <v>66812.2</v>
      </c>
      <c r="H41" s="19">
        <f t="shared" si="6"/>
        <v>0.54206436317587003</v>
      </c>
      <c r="I41" s="3">
        <v>24.35</v>
      </c>
      <c r="J41" s="4">
        <v>81885.73</v>
      </c>
      <c r="K41" s="48">
        <f t="shared" si="7"/>
        <v>0.52450712991684201</v>
      </c>
      <c r="L41" s="5">
        <v>19.48</v>
      </c>
      <c r="M41" s="4">
        <v>86887.14</v>
      </c>
      <c r="N41" s="19">
        <f t="shared" si="2"/>
        <v>0.78482167390724544</v>
      </c>
      <c r="O41" s="3">
        <v>20.09</v>
      </c>
      <c r="P41" s="4">
        <v>102249.01</v>
      </c>
      <c r="Q41" s="48">
        <f t="shared" si="3"/>
        <v>0.70108185595466033</v>
      </c>
      <c r="R41" s="3">
        <v>19.79</v>
      </c>
      <c r="S41" s="4">
        <v>57488.97</v>
      </c>
      <c r="T41" s="4">
        <f t="shared" si="4"/>
        <v>0.81059332395531458</v>
      </c>
      <c r="U41" s="9">
        <v>21.57</v>
      </c>
      <c r="V41" s="4">
        <v>101478.73</v>
      </c>
      <c r="W41" s="4">
        <f t="shared" si="5"/>
        <v>0.90421460745526017</v>
      </c>
      <c r="AD41"/>
      <c r="AE41"/>
    </row>
    <row r="42" spans="1:31">
      <c r="B42" s="66" t="s">
        <v>158</v>
      </c>
      <c r="C42" s="6" t="s">
        <v>25</v>
      </c>
      <c r="D42" s="14" t="s">
        <v>61</v>
      </c>
      <c r="E42" s="20">
        <v>0</v>
      </c>
      <c r="F42" s="5">
        <v>28.04</v>
      </c>
      <c r="G42" s="4">
        <v>96898.35</v>
      </c>
      <c r="H42" s="19">
        <f t="shared" si="6"/>
        <v>0.78616094643706658</v>
      </c>
      <c r="I42" s="3">
        <v>35.25</v>
      </c>
      <c r="J42" s="4">
        <v>109350.33</v>
      </c>
      <c r="K42" s="48">
        <f t="shared" si="7"/>
        <v>0.70042762937766512</v>
      </c>
      <c r="L42" s="5">
        <v>27.84</v>
      </c>
      <c r="M42" s="4">
        <v>79937.679999999993</v>
      </c>
      <c r="N42" s="19">
        <f t="shared" si="2"/>
        <v>0.72204959014489067</v>
      </c>
      <c r="O42" s="3">
        <v>28.57</v>
      </c>
      <c r="P42" s="4">
        <v>114363.41</v>
      </c>
      <c r="Q42" s="48">
        <f t="shared" si="3"/>
        <v>0.7841456043056434</v>
      </c>
      <c r="R42" s="3">
        <v>28.21</v>
      </c>
      <c r="S42" s="4">
        <v>71440.070000000007</v>
      </c>
      <c r="T42" s="4">
        <f t="shared" si="4"/>
        <v>1.0073035541409137</v>
      </c>
      <c r="U42" s="9">
        <v>31.16</v>
      </c>
      <c r="V42" s="4">
        <v>87372.25</v>
      </c>
      <c r="W42" s="4">
        <f t="shared" si="5"/>
        <v>0.77852043217561795</v>
      </c>
      <c r="AD42"/>
      <c r="AE42"/>
    </row>
    <row r="43" spans="1:31">
      <c r="A43" s="55"/>
      <c r="B43" s="66" t="s">
        <v>62</v>
      </c>
      <c r="C43" s="6" t="s">
        <v>63</v>
      </c>
      <c r="D43" s="10" t="s">
        <v>160</v>
      </c>
      <c r="E43" s="20" t="s">
        <v>66</v>
      </c>
      <c r="F43" s="5">
        <v>18.36</v>
      </c>
      <c r="G43" s="4">
        <v>134058.12</v>
      </c>
      <c r="H43" s="19">
        <f t="shared" si="6"/>
        <v>1.0876476069693015</v>
      </c>
      <c r="I43" s="3">
        <v>22.68</v>
      </c>
      <c r="J43" s="4">
        <v>255381.52</v>
      </c>
      <c r="K43" s="48">
        <f t="shared" si="7"/>
        <v>1.6358091707676121</v>
      </c>
      <c r="L43" s="5" t="s">
        <v>161</v>
      </c>
      <c r="M43" s="4">
        <v>114081.7</v>
      </c>
      <c r="N43" s="19">
        <f t="shared" si="2"/>
        <v>1.0304607880542989</v>
      </c>
      <c r="O43" s="3">
        <v>18.649999999999999</v>
      </c>
      <c r="P43" s="4">
        <v>191344.37</v>
      </c>
      <c r="Q43" s="48">
        <f t="shared" si="3"/>
        <v>1.3119742288563501</v>
      </c>
      <c r="R43" s="50" t="s">
        <v>3</v>
      </c>
      <c r="S43" s="33">
        <v>0</v>
      </c>
      <c r="T43" s="33">
        <f t="shared" si="4"/>
        <v>0</v>
      </c>
      <c r="U43" s="32" t="s">
        <v>3</v>
      </c>
      <c r="V43" s="33">
        <v>0</v>
      </c>
      <c r="W43" s="33">
        <f t="shared" si="5"/>
        <v>0</v>
      </c>
      <c r="AD43"/>
      <c r="AE43"/>
    </row>
    <row r="44" spans="1:31">
      <c r="A44" s="55"/>
      <c r="B44" s="66" t="s">
        <v>64</v>
      </c>
      <c r="C44" s="6" t="s">
        <v>63</v>
      </c>
      <c r="D44" s="10" t="s">
        <v>65</v>
      </c>
      <c r="E44" s="20" t="s">
        <v>66</v>
      </c>
      <c r="F44" s="5">
        <v>18.97</v>
      </c>
      <c r="G44" s="4">
        <v>250146.04</v>
      </c>
      <c r="H44" s="19">
        <f t="shared" si="6"/>
        <v>2.0294984130677589</v>
      </c>
      <c r="I44" s="3">
        <v>23.39</v>
      </c>
      <c r="J44" s="4">
        <v>342920.77</v>
      </c>
      <c r="K44" s="48">
        <f t="shared" si="7"/>
        <v>2.19652910051084</v>
      </c>
      <c r="L44" s="5" t="s">
        <v>162</v>
      </c>
      <c r="M44" s="4">
        <v>163711.29999999999</v>
      </c>
      <c r="N44" s="19">
        <f t="shared" si="2"/>
        <v>1.4787479079588903</v>
      </c>
      <c r="O44" s="3">
        <v>19.18</v>
      </c>
      <c r="P44" s="4">
        <v>372206.75</v>
      </c>
      <c r="Q44" s="48">
        <f t="shared" si="3"/>
        <v>2.5520775124263038</v>
      </c>
      <c r="R44" s="50" t="s">
        <v>3</v>
      </c>
      <c r="S44" s="33">
        <v>0</v>
      </c>
      <c r="T44" s="33">
        <f t="shared" si="4"/>
        <v>0</v>
      </c>
      <c r="U44" s="32" t="s">
        <v>3</v>
      </c>
      <c r="V44" s="33">
        <v>0</v>
      </c>
      <c r="W44" s="33">
        <f t="shared" si="5"/>
        <v>0</v>
      </c>
      <c r="AD44"/>
      <c r="AE44"/>
    </row>
    <row r="45" spans="1:31">
      <c r="B45" s="68">
        <v>975</v>
      </c>
      <c r="C45" s="74" t="s">
        <v>197</v>
      </c>
      <c r="D45" s="6" t="s">
        <v>196</v>
      </c>
      <c r="E45" s="20">
        <v>0</v>
      </c>
      <c r="F45" s="5" t="s">
        <v>244</v>
      </c>
      <c r="G45" s="4">
        <v>58526.3</v>
      </c>
      <c r="H45" s="19">
        <f t="shared" si="6"/>
        <v>0.47483875008665971</v>
      </c>
      <c r="I45" s="3">
        <v>36.659999999999997</v>
      </c>
      <c r="J45" s="4">
        <v>37499.53</v>
      </c>
      <c r="K45" s="48">
        <f t="shared" si="7"/>
        <v>0.24019778358855098</v>
      </c>
      <c r="L45" s="5" t="s">
        <v>225</v>
      </c>
      <c r="M45" s="4">
        <v>46353.5</v>
      </c>
      <c r="N45" s="19">
        <f t="shared" si="2"/>
        <v>0.41869523454747737</v>
      </c>
      <c r="O45" s="4">
        <v>30.22</v>
      </c>
      <c r="P45" s="4">
        <v>30508.83</v>
      </c>
      <c r="Q45" s="48">
        <f t="shared" si="3"/>
        <v>0.20918722987543081</v>
      </c>
      <c r="R45" s="3" t="s">
        <v>233</v>
      </c>
      <c r="S45" s="4">
        <v>35082.1</v>
      </c>
      <c r="T45" s="4">
        <f t="shared" si="4"/>
        <v>0.49465690636539045</v>
      </c>
      <c r="U45" s="9">
        <v>32.619999999999997</v>
      </c>
      <c r="V45" s="4">
        <v>28188.03</v>
      </c>
      <c r="W45" s="4">
        <f t="shared" si="5"/>
        <v>0.25116621464800648</v>
      </c>
      <c r="AD45"/>
      <c r="AE45"/>
    </row>
    <row r="46" spans="1:31">
      <c r="A46" s="55"/>
      <c r="B46" s="66">
        <v>993</v>
      </c>
      <c r="C46" s="6" t="s">
        <v>21</v>
      </c>
      <c r="D46" s="14" t="s">
        <v>67</v>
      </c>
      <c r="E46" s="20" t="s">
        <v>66</v>
      </c>
      <c r="F46" s="5">
        <v>17.940000000000001</v>
      </c>
      <c r="G46" s="4">
        <v>66673.39</v>
      </c>
      <c r="H46" s="19">
        <f t="shared" si="6"/>
        <v>0.54093816235846781</v>
      </c>
      <c r="I46" s="3">
        <v>22.33</v>
      </c>
      <c r="J46" s="4">
        <v>56957.27</v>
      </c>
      <c r="K46" s="48">
        <f t="shared" si="7"/>
        <v>0.36483150624166932</v>
      </c>
      <c r="L46" s="5">
        <v>17.760000000000002</v>
      </c>
      <c r="M46" s="4">
        <v>66508.320000000007</v>
      </c>
      <c r="N46" s="19">
        <f t="shared" si="2"/>
        <v>0.60074679671996045</v>
      </c>
      <c r="O46" s="3">
        <v>18.350000000000001</v>
      </c>
      <c r="P46" s="4">
        <v>79840.960000000006</v>
      </c>
      <c r="Q46" s="48">
        <f t="shared" si="3"/>
        <v>0.54743853674477438</v>
      </c>
      <c r="R46" s="50" t="s">
        <v>3</v>
      </c>
      <c r="S46" s="33">
        <v>0</v>
      </c>
      <c r="T46" s="33">
        <f t="shared" si="4"/>
        <v>0</v>
      </c>
      <c r="U46" s="32" t="s">
        <v>3</v>
      </c>
      <c r="V46" s="33">
        <v>0</v>
      </c>
      <c r="W46" s="33">
        <f t="shared" si="5"/>
        <v>0</v>
      </c>
      <c r="AD46"/>
      <c r="AE46"/>
    </row>
    <row r="47" spans="1:31">
      <c r="B47" s="66" t="s">
        <v>39</v>
      </c>
      <c r="C47" s="6" t="s">
        <v>35</v>
      </c>
      <c r="D47" s="15" t="s">
        <v>68</v>
      </c>
      <c r="E47" s="20" t="s">
        <v>44</v>
      </c>
      <c r="F47" s="5">
        <v>20.8</v>
      </c>
      <c r="G47" s="4">
        <v>74528.89</v>
      </c>
      <c r="H47" s="19">
        <f t="shared" si="6"/>
        <v>0.60467183083410625</v>
      </c>
      <c r="I47" s="3">
        <v>25.22</v>
      </c>
      <c r="J47" s="4">
        <v>73316.05</v>
      </c>
      <c r="K47" s="48">
        <f t="shared" si="7"/>
        <v>0.46961529148411685</v>
      </c>
      <c r="L47" s="5" t="s">
        <v>226</v>
      </c>
      <c r="M47" s="4">
        <v>61712.5</v>
      </c>
      <c r="N47" s="19">
        <f t="shared" si="2"/>
        <v>0.557427802906171</v>
      </c>
      <c r="O47" s="3" t="s">
        <v>229</v>
      </c>
      <c r="P47" s="4">
        <v>54870.6</v>
      </c>
      <c r="Q47" s="48">
        <f t="shared" si="3"/>
        <v>0.37622645036216767</v>
      </c>
      <c r="R47" s="3">
        <v>21.53</v>
      </c>
      <c r="S47" s="4">
        <v>71271.58</v>
      </c>
      <c r="T47" s="4">
        <f t="shared" si="4"/>
        <v>1.0049278485202835</v>
      </c>
      <c r="U47" s="9">
        <v>22.4</v>
      </c>
      <c r="V47" s="4">
        <v>88316.65</v>
      </c>
      <c r="W47" s="4">
        <f t="shared" si="5"/>
        <v>0.78693540027071285</v>
      </c>
      <c r="AD47"/>
      <c r="AE47"/>
    </row>
    <row r="48" spans="1:31">
      <c r="B48" s="68" t="s">
        <v>206</v>
      </c>
      <c r="C48" s="74" t="s">
        <v>208</v>
      </c>
      <c r="D48" s="6" t="s">
        <v>234</v>
      </c>
      <c r="E48" s="20">
        <v>0</v>
      </c>
      <c r="F48" s="5" t="s">
        <v>3</v>
      </c>
      <c r="G48" s="4">
        <v>0</v>
      </c>
      <c r="H48" s="19">
        <f t="shared" si="6"/>
        <v>0</v>
      </c>
      <c r="I48" s="3" t="s">
        <v>3</v>
      </c>
      <c r="J48" s="4">
        <v>0</v>
      </c>
      <c r="K48" s="48">
        <f t="shared" si="7"/>
        <v>0</v>
      </c>
      <c r="L48" s="5" t="s">
        <v>3</v>
      </c>
      <c r="M48" s="4">
        <v>0</v>
      </c>
      <c r="N48" s="19">
        <f t="shared" si="2"/>
        <v>0</v>
      </c>
      <c r="O48" s="4" t="s">
        <v>3</v>
      </c>
      <c r="P48" s="4">
        <v>0</v>
      </c>
      <c r="Q48" s="48">
        <f t="shared" si="3"/>
        <v>0</v>
      </c>
      <c r="R48" s="49" t="s">
        <v>235</v>
      </c>
      <c r="S48" s="38">
        <v>27618.2</v>
      </c>
      <c r="T48" s="38">
        <f t="shared" si="4"/>
        <v>0.38941606606732859</v>
      </c>
      <c r="U48" s="42">
        <v>21.52</v>
      </c>
      <c r="V48" s="38">
        <v>27856.48</v>
      </c>
      <c r="W48" s="57">
        <f t="shared" si="5"/>
        <v>0.24821197632533737</v>
      </c>
      <c r="AD48"/>
      <c r="AE48"/>
    </row>
    <row r="49" spans="1:31">
      <c r="B49" s="68" t="s">
        <v>207</v>
      </c>
      <c r="C49" s="74" t="s">
        <v>208</v>
      </c>
      <c r="D49" s="6" t="s">
        <v>209</v>
      </c>
      <c r="E49" s="20">
        <v>0</v>
      </c>
      <c r="F49" s="5" t="s">
        <v>3</v>
      </c>
      <c r="G49" s="4">
        <v>0</v>
      </c>
      <c r="H49" s="19">
        <f t="shared" si="6"/>
        <v>0</v>
      </c>
      <c r="I49" s="3" t="s">
        <v>3</v>
      </c>
      <c r="J49" s="4">
        <v>0</v>
      </c>
      <c r="K49" s="48">
        <f t="shared" si="7"/>
        <v>0</v>
      </c>
      <c r="L49" s="5" t="s">
        <v>3</v>
      </c>
      <c r="M49" s="4">
        <v>0</v>
      </c>
      <c r="N49" s="19">
        <f t="shared" si="2"/>
        <v>0</v>
      </c>
      <c r="O49" s="4" t="s">
        <v>3</v>
      </c>
      <c r="P49" s="4">
        <v>0</v>
      </c>
      <c r="Q49" s="48">
        <f t="shared" si="3"/>
        <v>0</v>
      </c>
      <c r="R49" s="49" t="s">
        <v>236</v>
      </c>
      <c r="S49" s="38">
        <v>34599.699999999997</v>
      </c>
      <c r="T49" s="38">
        <f t="shared" si="4"/>
        <v>0.48785507604079004</v>
      </c>
      <c r="U49" s="42">
        <v>23.77</v>
      </c>
      <c r="V49" s="38">
        <v>37854.199999999997</v>
      </c>
      <c r="W49" s="57">
        <f t="shared" si="5"/>
        <v>0.33729551595228774</v>
      </c>
      <c r="AD49"/>
      <c r="AE49"/>
    </row>
    <row r="50" spans="1:31">
      <c r="B50" s="66">
        <v>1041</v>
      </c>
      <c r="C50" s="6" t="s">
        <v>26</v>
      </c>
      <c r="D50" s="6" t="s">
        <v>69</v>
      </c>
      <c r="E50" s="20">
        <v>0</v>
      </c>
      <c r="F50" s="5">
        <v>30.58</v>
      </c>
      <c r="G50" s="4">
        <v>770992.58</v>
      </c>
      <c r="H50" s="19">
        <f t="shared" si="6"/>
        <v>6.2552587984083905</v>
      </c>
      <c r="I50" s="3">
        <v>38.79</v>
      </c>
      <c r="J50" s="4">
        <v>799341.67</v>
      </c>
      <c r="K50" s="48">
        <f t="shared" si="7"/>
        <v>5.1200667705427492</v>
      </c>
      <c r="L50" s="5">
        <v>30.29</v>
      </c>
      <c r="M50" s="4">
        <v>788147.78</v>
      </c>
      <c r="N50" s="19">
        <f t="shared" si="2"/>
        <v>7.1190680230225043</v>
      </c>
      <c r="O50" s="3">
        <v>31.23</v>
      </c>
      <c r="P50" s="4">
        <v>834607.54</v>
      </c>
      <c r="Q50" s="48">
        <f t="shared" si="3"/>
        <v>5.7225806209463883</v>
      </c>
      <c r="R50" s="3">
        <v>30.84</v>
      </c>
      <c r="S50" s="4">
        <v>290808.38</v>
      </c>
      <c r="T50" s="4">
        <f t="shared" si="4"/>
        <v>4.1003923253149299</v>
      </c>
      <c r="U50" s="9">
        <v>34.14</v>
      </c>
      <c r="V50" s="4">
        <v>726722.71</v>
      </c>
      <c r="W50" s="4">
        <f t="shared" si="5"/>
        <v>6.4753795199395263</v>
      </c>
      <c r="AD50"/>
      <c r="AE50"/>
    </row>
    <row r="51" spans="1:31">
      <c r="A51" s="56"/>
      <c r="B51" s="68" t="s">
        <v>179</v>
      </c>
      <c r="C51" s="6" t="s">
        <v>70</v>
      </c>
      <c r="D51" s="10" t="s">
        <v>177</v>
      </c>
      <c r="E51" s="20">
        <v>0</v>
      </c>
      <c r="F51" s="5" t="s">
        <v>3</v>
      </c>
      <c r="G51" s="4">
        <v>0</v>
      </c>
      <c r="H51" s="19">
        <f t="shared" si="6"/>
        <v>0</v>
      </c>
      <c r="I51" s="3">
        <v>20.23</v>
      </c>
      <c r="J51" s="4">
        <v>27091.72</v>
      </c>
      <c r="K51" s="48">
        <f t="shared" si="7"/>
        <v>0.17353207087133141</v>
      </c>
      <c r="L51" s="5" t="s">
        <v>3</v>
      </c>
      <c r="M51" s="4">
        <v>0</v>
      </c>
      <c r="N51" s="19">
        <f t="shared" si="2"/>
        <v>0</v>
      </c>
      <c r="O51" s="3" t="s">
        <v>3</v>
      </c>
      <c r="P51" s="4">
        <v>0</v>
      </c>
      <c r="Q51" s="48">
        <f t="shared" si="3"/>
        <v>0</v>
      </c>
      <c r="R51" s="49">
        <v>16.61</v>
      </c>
      <c r="S51" s="38">
        <v>135157.4</v>
      </c>
      <c r="T51" s="38">
        <f t="shared" si="4"/>
        <v>1.9057166291752667</v>
      </c>
      <c r="U51" s="37">
        <v>18.09</v>
      </c>
      <c r="V51" s="38">
        <v>232115.73</v>
      </c>
      <c r="W51" s="38">
        <f t="shared" si="5"/>
        <v>2.0682406420157324</v>
      </c>
      <c r="AD51"/>
      <c r="AE51"/>
    </row>
    <row r="52" spans="1:31">
      <c r="B52" s="68" t="s">
        <v>180</v>
      </c>
      <c r="C52" s="6" t="s">
        <v>70</v>
      </c>
      <c r="D52" s="10" t="s">
        <v>178</v>
      </c>
      <c r="E52" s="20">
        <v>0</v>
      </c>
      <c r="F52" s="5" t="s">
        <v>3</v>
      </c>
      <c r="G52" s="4">
        <v>0</v>
      </c>
      <c r="H52" s="19">
        <f t="shared" si="6"/>
        <v>0</v>
      </c>
      <c r="I52" s="3" t="s">
        <v>3</v>
      </c>
      <c r="J52" s="4">
        <v>0</v>
      </c>
      <c r="K52" s="48">
        <f t="shared" si="7"/>
        <v>0</v>
      </c>
      <c r="L52" s="5" t="s">
        <v>3</v>
      </c>
      <c r="M52" s="4">
        <v>0</v>
      </c>
      <c r="N52" s="19">
        <f t="shared" si="2"/>
        <v>0</v>
      </c>
      <c r="O52" s="3" t="s">
        <v>3</v>
      </c>
      <c r="P52" s="4">
        <v>0</v>
      </c>
      <c r="Q52" s="48">
        <f t="shared" si="3"/>
        <v>0</v>
      </c>
      <c r="R52" s="49">
        <v>21.16</v>
      </c>
      <c r="S52" s="38">
        <v>34143.47</v>
      </c>
      <c r="T52" s="38">
        <f t="shared" si="4"/>
        <v>0.48142224219130325</v>
      </c>
      <c r="U52" s="37">
        <v>23.17</v>
      </c>
      <c r="V52" s="38">
        <v>51250.36</v>
      </c>
      <c r="W52" s="38">
        <f t="shared" si="5"/>
        <v>0.45666046618183692</v>
      </c>
      <c r="AD52"/>
      <c r="AE52"/>
    </row>
    <row r="53" spans="1:31">
      <c r="B53" s="68" t="s">
        <v>181</v>
      </c>
      <c r="C53" s="6" t="s">
        <v>70</v>
      </c>
      <c r="D53" s="10" t="s">
        <v>72</v>
      </c>
      <c r="E53" s="20" t="s">
        <v>66</v>
      </c>
      <c r="F53" s="5">
        <v>24.49</v>
      </c>
      <c r="G53" s="4">
        <v>376717.3</v>
      </c>
      <c r="H53" s="19">
        <f t="shared" si="6"/>
        <v>3.0564032215947567</v>
      </c>
      <c r="I53" s="3">
        <v>30.79</v>
      </c>
      <c r="J53" s="4">
        <v>429559.49</v>
      </c>
      <c r="K53" s="48">
        <f t="shared" si="7"/>
        <v>2.7514808163576534</v>
      </c>
      <c r="L53" s="5">
        <v>24.18</v>
      </c>
      <c r="M53" s="4">
        <v>377719.87</v>
      </c>
      <c r="N53" s="19">
        <f t="shared" si="2"/>
        <v>3.4118137694649309</v>
      </c>
      <c r="O53" s="3">
        <v>24.96</v>
      </c>
      <c r="P53" s="4">
        <v>496658.25</v>
      </c>
      <c r="Q53" s="48">
        <f t="shared" si="3"/>
        <v>3.4053932422934334</v>
      </c>
      <c r="R53" s="50" t="s">
        <v>3</v>
      </c>
      <c r="S53" s="33">
        <v>0</v>
      </c>
      <c r="T53" s="33">
        <f t="shared" si="4"/>
        <v>0</v>
      </c>
      <c r="U53" s="32" t="s">
        <v>3</v>
      </c>
      <c r="V53" s="33">
        <v>0</v>
      </c>
      <c r="W53" s="33">
        <f t="shared" si="5"/>
        <v>0</v>
      </c>
      <c r="AD53"/>
      <c r="AE53"/>
    </row>
    <row r="54" spans="1:31">
      <c r="B54" s="68" t="s">
        <v>71</v>
      </c>
      <c r="C54" s="6" t="s">
        <v>70</v>
      </c>
      <c r="D54" s="10" t="s">
        <v>73</v>
      </c>
      <c r="E54" s="20" t="s">
        <v>66</v>
      </c>
      <c r="F54" s="5">
        <v>28.48</v>
      </c>
      <c r="G54" s="4">
        <v>266137.71000000002</v>
      </c>
      <c r="H54" s="19">
        <f t="shared" si="6"/>
        <v>2.1592428970791921</v>
      </c>
      <c r="I54" s="3">
        <v>35.9</v>
      </c>
      <c r="J54" s="4">
        <v>395842.93</v>
      </c>
      <c r="K54" s="48">
        <f t="shared" si="7"/>
        <v>2.535514296717797</v>
      </c>
      <c r="L54" s="5">
        <v>28.38</v>
      </c>
      <c r="M54" s="4">
        <v>161266.23999999999</v>
      </c>
      <c r="N54" s="19">
        <f t="shared" si="2"/>
        <v>1.4566625213066926</v>
      </c>
      <c r="O54" s="3">
        <v>29.07</v>
      </c>
      <c r="P54" s="4">
        <v>338408.06</v>
      </c>
      <c r="Q54" s="48">
        <f t="shared" si="3"/>
        <v>2.3203329868408122</v>
      </c>
      <c r="R54" s="50" t="s">
        <v>3</v>
      </c>
      <c r="S54" s="33">
        <v>0</v>
      </c>
      <c r="T54" s="33">
        <f t="shared" si="4"/>
        <v>0</v>
      </c>
      <c r="U54" s="32" t="s">
        <v>3</v>
      </c>
      <c r="V54" s="33">
        <v>0</v>
      </c>
      <c r="W54" s="33">
        <f t="shared" si="5"/>
        <v>0</v>
      </c>
      <c r="AD54"/>
      <c r="AE54"/>
    </row>
    <row r="55" spans="1:31">
      <c r="B55" s="66" t="s">
        <v>74</v>
      </c>
      <c r="C55" s="6" t="s">
        <v>75</v>
      </c>
      <c r="D55" s="10" t="s">
        <v>76</v>
      </c>
      <c r="E55" s="20">
        <v>0</v>
      </c>
      <c r="F55" s="5" t="s">
        <v>3</v>
      </c>
      <c r="G55" s="4">
        <v>0</v>
      </c>
      <c r="H55" s="19">
        <f t="shared" si="6"/>
        <v>0</v>
      </c>
      <c r="I55" s="3" t="s">
        <v>3</v>
      </c>
      <c r="J55" s="4">
        <v>0</v>
      </c>
      <c r="K55" s="48">
        <f t="shared" si="7"/>
        <v>0</v>
      </c>
      <c r="L55" s="5" t="s">
        <v>3</v>
      </c>
      <c r="M55" s="4">
        <v>0</v>
      </c>
      <c r="N55" s="19">
        <f t="shared" si="2"/>
        <v>0</v>
      </c>
      <c r="O55" s="3" t="s">
        <v>3</v>
      </c>
      <c r="P55" s="4">
        <v>0</v>
      </c>
      <c r="Q55" s="48">
        <f t="shared" si="3"/>
        <v>0</v>
      </c>
      <c r="R55" s="49">
        <v>22.06</v>
      </c>
      <c r="S55" s="38">
        <v>68245.919999999998</v>
      </c>
      <c r="T55" s="38">
        <f t="shared" si="4"/>
        <v>0.96226610320533623</v>
      </c>
      <c r="U55" s="37">
        <v>24.45</v>
      </c>
      <c r="V55" s="38">
        <v>113916.64</v>
      </c>
      <c r="W55" s="38">
        <f t="shared" si="5"/>
        <v>1.0150411807501156</v>
      </c>
      <c r="AD55"/>
      <c r="AE55"/>
    </row>
    <row r="56" spans="1:31">
      <c r="B56" s="66" t="s">
        <v>77</v>
      </c>
      <c r="C56" s="6" t="s">
        <v>75</v>
      </c>
      <c r="D56" s="6" t="s">
        <v>182</v>
      </c>
      <c r="E56" s="20">
        <v>0</v>
      </c>
      <c r="F56" s="5" t="s">
        <v>3</v>
      </c>
      <c r="G56" s="4">
        <v>0</v>
      </c>
      <c r="H56" s="19">
        <f t="shared" si="6"/>
        <v>0</v>
      </c>
      <c r="I56" s="3" t="s">
        <v>3</v>
      </c>
      <c r="J56" s="4">
        <v>0</v>
      </c>
      <c r="K56" s="48">
        <f t="shared" si="7"/>
        <v>0</v>
      </c>
      <c r="L56" s="5" t="s">
        <v>3</v>
      </c>
      <c r="M56" s="4">
        <v>0</v>
      </c>
      <c r="N56" s="19">
        <f t="shared" si="2"/>
        <v>0</v>
      </c>
      <c r="O56" s="3" t="s">
        <v>3</v>
      </c>
      <c r="P56" s="4">
        <v>0</v>
      </c>
      <c r="Q56" s="48">
        <f t="shared" si="3"/>
        <v>0</v>
      </c>
      <c r="R56" s="49">
        <v>25.45</v>
      </c>
      <c r="S56" s="38">
        <v>36005.839999999997</v>
      </c>
      <c r="T56" s="38">
        <f t="shared" si="4"/>
        <v>0.50768162183812338</v>
      </c>
      <c r="U56" s="37">
        <v>27.97</v>
      </c>
      <c r="V56" s="38">
        <v>27733.37</v>
      </c>
      <c r="W56" s="38">
        <f t="shared" si="5"/>
        <v>0.2471150187626657</v>
      </c>
      <c r="AD56"/>
      <c r="AE56"/>
    </row>
    <row r="57" spans="1:31">
      <c r="B57" s="66">
        <v>1121</v>
      </c>
      <c r="C57" s="6" t="s">
        <v>27</v>
      </c>
      <c r="D57" s="6" t="s">
        <v>36</v>
      </c>
      <c r="E57" s="20">
        <v>0</v>
      </c>
      <c r="F57" s="5">
        <v>29.88</v>
      </c>
      <c r="G57" s="4">
        <v>122329.09</v>
      </c>
      <c r="H57" s="19">
        <f t="shared" si="6"/>
        <v>0.99248700489931019</v>
      </c>
      <c r="I57" s="3">
        <v>36.83</v>
      </c>
      <c r="J57" s="4">
        <v>133605.12</v>
      </c>
      <c r="K57" s="48">
        <f t="shared" si="7"/>
        <v>0.85578815788044227</v>
      </c>
      <c r="L57" s="5">
        <v>30.39</v>
      </c>
      <c r="M57" s="4">
        <v>135263.98000000001</v>
      </c>
      <c r="N57" s="19">
        <f t="shared" si="2"/>
        <v>1.221793043285303</v>
      </c>
      <c r="O57" s="3">
        <v>30.16</v>
      </c>
      <c r="P57" s="4">
        <v>129126.22</v>
      </c>
      <c r="Q57" s="48">
        <f t="shared" si="3"/>
        <v>0.88536847417896547</v>
      </c>
      <c r="R57" s="3">
        <v>30.99</v>
      </c>
      <c r="S57" s="4">
        <v>105905.11</v>
      </c>
      <c r="T57" s="4">
        <f t="shared" si="4"/>
        <v>1.4932599268825519</v>
      </c>
      <c r="U57" s="9">
        <v>32.56</v>
      </c>
      <c r="V57" s="4">
        <v>110774.93</v>
      </c>
      <c r="W57" s="4">
        <f t="shared" si="5"/>
        <v>0.98704733342478668</v>
      </c>
      <c r="AD57"/>
      <c r="AE57"/>
    </row>
    <row r="58" spans="1:31">
      <c r="B58" s="66">
        <v>1155</v>
      </c>
      <c r="C58" s="6" t="s">
        <v>78</v>
      </c>
      <c r="D58" s="10" t="s">
        <v>79</v>
      </c>
      <c r="E58" s="20" t="s">
        <v>66</v>
      </c>
      <c r="F58" s="5">
        <v>20.02</v>
      </c>
      <c r="G58" s="4">
        <v>635152.22</v>
      </c>
      <c r="H58" s="19">
        <f t="shared" si="6"/>
        <v>5.1531514252492823</v>
      </c>
      <c r="I58" s="3">
        <v>24.74</v>
      </c>
      <c r="J58" s="4">
        <v>807574.97</v>
      </c>
      <c r="K58" s="48">
        <f t="shared" si="7"/>
        <v>5.1728039758255777</v>
      </c>
      <c r="L58" s="5">
        <v>19.73</v>
      </c>
      <c r="M58" s="4">
        <v>657370.5</v>
      </c>
      <c r="N58" s="19">
        <f t="shared" si="2"/>
        <v>5.937801798830562</v>
      </c>
      <c r="O58" s="3">
        <v>20.28</v>
      </c>
      <c r="P58" s="4">
        <v>700863.35</v>
      </c>
      <c r="Q58" s="48">
        <f t="shared" si="3"/>
        <v>4.8055485152237729</v>
      </c>
      <c r="R58" s="50" t="s">
        <v>3</v>
      </c>
      <c r="S58" s="33">
        <v>0</v>
      </c>
      <c r="T58" s="33">
        <f t="shared" si="4"/>
        <v>0</v>
      </c>
      <c r="U58" s="32" t="s">
        <v>3</v>
      </c>
      <c r="V58" s="33">
        <v>0</v>
      </c>
      <c r="W58" s="33">
        <f t="shared" si="5"/>
        <v>0</v>
      </c>
      <c r="AD58"/>
      <c r="AE58"/>
    </row>
    <row r="59" spans="1:31">
      <c r="B59" s="66" t="s">
        <v>38</v>
      </c>
      <c r="C59" s="6" t="s">
        <v>28</v>
      </c>
      <c r="D59" s="10" t="s">
        <v>81</v>
      </c>
      <c r="E59" s="20">
        <v>0</v>
      </c>
      <c r="F59" s="5">
        <v>25.78</v>
      </c>
      <c r="G59" s="4">
        <v>26548.15</v>
      </c>
      <c r="H59" s="19">
        <f t="shared" si="6"/>
        <v>0.21539188985316271</v>
      </c>
      <c r="I59" s="3">
        <v>31.86</v>
      </c>
      <c r="J59" s="4">
        <v>27516.35</v>
      </c>
      <c r="K59" s="48">
        <f t="shared" si="7"/>
        <v>0.17625197655668814</v>
      </c>
      <c r="L59" s="5">
        <v>26.05</v>
      </c>
      <c r="M59" s="4">
        <v>27577.37</v>
      </c>
      <c r="N59" s="19">
        <f t="shared" si="2"/>
        <v>0.24909690531141263</v>
      </c>
      <c r="O59" s="3">
        <v>26.06</v>
      </c>
      <c r="P59" s="4">
        <v>26521.67</v>
      </c>
      <c r="Q59" s="48">
        <f t="shared" si="3"/>
        <v>0.18184881816085099</v>
      </c>
      <c r="R59" s="3">
        <v>26.53</v>
      </c>
      <c r="S59" s="4">
        <v>20421.89</v>
      </c>
      <c r="T59" s="4">
        <f t="shared" si="4"/>
        <v>0.28794823940226794</v>
      </c>
      <c r="U59" s="9">
        <v>28.15</v>
      </c>
      <c r="V59" s="4">
        <v>29904.68</v>
      </c>
      <c r="W59" s="4">
        <f t="shared" si="5"/>
        <v>0.26646222796910413</v>
      </c>
      <c r="AD59"/>
      <c r="AE59"/>
    </row>
    <row r="60" spans="1:31">
      <c r="A60" s="55"/>
      <c r="B60" s="68">
        <v>1243</v>
      </c>
      <c r="C60" s="74" t="s">
        <v>198</v>
      </c>
      <c r="D60" s="6" t="s">
        <v>199</v>
      </c>
      <c r="E60" s="20" t="s">
        <v>66</v>
      </c>
      <c r="F60" s="5">
        <v>23.06</v>
      </c>
      <c r="G60" s="4">
        <v>34768.57</v>
      </c>
      <c r="H60" s="19">
        <f t="shared" si="6"/>
        <v>0.28208624705646068</v>
      </c>
      <c r="I60" s="3" t="s">
        <v>250</v>
      </c>
      <c r="J60" s="4">
        <v>29252.400000000001</v>
      </c>
      <c r="K60" s="48">
        <f t="shared" si="7"/>
        <v>0.18737199225285567</v>
      </c>
      <c r="L60" s="5">
        <v>23.29</v>
      </c>
      <c r="M60" s="4">
        <v>32796.81</v>
      </c>
      <c r="N60" s="19">
        <f t="shared" si="2"/>
        <v>0.29624231299382037</v>
      </c>
      <c r="O60" s="4">
        <v>23.37</v>
      </c>
      <c r="P60" s="4">
        <v>37505.86</v>
      </c>
      <c r="Q60" s="48">
        <f t="shared" si="3"/>
        <v>0.25716315432272308</v>
      </c>
      <c r="R60" s="50" t="s">
        <v>3</v>
      </c>
      <c r="S60" s="33">
        <v>0</v>
      </c>
      <c r="T60" s="33">
        <f t="shared" si="4"/>
        <v>0</v>
      </c>
      <c r="U60" s="32" t="s">
        <v>3</v>
      </c>
      <c r="V60" s="33">
        <v>0</v>
      </c>
      <c r="W60" s="33">
        <f t="shared" si="5"/>
        <v>0</v>
      </c>
      <c r="AD60"/>
      <c r="AE60"/>
    </row>
    <row r="61" spans="1:31">
      <c r="B61" s="68">
        <v>1244</v>
      </c>
      <c r="C61" s="74" t="s">
        <v>201</v>
      </c>
      <c r="D61" s="6" t="s">
        <v>200</v>
      </c>
      <c r="E61" s="20">
        <v>0</v>
      </c>
      <c r="F61" s="5">
        <v>28.48</v>
      </c>
      <c r="G61" s="4">
        <v>110029.87</v>
      </c>
      <c r="H61" s="19">
        <f t="shared" si="6"/>
        <v>0.89270030640921527</v>
      </c>
      <c r="I61" s="3">
        <v>35.78</v>
      </c>
      <c r="J61" s="4">
        <v>139530.62</v>
      </c>
      <c r="K61" s="48">
        <f t="shared" si="7"/>
        <v>0.89374308602631403</v>
      </c>
      <c r="L61" s="5">
        <v>28.32</v>
      </c>
      <c r="M61" s="4">
        <v>50543.71</v>
      </c>
      <c r="N61" s="19">
        <f t="shared" si="2"/>
        <v>0.45654396136968467</v>
      </c>
      <c r="O61" s="4">
        <v>29.02</v>
      </c>
      <c r="P61" s="4">
        <v>143678.07</v>
      </c>
      <c r="Q61" s="48">
        <f t="shared" si="3"/>
        <v>0.9851448730465322</v>
      </c>
      <c r="R61" s="3">
        <v>28.61</v>
      </c>
      <c r="S61" s="4">
        <v>93941.1</v>
      </c>
      <c r="T61" s="4">
        <f t="shared" si="4"/>
        <v>1.3245676258422896</v>
      </c>
      <c r="U61" s="9">
        <v>31.67</v>
      </c>
      <c r="V61" s="4">
        <v>112977.78</v>
      </c>
      <c r="W61" s="4">
        <f t="shared" si="5"/>
        <v>1.0066755761908603</v>
      </c>
      <c r="AD61"/>
      <c r="AE61"/>
    </row>
    <row r="62" spans="1:31">
      <c r="B62" s="69" t="s">
        <v>210</v>
      </c>
      <c r="C62" s="6" t="s">
        <v>82</v>
      </c>
      <c r="D62" s="10" t="s">
        <v>83</v>
      </c>
      <c r="E62" s="20" t="s">
        <v>66</v>
      </c>
      <c r="F62" s="5">
        <v>19.600000000000001</v>
      </c>
      <c r="G62" s="4">
        <v>162329.26999999999</v>
      </c>
      <c r="H62" s="19">
        <f t="shared" si="6"/>
        <v>1.3170186338326513</v>
      </c>
      <c r="I62" s="3">
        <v>24.29</v>
      </c>
      <c r="J62" s="4">
        <v>178494.02</v>
      </c>
      <c r="K62" s="48">
        <f t="shared" si="7"/>
        <v>1.1433174759206446</v>
      </c>
      <c r="L62" s="5">
        <v>19.309999999999999</v>
      </c>
      <c r="M62" s="4">
        <v>184056.26</v>
      </c>
      <c r="N62" s="19">
        <f t="shared" si="2"/>
        <v>1.6625169394033135</v>
      </c>
      <c r="O62" s="3">
        <v>19.850000000000001</v>
      </c>
      <c r="P62" s="4">
        <v>173918.67</v>
      </c>
      <c r="Q62" s="48">
        <f t="shared" si="3"/>
        <v>1.1924929537094404</v>
      </c>
      <c r="R62" s="50" t="s">
        <v>3</v>
      </c>
      <c r="S62" s="33">
        <v>0</v>
      </c>
      <c r="T62" s="33">
        <f t="shared" si="4"/>
        <v>0</v>
      </c>
      <c r="U62" s="32" t="s">
        <v>3</v>
      </c>
      <c r="V62" s="33">
        <v>0</v>
      </c>
      <c r="W62" s="33">
        <f t="shared" si="5"/>
        <v>0</v>
      </c>
      <c r="AD62"/>
      <c r="AE62"/>
    </row>
    <row r="63" spans="1:31">
      <c r="B63" s="69" t="s">
        <v>84</v>
      </c>
      <c r="C63" s="6" t="s">
        <v>85</v>
      </c>
      <c r="D63" s="10" t="s">
        <v>86</v>
      </c>
      <c r="E63" s="20">
        <v>0</v>
      </c>
      <c r="F63" s="5" t="s">
        <v>245</v>
      </c>
      <c r="G63" s="4">
        <v>11938.2</v>
      </c>
      <c r="H63" s="19">
        <f t="shared" si="6"/>
        <v>9.6857651453868793E-2</v>
      </c>
      <c r="I63" s="3">
        <v>34.520000000000003</v>
      </c>
      <c r="J63" s="4">
        <v>20163.47</v>
      </c>
      <c r="K63" s="48">
        <f t="shared" si="7"/>
        <v>0.12915417349108749</v>
      </c>
      <c r="L63" s="5">
        <v>26.89</v>
      </c>
      <c r="M63" s="4">
        <v>21318.82</v>
      </c>
      <c r="N63" s="19">
        <f t="shared" si="2"/>
        <v>0.19256557412440165</v>
      </c>
      <c r="O63" s="3">
        <v>27.86</v>
      </c>
      <c r="P63" s="4">
        <v>9234.61</v>
      </c>
      <c r="Q63" s="48">
        <f t="shared" si="3"/>
        <v>6.3318143792467696E-2</v>
      </c>
      <c r="R63" s="3" t="s">
        <v>237</v>
      </c>
      <c r="S63" s="4">
        <v>14469.8</v>
      </c>
      <c r="T63" s="4">
        <f t="shared" si="4"/>
        <v>0.20402388978213751</v>
      </c>
      <c r="U63" s="9">
        <v>30.37</v>
      </c>
      <c r="V63" s="4">
        <v>21069.07</v>
      </c>
      <c r="W63" s="4">
        <f t="shared" si="5"/>
        <v>0.18773353647111465</v>
      </c>
      <c r="AD63"/>
      <c r="AE63"/>
    </row>
    <row r="64" spans="1:31">
      <c r="B64" s="69" t="s">
        <v>171</v>
      </c>
      <c r="C64" s="6" t="s">
        <v>85</v>
      </c>
      <c r="D64" s="10" t="s">
        <v>87</v>
      </c>
      <c r="E64" s="20">
        <v>0</v>
      </c>
      <c r="F64" s="5">
        <v>30.05</v>
      </c>
      <c r="G64" s="4">
        <v>58115.25</v>
      </c>
      <c r="H64" s="19">
        <f t="shared" si="6"/>
        <v>0.47150379694212258</v>
      </c>
      <c r="I64" s="3">
        <v>38.24</v>
      </c>
      <c r="J64" s="4">
        <v>66933.86</v>
      </c>
      <c r="K64" s="48">
        <f t="shared" si="7"/>
        <v>0.42873510198731474</v>
      </c>
      <c r="L64" s="5">
        <v>29.8</v>
      </c>
      <c r="M64" s="4">
        <v>73154.039999999994</v>
      </c>
      <c r="N64" s="19">
        <f t="shared" si="2"/>
        <v>0.66077530145286845</v>
      </c>
      <c r="O64" s="3">
        <v>30.75</v>
      </c>
      <c r="P64" s="4">
        <v>58505.34</v>
      </c>
      <c r="Q64" s="48">
        <f t="shared" si="3"/>
        <v>0.40114845464477777</v>
      </c>
      <c r="R64" s="3">
        <v>30.27</v>
      </c>
      <c r="S64" s="4">
        <v>45247.31</v>
      </c>
      <c r="T64" s="4">
        <f t="shared" si="4"/>
        <v>0.63798616348382209</v>
      </c>
      <c r="U64" s="9">
        <v>33.6</v>
      </c>
      <c r="V64" s="4">
        <v>72404.399999999994</v>
      </c>
      <c r="W64" s="4">
        <f t="shared" si="5"/>
        <v>0.64515111811148629</v>
      </c>
      <c r="AD64"/>
      <c r="AE64"/>
    </row>
    <row r="65" spans="2:31">
      <c r="B65" s="69">
        <v>1463</v>
      </c>
      <c r="C65" s="6" t="s">
        <v>88</v>
      </c>
      <c r="D65" s="17" t="s">
        <v>89</v>
      </c>
      <c r="E65" s="20" t="s">
        <v>41</v>
      </c>
      <c r="F65" s="5">
        <v>25.6</v>
      </c>
      <c r="G65" s="4">
        <v>66784.81</v>
      </c>
      <c r="H65" s="19">
        <f t="shared" si="6"/>
        <v>0.54184214114295703</v>
      </c>
      <c r="I65" s="3" t="s">
        <v>251</v>
      </c>
      <c r="J65" s="4">
        <v>75069.3</v>
      </c>
      <c r="K65" s="48">
        <f t="shared" si="7"/>
        <v>0.48084547927784727</v>
      </c>
      <c r="L65" s="5">
        <v>25.33</v>
      </c>
      <c r="M65" s="4">
        <v>99940.53</v>
      </c>
      <c r="N65" s="19">
        <f t="shared" si="2"/>
        <v>0.90272845953701875</v>
      </c>
      <c r="O65" s="3">
        <v>26.24</v>
      </c>
      <c r="P65" s="4">
        <v>79050.84</v>
      </c>
      <c r="Q65" s="48">
        <f t="shared" si="3"/>
        <v>0.54202098995359371</v>
      </c>
      <c r="R65" s="3">
        <v>25.69</v>
      </c>
      <c r="S65" s="4">
        <v>97029.09</v>
      </c>
      <c r="T65" s="4">
        <f t="shared" si="4"/>
        <v>1.3681082229070962</v>
      </c>
      <c r="U65" s="9">
        <v>28.21</v>
      </c>
      <c r="V65" s="4">
        <v>108356.84</v>
      </c>
      <c r="W65" s="4">
        <f t="shared" si="5"/>
        <v>0.96550121927710775</v>
      </c>
      <c r="AD65"/>
      <c r="AE65"/>
    </row>
    <row r="66" spans="2:31">
      <c r="B66" s="69">
        <v>1479</v>
      </c>
      <c r="C66" s="6" t="s">
        <v>90</v>
      </c>
      <c r="D66" s="35" t="s">
        <v>91</v>
      </c>
      <c r="E66" s="20">
        <v>0</v>
      </c>
      <c r="F66" s="5" t="s">
        <v>3</v>
      </c>
      <c r="G66" s="4">
        <v>0</v>
      </c>
      <c r="H66" s="19">
        <f t="shared" si="6"/>
        <v>0</v>
      </c>
      <c r="I66" s="3" t="s">
        <v>3</v>
      </c>
      <c r="J66" s="4">
        <v>0</v>
      </c>
      <c r="K66" s="48">
        <f t="shared" si="7"/>
        <v>0</v>
      </c>
      <c r="L66" s="5" t="s">
        <v>3</v>
      </c>
      <c r="M66" s="4">
        <v>0</v>
      </c>
      <c r="N66" s="19">
        <f t="shared" si="2"/>
        <v>0</v>
      </c>
      <c r="O66" s="3" t="s">
        <v>3</v>
      </c>
      <c r="P66" s="4">
        <v>0</v>
      </c>
      <c r="Q66" s="48">
        <f t="shared" si="3"/>
        <v>0</v>
      </c>
      <c r="R66" s="49">
        <v>23.77</v>
      </c>
      <c r="S66" s="38">
        <v>44304.51</v>
      </c>
      <c r="T66" s="38">
        <f t="shared" si="4"/>
        <v>0.62469270239337171</v>
      </c>
      <c r="U66" s="37">
        <v>26.21</v>
      </c>
      <c r="V66" s="38">
        <v>64990.61</v>
      </c>
      <c r="W66" s="38">
        <f t="shared" si="5"/>
        <v>0.57909139096860884</v>
      </c>
      <c r="AD66"/>
      <c r="AE66"/>
    </row>
    <row r="67" spans="2:31">
      <c r="B67" s="69">
        <v>1520</v>
      </c>
      <c r="C67" s="6" t="s">
        <v>92</v>
      </c>
      <c r="D67" s="10" t="s">
        <v>93</v>
      </c>
      <c r="E67" s="20" t="s">
        <v>66</v>
      </c>
      <c r="F67" s="5">
        <v>22.88</v>
      </c>
      <c r="G67" s="4">
        <v>86555.06</v>
      </c>
      <c r="H67" s="19">
        <f t="shared" si="6"/>
        <v>0.70224320526115325</v>
      </c>
      <c r="I67" s="3">
        <v>28.71</v>
      </c>
      <c r="J67" s="4">
        <v>82266.17</v>
      </c>
      <c r="K67" s="48">
        <f t="shared" si="7"/>
        <v>0.52694398298642531</v>
      </c>
      <c r="L67" s="5">
        <v>22.57</v>
      </c>
      <c r="M67" s="4">
        <v>83881.47</v>
      </c>
      <c r="N67" s="19">
        <f t="shared" si="2"/>
        <v>0.7576724897976892</v>
      </c>
      <c r="O67" s="3">
        <v>23.49</v>
      </c>
      <c r="P67" s="4">
        <v>89687.89</v>
      </c>
      <c r="Q67" s="48">
        <f t="shared" si="3"/>
        <v>0.614955121598316</v>
      </c>
      <c r="R67" s="50" t="s">
        <v>3</v>
      </c>
      <c r="S67" s="33">
        <v>0</v>
      </c>
      <c r="T67" s="33">
        <f t="shared" si="4"/>
        <v>0</v>
      </c>
      <c r="U67" s="32" t="s">
        <v>3</v>
      </c>
      <c r="V67" s="33">
        <v>0</v>
      </c>
      <c r="W67" s="33">
        <f t="shared" si="5"/>
        <v>0</v>
      </c>
      <c r="AD67"/>
      <c r="AE67"/>
    </row>
    <row r="68" spans="2:31">
      <c r="B68" s="66" t="s">
        <v>95</v>
      </c>
      <c r="C68" s="6" t="s">
        <v>96</v>
      </c>
      <c r="D68" s="10" t="s">
        <v>98</v>
      </c>
      <c r="E68" s="20" t="s">
        <v>41</v>
      </c>
      <c r="F68" s="5" t="s">
        <v>245</v>
      </c>
      <c r="G68" s="4">
        <v>13131</v>
      </c>
      <c r="H68" s="19">
        <f t="shared" si="6"/>
        <v>0.10653514107995771</v>
      </c>
      <c r="I68" s="3">
        <v>34.69</v>
      </c>
      <c r="J68" s="4">
        <v>20690.25</v>
      </c>
      <c r="K68" s="48">
        <f t="shared" si="7"/>
        <v>0.13252838613958673</v>
      </c>
      <c r="L68" s="5" t="s">
        <v>149</v>
      </c>
      <c r="M68" s="4">
        <v>14010.9</v>
      </c>
      <c r="N68" s="19">
        <f t="shared" si="2"/>
        <v>0.12655564437898434</v>
      </c>
      <c r="O68" s="3" t="s">
        <v>230</v>
      </c>
      <c r="P68" s="4">
        <v>18550.3</v>
      </c>
      <c r="Q68" s="48">
        <f t="shared" si="3"/>
        <v>0.1271922217390245</v>
      </c>
      <c r="R68" s="3">
        <v>27.47</v>
      </c>
      <c r="S68" s="4">
        <v>13316.6</v>
      </c>
      <c r="T68" s="4">
        <f t="shared" si="4"/>
        <v>0.18776379291163753</v>
      </c>
      <c r="U68" s="9">
        <v>30.42</v>
      </c>
      <c r="V68" s="4">
        <v>19797.490000000002</v>
      </c>
      <c r="W68" s="4">
        <f t="shared" si="5"/>
        <v>0.17640326843811938</v>
      </c>
      <c r="AD68"/>
      <c r="AE68"/>
    </row>
    <row r="69" spans="2:31">
      <c r="B69" s="66" t="s">
        <v>97</v>
      </c>
      <c r="C69" s="6" t="s">
        <v>96</v>
      </c>
      <c r="D69" s="10" t="s">
        <v>100</v>
      </c>
      <c r="E69" s="20" t="s">
        <v>253</v>
      </c>
      <c r="F69" s="5">
        <v>27.89</v>
      </c>
      <c r="G69" s="4">
        <v>47745.279999999999</v>
      </c>
      <c r="H69" s="19">
        <f t="shared" si="6"/>
        <v>0.38736959414378819</v>
      </c>
      <c r="I69" s="3">
        <v>35.53</v>
      </c>
      <c r="J69" s="4">
        <v>55505.71</v>
      </c>
      <c r="K69" s="48">
        <f t="shared" si="7"/>
        <v>0.35553374984990127</v>
      </c>
      <c r="L69" s="5">
        <v>27.74</v>
      </c>
      <c r="M69" s="4">
        <v>71507.210000000006</v>
      </c>
      <c r="N69" s="19">
        <f t="shared" si="2"/>
        <v>0.6459000520518563</v>
      </c>
      <c r="O69" s="3">
        <v>28.68</v>
      </c>
      <c r="P69" s="4">
        <v>89322.5</v>
      </c>
      <c r="Q69" s="48">
        <f t="shared" si="3"/>
        <v>0.61244978390020743</v>
      </c>
      <c r="R69" s="3">
        <v>28.16</v>
      </c>
      <c r="S69" s="4">
        <v>39952.550000000003</v>
      </c>
      <c r="T69" s="4">
        <f t="shared" si="4"/>
        <v>0.56333015367975636</v>
      </c>
      <c r="U69" s="9">
        <v>31.16</v>
      </c>
      <c r="V69" s="4">
        <v>49732.52</v>
      </c>
      <c r="W69" s="4">
        <f t="shared" si="5"/>
        <v>0.44313592660807705</v>
      </c>
      <c r="AD69"/>
      <c r="AE69"/>
    </row>
    <row r="70" spans="2:31">
      <c r="B70" s="66" t="s">
        <v>99</v>
      </c>
      <c r="C70" s="6" t="s">
        <v>96</v>
      </c>
      <c r="D70" s="16" t="s">
        <v>101</v>
      </c>
      <c r="E70" s="20" t="s">
        <v>41</v>
      </c>
      <c r="F70" s="5">
        <v>29.93</v>
      </c>
      <c r="G70" s="4">
        <v>67018.41</v>
      </c>
      <c r="H70" s="19">
        <f t="shared" ref="H70:H82" si="8">G70/$G$83*100</f>
        <v>0.543737397327275</v>
      </c>
      <c r="I70" s="3">
        <v>38.24</v>
      </c>
      <c r="J70" s="4">
        <v>93333.15</v>
      </c>
      <c r="K70" s="48">
        <f t="shared" ref="K70:K82" si="9">J70/$J$83*100</f>
        <v>0.59783191323565299</v>
      </c>
      <c r="L70" s="5">
        <v>29.74</v>
      </c>
      <c r="M70" s="4">
        <v>80510.27</v>
      </c>
      <c r="N70" s="19">
        <f t="shared" ref="N70:N82" si="10">M70/$M$83*100</f>
        <v>0.72722159882491577</v>
      </c>
      <c r="O70" s="3">
        <v>30.63</v>
      </c>
      <c r="P70" s="4">
        <v>89660.28</v>
      </c>
      <c r="Q70" s="48">
        <f t="shared" ref="Q70:Q82" si="11">P70/$P$83*100</f>
        <v>0.61476581052290402</v>
      </c>
      <c r="R70" s="3">
        <v>30.14</v>
      </c>
      <c r="S70" s="4">
        <v>45039.91</v>
      </c>
      <c r="T70" s="4">
        <f t="shared" ref="T70:T82" si="12">S70/$S$83*100</f>
        <v>0.63506182764360208</v>
      </c>
      <c r="U70" s="9">
        <v>33.479999999999997</v>
      </c>
      <c r="V70" s="4">
        <v>72909.63</v>
      </c>
      <c r="W70" s="4">
        <f t="shared" ref="W70:W82" si="13">V70/$V$83*100</f>
        <v>0.6496529121931095</v>
      </c>
      <c r="AD70"/>
      <c r="AE70"/>
    </row>
    <row r="71" spans="2:31">
      <c r="B71" s="70">
        <v>1625</v>
      </c>
      <c r="C71" s="75" t="s">
        <v>120</v>
      </c>
      <c r="D71" s="35" t="s">
        <v>121</v>
      </c>
      <c r="E71" s="20">
        <v>0</v>
      </c>
      <c r="F71" s="5">
        <v>26.38</v>
      </c>
      <c r="G71" s="4">
        <v>13994.57</v>
      </c>
      <c r="H71" s="19">
        <f t="shared" si="8"/>
        <v>0.1135415040212736</v>
      </c>
      <c r="I71" s="3">
        <v>34.04</v>
      </c>
      <c r="J71" s="4">
        <v>27763.439999999999</v>
      </c>
      <c r="K71" s="48">
        <f t="shared" si="9"/>
        <v>0.17783467560243341</v>
      </c>
      <c r="L71" s="5">
        <v>26.35</v>
      </c>
      <c r="M71" s="4">
        <v>38081.19</v>
      </c>
      <c r="N71" s="19">
        <f t="shared" si="10"/>
        <v>0.34397430137739443</v>
      </c>
      <c r="O71" s="3" t="s">
        <v>231</v>
      </c>
      <c r="P71" s="4">
        <v>39124</v>
      </c>
      <c r="Q71" s="48">
        <f t="shared" si="11"/>
        <v>0.26825811352471907</v>
      </c>
      <c r="R71" s="3">
        <v>26.71</v>
      </c>
      <c r="S71" s="4">
        <v>68809.100000000006</v>
      </c>
      <c r="T71" s="4">
        <f t="shared" si="12"/>
        <v>0.97020692990974866</v>
      </c>
      <c r="U71" s="9">
        <v>29.23</v>
      </c>
      <c r="V71" s="4">
        <v>94971.77</v>
      </c>
      <c r="W71" s="4">
        <f t="shared" si="13"/>
        <v>0.84623508522309299</v>
      </c>
      <c r="AD71"/>
      <c r="AE71"/>
    </row>
    <row r="72" spans="2:31">
      <c r="B72" s="66">
        <v>1666</v>
      </c>
      <c r="C72" s="6" t="s">
        <v>102</v>
      </c>
      <c r="D72" s="10" t="s">
        <v>103</v>
      </c>
      <c r="E72" s="20" t="s">
        <v>66</v>
      </c>
      <c r="F72" s="5">
        <v>25.96</v>
      </c>
      <c r="G72" s="4">
        <v>78946.539999999994</v>
      </c>
      <c r="H72" s="19">
        <f t="shared" si="8"/>
        <v>0.64051334831121187</v>
      </c>
      <c r="I72" s="3">
        <v>32.92</v>
      </c>
      <c r="J72" s="4">
        <v>88711</v>
      </c>
      <c r="K72" s="48">
        <f t="shared" si="9"/>
        <v>0.56822540388970055</v>
      </c>
      <c r="L72" s="5">
        <v>25.8</v>
      </c>
      <c r="M72" s="4">
        <v>81509.570000000007</v>
      </c>
      <c r="N72" s="19">
        <f t="shared" si="10"/>
        <v>0.73624793228157592</v>
      </c>
      <c r="O72" s="3">
        <v>26.65</v>
      </c>
      <c r="P72" s="4">
        <v>106484.43</v>
      </c>
      <c r="Q72" s="48">
        <f t="shared" si="11"/>
        <v>0.73012249032703702</v>
      </c>
      <c r="R72" s="50" t="s">
        <v>3</v>
      </c>
      <c r="S72" s="33">
        <v>0</v>
      </c>
      <c r="T72" s="33">
        <f t="shared" si="12"/>
        <v>0</v>
      </c>
      <c r="U72" s="32" t="s">
        <v>3</v>
      </c>
      <c r="V72" s="33">
        <v>0</v>
      </c>
      <c r="W72" s="33">
        <f t="shared" si="13"/>
        <v>0</v>
      </c>
      <c r="AD72"/>
      <c r="AE72"/>
    </row>
    <row r="73" spans="2:31">
      <c r="B73" s="66" t="s">
        <v>104</v>
      </c>
      <c r="C73" s="6" t="s">
        <v>105</v>
      </c>
      <c r="D73" s="10" t="s">
        <v>106</v>
      </c>
      <c r="E73" s="20" t="s">
        <v>44</v>
      </c>
      <c r="F73" s="5">
        <v>27.79</v>
      </c>
      <c r="G73" s="4">
        <v>32105.69</v>
      </c>
      <c r="H73" s="19">
        <f t="shared" si="8"/>
        <v>0.26048162467591102</v>
      </c>
      <c r="I73" s="3">
        <v>34.840000000000003</v>
      </c>
      <c r="J73" s="4">
        <v>38827.550000000003</v>
      </c>
      <c r="K73" s="48">
        <f t="shared" si="9"/>
        <v>0.24870422248421892</v>
      </c>
      <c r="L73" s="5">
        <v>27.9</v>
      </c>
      <c r="M73" s="4">
        <v>33545.47</v>
      </c>
      <c r="N73" s="19">
        <f t="shared" si="10"/>
        <v>0.30300470147141784</v>
      </c>
      <c r="O73" s="3">
        <v>28.37</v>
      </c>
      <c r="P73" s="4">
        <v>41764.71</v>
      </c>
      <c r="Q73" s="48">
        <f t="shared" si="11"/>
        <v>0.28636443912961274</v>
      </c>
      <c r="R73" s="3">
        <v>28.55</v>
      </c>
      <c r="S73" s="4">
        <v>23376.75</v>
      </c>
      <c r="T73" s="4">
        <f t="shared" si="12"/>
        <v>0.32961170613723639</v>
      </c>
      <c r="U73" s="9">
        <v>30.8</v>
      </c>
      <c r="V73" s="4">
        <v>36402.730000000003</v>
      </c>
      <c r="W73" s="4">
        <f t="shared" si="13"/>
        <v>0.32436235866619362</v>
      </c>
      <c r="AD73"/>
      <c r="AE73"/>
    </row>
    <row r="74" spans="2:31">
      <c r="B74" s="66" t="s">
        <v>107</v>
      </c>
      <c r="C74" s="6" t="s">
        <v>105</v>
      </c>
      <c r="D74" s="10" t="s">
        <v>106</v>
      </c>
      <c r="E74" s="20" t="s">
        <v>44</v>
      </c>
      <c r="F74" s="5">
        <v>30.52</v>
      </c>
      <c r="G74" s="4">
        <v>14302.77</v>
      </c>
      <c r="H74" s="19">
        <f t="shared" si="8"/>
        <v>0.11604200896993273</v>
      </c>
      <c r="I74" s="3">
        <v>38.43</v>
      </c>
      <c r="J74" s="4">
        <v>22909.07</v>
      </c>
      <c r="K74" s="48">
        <f t="shared" si="9"/>
        <v>0.14674071483229165</v>
      </c>
      <c r="L74" s="5">
        <v>30.88</v>
      </c>
      <c r="M74" s="4">
        <v>24930.6</v>
      </c>
      <c r="N74" s="19">
        <f t="shared" si="10"/>
        <v>0.22518954155369797</v>
      </c>
      <c r="O74" s="3">
        <v>31.17</v>
      </c>
      <c r="P74" s="4">
        <v>21513.279999999999</v>
      </c>
      <c r="Q74" s="48">
        <f t="shared" si="11"/>
        <v>0.14750822790433155</v>
      </c>
      <c r="R74" s="3">
        <v>31.46</v>
      </c>
      <c r="S74" s="4">
        <v>22064.55</v>
      </c>
      <c r="T74" s="4">
        <f t="shared" si="12"/>
        <v>0.31110971245576735</v>
      </c>
      <c r="U74" s="9">
        <v>33.97</v>
      </c>
      <c r="V74" s="4">
        <v>20024.18</v>
      </c>
      <c r="W74" s="4">
        <f t="shared" si="13"/>
        <v>0.17842316373405018</v>
      </c>
      <c r="AD74"/>
      <c r="AE74"/>
    </row>
    <row r="75" spans="2:31">
      <c r="B75" s="71">
        <v>1723</v>
      </c>
      <c r="C75" s="6" t="s">
        <v>108</v>
      </c>
      <c r="D75" s="35" t="s">
        <v>163</v>
      </c>
      <c r="E75" s="20" t="s">
        <v>53</v>
      </c>
      <c r="F75" s="5">
        <v>23.48</v>
      </c>
      <c r="G75" s="4">
        <v>52452.1</v>
      </c>
      <c r="H75" s="19">
        <f t="shared" si="8"/>
        <v>0.42555722134186658</v>
      </c>
      <c r="I75" s="3">
        <v>29.48</v>
      </c>
      <c r="J75" s="4">
        <v>65085.67</v>
      </c>
      <c r="K75" s="48">
        <f t="shared" si="9"/>
        <v>0.41689678983645512</v>
      </c>
      <c r="L75" s="5">
        <v>23.12</v>
      </c>
      <c r="M75" s="4">
        <v>58165.74</v>
      </c>
      <c r="N75" s="19">
        <f t="shared" si="10"/>
        <v>0.52539113879054633</v>
      </c>
      <c r="O75" s="3">
        <v>24.08</v>
      </c>
      <c r="P75" s="4">
        <v>57678.71</v>
      </c>
      <c r="Q75" s="48">
        <f t="shared" si="11"/>
        <v>0.39548057292555333</v>
      </c>
      <c r="R75" s="50" t="s">
        <v>3</v>
      </c>
      <c r="S75" s="33">
        <v>0</v>
      </c>
      <c r="T75" s="43">
        <f t="shared" si="12"/>
        <v>0</v>
      </c>
      <c r="U75" s="32" t="s">
        <v>3</v>
      </c>
      <c r="V75" s="33">
        <v>0</v>
      </c>
      <c r="W75" s="33">
        <f t="shared" si="13"/>
        <v>0</v>
      </c>
      <c r="AD75"/>
      <c r="AE75"/>
    </row>
    <row r="76" spans="2:31">
      <c r="B76" s="69">
        <v>1771</v>
      </c>
      <c r="C76" s="6" t="s">
        <v>154</v>
      </c>
      <c r="D76" s="6" t="s">
        <v>155</v>
      </c>
      <c r="E76" s="20">
        <v>0</v>
      </c>
      <c r="F76" s="5">
        <v>28.77</v>
      </c>
      <c r="G76" s="4">
        <v>31221.62</v>
      </c>
      <c r="H76" s="19">
        <f t="shared" si="8"/>
        <v>0.25330894002321441</v>
      </c>
      <c r="I76" s="3">
        <v>36.72</v>
      </c>
      <c r="J76" s="4">
        <v>48025.63</v>
      </c>
      <c r="K76" s="48">
        <f t="shared" si="9"/>
        <v>0.30762118569069585</v>
      </c>
      <c r="L76" s="5">
        <v>28.74</v>
      </c>
      <c r="M76" s="4">
        <v>36005.660000000003</v>
      </c>
      <c r="N76" s="19">
        <f t="shared" si="10"/>
        <v>0.32522675221367803</v>
      </c>
      <c r="O76" s="3">
        <v>29.55</v>
      </c>
      <c r="P76" s="4">
        <v>55441.74</v>
      </c>
      <c r="Q76" s="48">
        <f t="shared" si="11"/>
        <v>0.38014253611409765</v>
      </c>
      <c r="R76" s="3">
        <v>29.16</v>
      </c>
      <c r="S76" s="4">
        <v>59767.81</v>
      </c>
      <c r="T76" s="4">
        <f t="shared" si="12"/>
        <v>0.84272492224907991</v>
      </c>
      <c r="U76" s="9">
        <v>32.24</v>
      </c>
      <c r="V76" s="4">
        <v>85640.73</v>
      </c>
      <c r="W76" s="4">
        <f t="shared" si="13"/>
        <v>0.76309192142168025</v>
      </c>
      <c r="AD76"/>
      <c r="AE76"/>
    </row>
    <row r="77" spans="2:31">
      <c r="B77" s="66">
        <v>1828</v>
      </c>
      <c r="C77" s="6" t="s">
        <v>109</v>
      </c>
      <c r="D77" s="14" t="s">
        <v>156</v>
      </c>
      <c r="E77" s="20" t="s">
        <v>66</v>
      </c>
      <c r="F77" s="5">
        <v>26.81</v>
      </c>
      <c r="G77" s="4">
        <v>32023.74</v>
      </c>
      <c r="H77" s="19">
        <f t="shared" si="8"/>
        <v>0.25981674349309913</v>
      </c>
      <c r="I77" s="3" t="s">
        <v>3</v>
      </c>
      <c r="J77" s="4">
        <v>0</v>
      </c>
      <c r="K77" s="48">
        <f t="shared" si="9"/>
        <v>0</v>
      </c>
      <c r="L77" s="5">
        <v>26.54</v>
      </c>
      <c r="M77" s="4">
        <v>54285.08</v>
      </c>
      <c r="N77" s="19">
        <f t="shared" si="10"/>
        <v>0.49033847073098202</v>
      </c>
      <c r="O77" s="3">
        <v>27.6</v>
      </c>
      <c r="P77" s="4">
        <v>52991.01</v>
      </c>
      <c r="Q77" s="48">
        <f t="shared" si="11"/>
        <v>0.36333882978145188</v>
      </c>
      <c r="R77" s="50" t="s">
        <v>3</v>
      </c>
      <c r="S77" s="33">
        <v>0</v>
      </c>
      <c r="T77" s="33">
        <f t="shared" si="12"/>
        <v>0</v>
      </c>
      <c r="U77" s="32" t="s">
        <v>3</v>
      </c>
      <c r="V77" s="33">
        <v>0</v>
      </c>
      <c r="W77" s="33">
        <f t="shared" si="13"/>
        <v>0</v>
      </c>
      <c r="AD77"/>
      <c r="AE77"/>
    </row>
    <row r="78" spans="2:31">
      <c r="B78" s="68">
        <v>1885</v>
      </c>
      <c r="C78" s="74" t="s">
        <v>194</v>
      </c>
      <c r="D78" s="14" t="s">
        <v>195</v>
      </c>
      <c r="E78" s="20" t="s">
        <v>66</v>
      </c>
      <c r="F78" s="5" t="s">
        <v>246</v>
      </c>
      <c r="G78" s="4">
        <v>33516.1</v>
      </c>
      <c r="H78" s="19">
        <f t="shared" si="8"/>
        <v>0.27192463955144086</v>
      </c>
      <c r="I78" s="3">
        <v>31.17</v>
      </c>
      <c r="J78" s="4">
        <v>41256.75</v>
      </c>
      <c r="K78" s="48">
        <f t="shared" si="9"/>
        <v>0.2642641096586264</v>
      </c>
      <c r="L78" s="5" t="s">
        <v>247</v>
      </c>
      <c r="M78" s="4">
        <v>36208.6</v>
      </c>
      <c r="N78" s="19">
        <f t="shared" si="10"/>
        <v>0.32705983948646355</v>
      </c>
      <c r="O78" s="4">
        <v>25.28</v>
      </c>
      <c r="P78" s="4">
        <v>45934.31</v>
      </c>
      <c r="Q78" s="48">
        <f t="shared" si="11"/>
        <v>0.31495377125701962</v>
      </c>
      <c r="R78" s="50" t="s">
        <v>3</v>
      </c>
      <c r="S78" s="33">
        <v>0</v>
      </c>
      <c r="T78" s="33">
        <f t="shared" si="12"/>
        <v>0</v>
      </c>
      <c r="U78" s="32" t="s">
        <v>3</v>
      </c>
      <c r="V78" s="33">
        <v>0</v>
      </c>
      <c r="W78" s="33">
        <f t="shared" si="13"/>
        <v>0</v>
      </c>
      <c r="AD78"/>
      <c r="AE78"/>
    </row>
    <row r="79" spans="2:31">
      <c r="B79" s="66" t="s">
        <v>111</v>
      </c>
      <c r="C79" s="6" t="s">
        <v>110</v>
      </c>
      <c r="D79" s="14" t="s">
        <v>112</v>
      </c>
      <c r="E79" s="23">
        <v>0</v>
      </c>
      <c r="F79" s="5">
        <v>31.78</v>
      </c>
      <c r="G79" s="4">
        <v>14011.69</v>
      </c>
      <c r="H79" s="61">
        <f t="shared" si="8"/>
        <v>0.11368040293341197</v>
      </c>
      <c r="I79" s="3" t="s">
        <v>211</v>
      </c>
      <c r="J79" s="4">
        <v>34646.300000000003</v>
      </c>
      <c r="K79" s="48">
        <f t="shared" si="9"/>
        <v>0.22192183394149242</v>
      </c>
      <c r="L79" s="5">
        <v>31.69</v>
      </c>
      <c r="M79" s="4">
        <v>55332.3</v>
      </c>
      <c r="N79" s="19">
        <f t="shared" si="10"/>
        <v>0.4997976490783087</v>
      </c>
      <c r="O79" s="3">
        <v>32.5</v>
      </c>
      <c r="P79" s="4">
        <v>43043.34</v>
      </c>
      <c r="Q79" s="48">
        <f t="shared" si="11"/>
        <v>0.29513150976901847</v>
      </c>
      <c r="R79" s="3">
        <v>32.08</v>
      </c>
      <c r="S79" s="4">
        <v>35795.74</v>
      </c>
      <c r="T79" s="18">
        <f t="shared" si="12"/>
        <v>0.50471921605205683</v>
      </c>
      <c r="U79" s="9">
        <v>35.85</v>
      </c>
      <c r="V79" s="4">
        <v>42953.36</v>
      </c>
      <c r="W79" s="4">
        <f t="shared" si="13"/>
        <v>0.3827309974344818</v>
      </c>
      <c r="AD79"/>
      <c r="AE79"/>
    </row>
    <row r="80" spans="2:31">
      <c r="B80" s="71">
        <v>1974</v>
      </c>
      <c r="C80" s="6" t="s">
        <v>114</v>
      </c>
      <c r="D80" s="14" t="s">
        <v>115</v>
      </c>
      <c r="E80" s="20" t="s">
        <v>66</v>
      </c>
      <c r="F80" s="5">
        <v>29.15</v>
      </c>
      <c r="G80" s="4">
        <v>32655.87</v>
      </c>
      <c r="H80" s="61">
        <f t="shared" si="8"/>
        <v>0.26494537487919873</v>
      </c>
      <c r="I80" s="3">
        <v>37.380000000000003</v>
      </c>
      <c r="J80" s="4">
        <v>50533.27</v>
      </c>
      <c r="K80" s="48">
        <f t="shared" si="9"/>
        <v>0.32368350887282626</v>
      </c>
      <c r="L80" s="5">
        <v>29.05</v>
      </c>
      <c r="M80" s="4">
        <v>42513.85</v>
      </c>
      <c r="N80" s="19">
        <f t="shared" si="10"/>
        <v>0.38401299572343561</v>
      </c>
      <c r="O80" s="3" t="s">
        <v>232</v>
      </c>
      <c r="P80" s="4">
        <v>36473.800000000003</v>
      </c>
      <c r="Q80" s="48">
        <f t="shared" si="11"/>
        <v>0.25008671866572685</v>
      </c>
      <c r="R80" s="50" t="s">
        <v>3</v>
      </c>
      <c r="S80" s="33">
        <v>0</v>
      </c>
      <c r="T80" s="44">
        <f t="shared" si="12"/>
        <v>0</v>
      </c>
      <c r="U80" s="32" t="s">
        <v>3</v>
      </c>
      <c r="V80" s="33">
        <v>0</v>
      </c>
      <c r="W80" s="33">
        <f t="shared" si="13"/>
        <v>0</v>
      </c>
      <c r="AD80"/>
      <c r="AE80"/>
    </row>
    <row r="81" spans="2:36">
      <c r="B81" s="66">
        <v>2031</v>
      </c>
      <c r="C81" s="6" t="s">
        <v>116</v>
      </c>
      <c r="D81" s="10" t="s">
        <v>117</v>
      </c>
      <c r="E81" s="20" t="s">
        <v>66</v>
      </c>
      <c r="F81" s="5">
        <v>27.2</v>
      </c>
      <c r="G81" s="4">
        <v>42835.8</v>
      </c>
      <c r="H81" s="19">
        <f t="shared" si="8"/>
        <v>0.34753773484676359</v>
      </c>
      <c r="I81" s="3">
        <v>34.47</v>
      </c>
      <c r="J81" s="4">
        <v>54125.91</v>
      </c>
      <c r="K81" s="48">
        <f t="shared" si="9"/>
        <v>0.34669564169773298</v>
      </c>
      <c r="L81" s="5">
        <v>27.16</v>
      </c>
      <c r="M81" s="4">
        <v>42500.57</v>
      </c>
      <c r="N81" s="19">
        <f t="shared" si="10"/>
        <v>0.38389304204755803</v>
      </c>
      <c r="O81" s="3">
        <v>27.97</v>
      </c>
      <c r="P81" s="4">
        <v>43069.3</v>
      </c>
      <c r="Q81" s="48">
        <f t="shared" si="11"/>
        <v>0.29530950743354928</v>
      </c>
      <c r="R81" s="50" t="s">
        <v>3</v>
      </c>
      <c r="S81" s="33">
        <v>0</v>
      </c>
      <c r="T81" s="33">
        <f t="shared" si="12"/>
        <v>0</v>
      </c>
      <c r="U81" s="32" t="s">
        <v>3</v>
      </c>
      <c r="V81" s="33">
        <v>0</v>
      </c>
      <c r="W81" s="33">
        <f t="shared" si="13"/>
        <v>0</v>
      </c>
      <c r="AD81"/>
      <c r="AE81"/>
    </row>
    <row r="82" spans="2:36">
      <c r="B82" s="72" t="s">
        <v>118</v>
      </c>
      <c r="C82" s="6" t="s">
        <v>113</v>
      </c>
      <c r="D82" s="15" t="s">
        <v>119</v>
      </c>
      <c r="E82" s="20" t="s">
        <v>66</v>
      </c>
      <c r="F82" s="5">
        <v>25.06</v>
      </c>
      <c r="G82" s="4">
        <v>22871.66</v>
      </c>
      <c r="H82" s="62">
        <f t="shared" si="8"/>
        <v>0.18556359186907512</v>
      </c>
      <c r="I82" s="3">
        <v>31.74</v>
      </c>
      <c r="J82" s="4">
        <v>27827.53</v>
      </c>
      <c r="K82" s="48">
        <f t="shared" si="9"/>
        <v>0.1782451947729454</v>
      </c>
      <c r="L82" s="5" t="s">
        <v>3</v>
      </c>
      <c r="M82" s="4">
        <v>0</v>
      </c>
      <c r="N82" s="19">
        <f t="shared" si="10"/>
        <v>0</v>
      </c>
      <c r="O82" s="3">
        <v>25.71</v>
      </c>
      <c r="P82" s="4">
        <v>16569.439999999999</v>
      </c>
      <c r="Q82" s="48">
        <f t="shared" si="11"/>
        <v>0.11361023199470965</v>
      </c>
      <c r="R82" s="50" t="s">
        <v>3</v>
      </c>
      <c r="S82" s="33">
        <v>0</v>
      </c>
      <c r="T82" s="45">
        <f t="shared" si="12"/>
        <v>0</v>
      </c>
      <c r="U82" s="32" t="s">
        <v>3</v>
      </c>
      <c r="V82" s="33">
        <v>0</v>
      </c>
      <c r="W82" s="33">
        <f t="shared" si="13"/>
        <v>0</v>
      </c>
      <c r="AD82"/>
      <c r="AE82"/>
    </row>
    <row r="83" spans="2:36" ht="14.7" thickBot="1">
      <c r="B83" s="73" t="s">
        <v>260</v>
      </c>
      <c r="C83" s="29"/>
      <c r="D83" s="29"/>
      <c r="E83" s="30"/>
      <c r="F83" s="51"/>
      <c r="G83" s="52">
        <f>SUM(G6:G82)</f>
        <v>12325510.5</v>
      </c>
      <c r="H83" s="63"/>
      <c r="I83" s="53"/>
      <c r="J83" s="52">
        <f>SUM(J6:J82)</f>
        <v>15611938.395000001</v>
      </c>
      <c r="K83" s="54"/>
      <c r="L83" s="51"/>
      <c r="M83" s="52">
        <f>SUM(M6:M82)</f>
        <v>11070940.43</v>
      </c>
      <c r="N83" s="63"/>
      <c r="O83" s="53"/>
      <c r="P83" s="52">
        <f>SUM(P6:P82)</f>
        <v>14584461.020000001</v>
      </c>
      <c r="Q83" s="54"/>
      <c r="R83" s="31"/>
      <c r="S83" s="21">
        <f>SUM(S6:S82)</f>
        <v>7092208.669999999</v>
      </c>
      <c r="T83" s="28"/>
      <c r="U83" s="31"/>
      <c r="V83" s="21">
        <f>SUM(V6:V82)</f>
        <v>11222858.949999997</v>
      </c>
      <c r="W83" s="28"/>
      <c r="AD83"/>
      <c r="AE83"/>
    </row>
    <row r="84" spans="2:36">
      <c r="D84" t="s">
        <v>262</v>
      </c>
    </row>
    <row r="85" spans="2:36">
      <c r="D85" t="s">
        <v>263</v>
      </c>
    </row>
    <row r="86" spans="2:36">
      <c r="D86"/>
    </row>
    <row r="87" spans="2:36" ht="20.7">
      <c r="B87" s="76" t="s">
        <v>264</v>
      </c>
      <c r="D87"/>
      <c r="H87"/>
      <c r="N87"/>
      <c r="Q87"/>
      <c r="T87"/>
      <c r="AD87"/>
      <c r="AE87"/>
    </row>
    <row r="88" spans="2:36">
      <c r="B88" s="8" t="s">
        <v>265</v>
      </c>
      <c r="C88" s="95" t="s">
        <v>266</v>
      </c>
      <c r="D88" s="95"/>
      <c r="E88" s="95"/>
      <c r="F88" s="95"/>
      <c r="G88" s="95"/>
      <c r="H88"/>
      <c r="N88"/>
      <c r="Q88"/>
      <c r="T88"/>
      <c r="AD88"/>
      <c r="AE88"/>
    </row>
    <row r="89" spans="2:36">
      <c r="B89" s="8" t="s">
        <v>267</v>
      </c>
      <c r="C89" s="95" t="s">
        <v>268</v>
      </c>
      <c r="D89" s="95"/>
      <c r="E89" s="95"/>
      <c r="F89" s="95"/>
      <c r="G89" s="95"/>
      <c r="H89"/>
      <c r="N89"/>
      <c r="Q89"/>
      <c r="T89"/>
      <c r="AD89"/>
      <c r="AE89"/>
    </row>
    <row r="90" spans="2:36">
      <c r="B90" s="8" t="s">
        <v>269</v>
      </c>
      <c r="C90" s="95" t="s">
        <v>270</v>
      </c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</row>
    <row r="91" spans="2:36">
      <c r="C91" s="95" t="s">
        <v>271</v>
      </c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</row>
    <row r="92" spans="2:36">
      <c r="B92" s="8" t="s">
        <v>272</v>
      </c>
      <c r="C92" t="s">
        <v>279</v>
      </c>
      <c r="D92"/>
      <c r="H92"/>
      <c r="N92"/>
      <c r="Q92"/>
      <c r="T92"/>
      <c r="AD92"/>
      <c r="AE92"/>
    </row>
    <row r="93" spans="2:36">
      <c r="B93" s="8" t="s">
        <v>273</v>
      </c>
      <c r="C93" t="s">
        <v>274</v>
      </c>
      <c r="D93"/>
      <c r="H93"/>
      <c r="N93"/>
      <c r="Q93"/>
      <c r="T93"/>
      <c r="AD93"/>
      <c r="AE93"/>
    </row>
    <row r="94" spans="2:36">
      <c r="B94" s="8" t="s">
        <v>275</v>
      </c>
      <c r="C94" s="95" t="s">
        <v>276</v>
      </c>
      <c r="D94" s="95"/>
      <c r="H94"/>
      <c r="N94"/>
      <c r="Q94"/>
      <c r="T94"/>
      <c r="AD94"/>
      <c r="AE94"/>
    </row>
    <row r="95" spans="2:36">
      <c r="B95" s="8" t="s">
        <v>277</v>
      </c>
      <c r="C95" s="95" t="s">
        <v>278</v>
      </c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77"/>
    </row>
    <row r="96" spans="2:36">
      <c r="B96" s="8"/>
      <c r="C96" s="95"/>
      <c r="D96" s="95"/>
      <c r="H96"/>
      <c r="N96"/>
      <c r="Q96"/>
      <c r="T96"/>
      <c r="AD96"/>
      <c r="AE96"/>
    </row>
    <row r="97" spans="2:36">
      <c r="B97" s="78"/>
      <c r="C97" s="79"/>
      <c r="D97" s="78"/>
      <c r="E97" s="79"/>
      <c r="F97" s="79"/>
      <c r="H97"/>
      <c r="N97"/>
      <c r="Q97"/>
      <c r="T97"/>
      <c r="AD97"/>
      <c r="AE97"/>
      <c r="AG97" s="8"/>
      <c r="AJ97" s="8"/>
    </row>
    <row r="98" spans="2:36">
      <c r="B98" s="80"/>
      <c r="C98" s="96" t="s">
        <v>280</v>
      </c>
      <c r="D98" s="95"/>
      <c r="H98"/>
      <c r="N98"/>
      <c r="Q98"/>
      <c r="T98"/>
      <c r="AD98"/>
      <c r="AE98"/>
    </row>
    <row r="99" spans="2:36">
      <c r="B99" s="81"/>
      <c r="C99" s="96" t="s">
        <v>281</v>
      </c>
      <c r="D99" s="95"/>
      <c r="H99"/>
      <c r="N99"/>
      <c r="Q99"/>
      <c r="T99"/>
      <c r="AD99"/>
      <c r="AE99"/>
    </row>
    <row r="100" spans="2:36">
      <c r="B100" s="82"/>
      <c r="C100" s="96" t="s">
        <v>282</v>
      </c>
      <c r="D100" s="95"/>
      <c r="H100"/>
      <c r="N100"/>
      <c r="Q100"/>
      <c r="T100"/>
      <c r="AD100"/>
      <c r="AE100"/>
    </row>
  </sheetData>
  <mergeCells count="20">
    <mergeCell ref="C96:D96"/>
    <mergeCell ref="C98:D98"/>
    <mergeCell ref="C99:D99"/>
    <mergeCell ref="C100:D100"/>
    <mergeCell ref="C88:G88"/>
    <mergeCell ref="C89:G89"/>
    <mergeCell ref="C90:AJ90"/>
    <mergeCell ref="C91:AI91"/>
    <mergeCell ref="C94:D94"/>
    <mergeCell ref="C95:AI95"/>
    <mergeCell ref="R3:W3"/>
    <mergeCell ref="L4:N4"/>
    <mergeCell ref="O4:Q4"/>
    <mergeCell ref="R4:T4"/>
    <mergeCell ref="U4:W4"/>
    <mergeCell ref="A1:E1"/>
    <mergeCell ref="F4:H4"/>
    <mergeCell ref="I4:K4"/>
    <mergeCell ref="F3:K3"/>
    <mergeCell ref="L3:Q3"/>
  </mergeCells>
  <phoneticPr fontId="3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Jin2016</dc:creator>
  <cp:lastModifiedBy>Ana Sofia de Jesus Vaz Luis</cp:lastModifiedBy>
  <dcterms:created xsi:type="dcterms:W3CDTF">2021-09-09T06:45:55Z</dcterms:created>
  <dcterms:modified xsi:type="dcterms:W3CDTF">2025-11-20T15:54:58Z</dcterms:modified>
</cp:coreProperties>
</file>