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ana_luis_medkem_gu_se/Documents/Dokument/MyPapers/Enzyme paper/X_First submission_Cell/"/>
    </mc:Choice>
  </mc:AlternateContent>
  <xr:revisionPtr revIDLastSave="121" documentId="8_{4603EDB0-8799-428D-AD8F-D99CC1ED0D34}" xr6:coauthVersionLast="47" xr6:coauthVersionMax="47" xr10:uidLastSave="{A7E6652F-151B-4E32-B289-D93477DCD299}"/>
  <bookViews>
    <workbookView xWindow="-93" yWindow="-93" windowWidth="25786" windowHeight="15466" xr2:uid="{00000000-000D-0000-FFFF-FFFF00000000}"/>
  </bookViews>
  <sheets>
    <sheet name="Table 11A" sheetId="7" r:id="rId1"/>
    <sheet name="Table 11B" sheetId="8" r:id="rId2"/>
    <sheet name="Table 11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9" l="1"/>
  <c r="G89" i="9" s="1"/>
  <c r="I101" i="9"/>
  <c r="J89" i="9" s="1"/>
  <c r="L101" i="9"/>
  <c r="M96" i="9" s="1"/>
  <c r="O101" i="9"/>
  <c r="P96" i="9" s="1"/>
  <c r="R101" i="9"/>
  <c r="S94" i="9" s="1"/>
  <c r="U101" i="9"/>
  <c r="V94" i="9" s="1"/>
  <c r="X101" i="9"/>
  <c r="Y92" i="9" s="1"/>
  <c r="AA101" i="9"/>
  <c r="AB90" i="9" s="1"/>
  <c r="AD101" i="9"/>
  <c r="AE90" i="9" s="1"/>
  <c r="AD66" i="8"/>
  <c r="AE62" i="8" s="1"/>
  <c r="AA66" i="8"/>
  <c r="AB60" i="8" s="1"/>
  <c r="X66" i="8"/>
  <c r="U66" i="8"/>
  <c r="V62" i="8" s="1"/>
  <c r="R66" i="8"/>
  <c r="S60" i="8" s="1"/>
  <c r="O66" i="8"/>
  <c r="P60" i="8" s="1"/>
  <c r="L66" i="8"/>
  <c r="I66" i="8"/>
  <c r="J61" i="8" s="1"/>
  <c r="F66" i="8"/>
  <c r="G63" i="8" s="1"/>
  <c r="AJ17" i="7"/>
  <c r="AK16" i="7" s="1"/>
  <c r="AG17" i="7"/>
  <c r="AH12" i="7" s="1"/>
  <c r="AD17" i="7"/>
  <c r="AE9" i="7" s="1"/>
  <c r="AA17" i="7"/>
  <c r="AB13" i="7" s="1"/>
  <c r="X17" i="7"/>
  <c r="Y13" i="7" s="1"/>
  <c r="U17" i="7"/>
  <c r="V13" i="7" s="1"/>
  <c r="R17" i="7"/>
  <c r="S14" i="7" s="1"/>
  <c r="O17" i="7"/>
  <c r="P11" i="7" s="1"/>
  <c r="L17" i="7"/>
  <c r="M12" i="7" s="1"/>
  <c r="I17" i="7"/>
  <c r="J7" i="7" s="1"/>
  <c r="F17" i="7"/>
  <c r="G16" i="7" s="1"/>
  <c r="L75" i="9"/>
  <c r="M73" i="9" s="1"/>
  <c r="F75" i="9"/>
  <c r="G72" i="9" s="1"/>
  <c r="AD75" i="9"/>
  <c r="AE69" i="9" s="1"/>
  <c r="AA75" i="9"/>
  <c r="AB50" i="9" s="1"/>
  <c r="X75" i="9"/>
  <c r="Y72" i="9" s="1"/>
  <c r="U75" i="9"/>
  <c r="V63" i="9" s="1"/>
  <c r="R75" i="9"/>
  <c r="S72" i="9" s="1"/>
  <c r="O75" i="9"/>
  <c r="P72" i="9" s="1"/>
  <c r="I44" i="9"/>
  <c r="I75" i="9" s="1"/>
  <c r="G21" i="9" l="1"/>
  <c r="G10" i="9"/>
  <c r="G12" i="9"/>
  <c r="G22" i="9"/>
  <c r="G23" i="9"/>
  <c r="G11" i="9"/>
  <c r="G27" i="9"/>
  <c r="G29" i="9"/>
  <c r="G73" i="9"/>
  <c r="G9" i="9"/>
  <c r="G8" i="9"/>
  <c r="M9" i="9"/>
  <c r="AE97" i="9"/>
  <c r="AE10" i="9"/>
  <c r="Y93" i="9"/>
  <c r="P92" i="9"/>
  <c r="AE91" i="9"/>
  <c r="AE89" i="9"/>
  <c r="V89" i="9"/>
  <c r="P100" i="9"/>
  <c r="AE98" i="9"/>
  <c r="S98" i="9"/>
  <c r="P98" i="9"/>
  <c r="M24" i="9"/>
  <c r="P97" i="9"/>
  <c r="J97" i="9"/>
  <c r="J96" i="9"/>
  <c r="AE95" i="9"/>
  <c r="G65" i="9"/>
  <c r="P94" i="9"/>
  <c r="J93" i="9"/>
  <c r="V93" i="9"/>
  <c r="S93" i="9"/>
  <c r="G25" i="9"/>
  <c r="V97" i="9"/>
  <c r="P93" i="9"/>
  <c r="AE11" i="9"/>
  <c r="G28" i="9"/>
  <c r="M97" i="9"/>
  <c r="G93" i="9"/>
  <c r="G30" i="9"/>
  <c r="Y100" i="9"/>
  <c r="G97" i="9"/>
  <c r="S92" i="9"/>
  <c r="G13" i="9"/>
  <c r="G16" i="9"/>
  <c r="G32" i="9"/>
  <c r="Y99" i="9"/>
  <c r="G96" i="9"/>
  <c r="P91" i="9"/>
  <c r="V92" i="9"/>
  <c r="G31" i="9"/>
  <c r="V100" i="9"/>
  <c r="AE32" i="9"/>
  <c r="M17" i="9"/>
  <c r="V99" i="9"/>
  <c r="G18" i="9"/>
  <c r="P90" i="9"/>
  <c r="G19" i="9"/>
  <c r="G40" i="9"/>
  <c r="P99" i="9"/>
  <c r="P95" i="9"/>
  <c r="J90" i="9"/>
  <c r="V96" i="9"/>
  <c r="G14" i="9"/>
  <c r="G35" i="9"/>
  <c r="V90" i="9"/>
  <c r="V39" i="9"/>
  <c r="S99" i="9"/>
  <c r="S95" i="9"/>
  <c r="G20" i="9"/>
  <c r="AE44" i="9"/>
  <c r="G99" i="9"/>
  <c r="AE94" i="9"/>
  <c r="G90" i="9"/>
  <c r="Y97" i="9"/>
  <c r="J94" i="9"/>
  <c r="AB97" i="9"/>
  <c r="Y90" i="9"/>
  <c r="AB95" i="9"/>
  <c r="G94" i="9"/>
  <c r="M92" i="9"/>
  <c r="S90" i="9"/>
  <c r="AE60" i="9"/>
  <c r="M99" i="9"/>
  <c r="S97" i="9"/>
  <c r="Y95" i="9"/>
  <c r="AE93" i="9"/>
  <c r="J92" i="9"/>
  <c r="AB100" i="9"/>
  <c r="M94" i="9"/>
  <c r="S26" i="9"/>
  <c r="AE100" i="9"/>
  <c r="J99" i="9"/>
  <c r="V95" i="9"/>
  <c r="AB93" i="9"/>
  <c r="G92" i="9"/>
  <c r="M90" i="9"/>
  <c r="S100" i="9"/>
  <c r="Y98" i="9"/>
  <c r="AE96" i="9"/>
  <c r="J95" i="9"/>
  <c r="V91" i="9"/>
  <c r="AB89" i="9"/>
  <c r="AB98" i="9"/>
  <c r="M95" i="9"/>
  <c r="Y91" i="9"/>
  <c r="P18" i="9"/>
  <c r="V98" i="9"/>
  <c r="AB96" i="9"/>
  <c r="G95" i="9"/>
  <c r="M93" i="9"/>
  <c r="S91" i="9"/>
  <c r="Y89" i="9"/>
  <c r="S89" i="9"/>
  <c r="V20" i="9"/>
  <c r="G100" i="9"/>
  <c r="M98" i="9"/>
  <c r="S96" i="9"/>
  <c r="Y94" i="9"/>
  <c r="AE92" i="9"/>
  <c r="J91" i="9"/>
  <c r="P89" i="9"/>
  <c r="M100" i="9"/>
  <c r="J100" i="9"/>
  <c r="AB94" i="9"/>
  <c r="V9" i="9"/>
  <c r="V36" i="9"/>
  <c r="AE99" i="9"/>
  <c r="J98" i="9"/>
  <c r="AB92" i="9"/>
  <c r="G91" i="9"/>
  <c r="M89" i="9"/>
  <c r="AB91" i="9"/>
  <c r="Y96" i="9"/>
  <c r="M91" i="9"/>
  <c r="V21" i="9"/>
  <c r="AB37" i="9"/>
  <c r="AB99" i="9"/>
  <c r="G98" i="9"/>
  <c r="AB9" i="9"/>
  <c r="V42" i="9"/>
  <c r="V26" i="9"/>
  <c r="AB16" i="9"/>
  <c r="G45" i="9"/>
  <c r="V28" i="9"/>
  <c r="G48" i="9"/>
  <c r="G54" i="9"/>
  <c r="V59" i="9"/>
  <c r="Y40" i="9"/>
  <c r="Y25" i="9"/>
  <c r="M18" i="9"/>
  <c r="Y41" i="9"/>
  <c r="Y52" i="9"/>
  <c r="Y74" i="9"/>
  <c r="Y32" i="9"/>
  <c r="Y13" i="9"/>
  <c r="Y19" i="9"/>
  <c r="Y51" i="9"/>
  <c r="Y8" i="9"/>
  <c r="Y33" i="9"/>
  <c r="Y42" i="9"/>
  <c r="Y58" i="9"/>
  <c r="Y12" i="9"/>
  <c r="Y14" i="9"/>
  <c r="Y26" i="9"/>
  <c r="Y34" i="9"/>
  <c r="Y43" i="9"/>
  <c r="M58" i="9"/>
  <c r="Y73" i="9"/>
  <c r="Y9" i="9"/>
  <c r="M14" i="9"/>
  <c r="Y59" i="9"/>
  <c r="Y20" i="9"/>
  <c r="Y35" i="9"/>
  <c r="Y15" i="9"/>
  <c r="Y60" i="9"/>
  <c r="Y50" i="9"/>
  <c r="Y27" i="9"/>
  <c r="Y44" i="9"/>
  <c r="M15" i="9"/>
  <c r="Y21" i="9"/>
  <c r="Y28" i="9"/>
  <c r="Y36" i="9"/>
  <c r="Y45" i="9"/>
  <c r="Y63" i="9"/>
  <c r="Y10" i="9"/>
  <c r="Y22" i="9"/>
  <c r="Y29" i="9"/>
  <c r="Y46" i="9"/>
  <c r="V64" i="9"/>
  <c r="Y18" i="9"/>
  <c r="M37" i="9"/>
  <c r="Y47" i="9"/>
  <c r="Y64" i="9"/>
  <c r="Y16" i="9"/>
  <c r="Y37" i="9"/>
  <c r="Y17" i="9"/>
  <c r="Y23" i="9"/>
  <c r="Y30" i="9"/>
  <c r="Y38" i="9"/>
  <c r="Y48" i="9"/>
  <c r="Y65" i="9"/>
  <c r="Y11" i="9"/>
  <c r="Y24" i="9"/>
  <c r="Y31" i="9"/>
  <c r="Y39" i="9"/>
  <c r="Y49" i="9"/>
  <c r="V66" i="9"/>
  <c r="M31" i="9"/>
  <c r="P40" i="9"/>
  <c r="P50" i="9"/>
  <c r="M32" i="9"/>
  <c r="Y55" i="9"/>
  <c r="Y66" i="9"/>
  <c r="Y56" i="9"/>
  <c r="Y67" i="9"/>
  <c r="M56" i="9"/>
  <c r="Y68" i="9"/>
  <c r="Y57" i="9"/>
  <c r="Y69" i="9"/>
  <c r="Y70" i="9"/>
  <c r="G52" i="9"/>
  <c r="G60" i="9"/>
  <c r="G70" i="9"/>
  <c r="Y53" i="9"/>
  <c r="Y61" i="9"/>
  <c r="Y71" i="9"/>
  <c r="AB53" i="9"/>
  <c r="V62" i="9"/>
  <c r="G71" i="9"/>
  <c r="AE53" i="9"/>
  <c r="Y62" i="9"/>
  <c r="V72" i="9"/>
  <c r="Y54" i="9"/>
  <c r="G62" i="9"/>
  <c r="AE9" i="9"/>
  <c r="AE23" i="9"/>
  <c r="AB46" i="9"/>
  <c r="AE65" i="9"/>
  <c r="AB65" i="9"/>
  <c r="AB14" i="9"/>
  <c r="AE28" i="9"/>
  <c r="AE40" i="9"/>
  <c r="P47" i="9"/>
  <c r="AB24" i="9"/>
  <c r="AB74" i="9"/>
  <c r="AB10" i="9"/>
  <c r="AB29" i="9"/>
  <c r="AB48" i="9"/>
  <c r="AE74" i="9"/>
  <c r="AB61" i="9"/>
  <c r="AB42" i="9"/>
  <c r="AB68" i="9"/>
  <c r="AB15" i="9"/>
  <c r="P16" i="9"/>
  <c r="P26" i="9"/>
  <c r="AB30" i="9"/>
  <c r="AB49" i="9"/>
  <c r="AB55" i="9"/>
  <c r="AB11" i="9"/>
  <c r="AE30" i="9"/>
  <c r="AB43" i="9"/>
  <c r="AE49" i="9"/>
  <c r="AE62" i="9"/>
  <c r="AB8" i="9"/>
  <c r="P17" i="9"/>
  <c r="AB26" i="9"/>
  <c r="AE31" i="9"/>
  <c r="AE50" i="9"/>
  <c r="AB57" i="9"/>
  <c r="AB63" i="9"/>
  <c r="AB71" i="9"/>
  <c r="AE12" i="9"/>
  <c r="AB22" i="9"/>
  <c r="AE38" i="9"/>
  <c r="P45" i="9"/>
  <c r="AE57" i="9"/>
  <c r="AE71" i="9"/>
  <c r="AB17" i="9"/>
  <c r="AE22" i="9"/>
  <c r="AB51" i="9"/>
  <c r="P28" i="9"/>
  <c r="P52" i="9"/>
  <c r="V8" i="9"/>
  <c r="M13" i="9"/>
  <c r="M16" i="9"/>
  <c r="M23" i="9"/>
  <c r="G34" i="9"/>
  <c r="G43" i="9"/>
  <c r="G47" i="9"/>
  <c r="G50" i="9"/>
  <c r="M10" i="9"/>
  <c r="V14" i="9"/>
  <c r="M27" i="9"/>
  <c r="M30" i="9"/>
  <c r="V35" i="9"/>
  <c r="G39" i="9"/>
  <c r="M43" i="9"/>
  <c r="M47" i="9"/>
  <c r="M50" i="9"/>
  <c r="V56" i="9"/>
  <c r="G66" i="9"/>
  <c r="M72" i="9"/>
  <c r="V11" i="9"/>
  <c r="V17" i="9"/>
  <c r="M20" i="9"/>
  <c r="V48" i="9"/>
  <c r="G61" i="9"/>
  <c r="M66" i="9"/>
  <c r="M8" i="9"/>
  <c r="V25" i="9"/>
  <c r="M35" i="9"/>
  <c r="G44" i="9"/>
  <c r="M21" i="9"/>
  <c r="V32" i="9"/>
  <c r="M40" i="9"/>
  <c r="M44" i="9"/>
  <c r="S49" i="9"/>
  <c r="M11" i="9"/>
  <c r="V18" i="9"/>
  <c r="M25" i="9"/>
  <c r="M28" i="9"/>
  <c r="M36" i="9"/>
  <c r="V41" i="9"/>
  <c r="V49" i="9"/>
  <c r="M52" i="9"/>
  <c r="G57" i="9"/>
  <c r="G69" i="9"/>
  <c r="G74" i="9"/>
  <c r="V15" i="9"/>
  <c r="V12" i="9"/>
  <c r="M69" i="9"/>
  <c r="S16" i="9"/>
  <c r="M29" i="9"/>
  <c r="V33" i="9"/>
  <c r="V46" i="9"/>
  <c r="G49" i="9"/>
  <c r="G53" i="9"/>
  <c r="M22" i="9"/>
  <c r="V10" i="9"/>
  <c r="M12" i="9"/>
  <c r="V16" i="9"/>
  <c r="V23" i="9"/>
  <c r="V30" i="9"/>
  <c r="M42" i="9"/>
  <c r="M53" i="9"/>
  <c r="M59" i="9"/>
  <c r="M45" i="9"/>
  <c r="S10" i="9"/>
  <c r="V19" i="9"/>
  <c r="V13" i="9"/>
  <c r="M26" i="9"/>
  <c r="G33" i="9"/>
  <c r="G38" i="9"/>
  <c r="V43" i="9"/>
  <c r="V50" i="9"/>
  <c r="M19" i="9"/>
  <c r="V27" i="9"/>
  <c r="M33" i="9"/>
  <c r="M38" i="9"/>
  <c r="J66" i="9"/>
  <c r="J26" i="9"/>
  <c r="J42" i="9"/>
  <c r="J14" i="9"/>
  <c r="J49" i="9"/>
  <c r="J30" i="9"/>
  <c r="J10" i="9"/>
  <c r="J59" i="9"/>
  <c r="J20" i="9"/>
  <c r="J36" i="9"/>
  <c r="P25" i="9"/>
  <c r="P73" i="9"/>
  <c r="AB20" i="9"/>
  <c r="AE29" i="9"/>
  <c r="P34" i="9"/>
  <c r="AB36" i="9"/>
  <c r="AB41" i="9"/>
  <c r="AE43" i="9"/>
  <c r="P46" i="9"/>
  <c r="AE48" i="9"/>
  <c r="AB56" i="9"/>
  <c r="AE61" i="9"/>
  <c r="AB64" i="9"/>
  <c r="P67" i="9"/>
  <c r="P27" i="9"/>
  <c r="P14" i="9"/>
  <c r="AB18" i="9"/>
  <c r="P32" i="9"/>
  <c r="AE36" i="9"/>
  <c r="P39" i="9"/>
  <c r="P51" i="9"/>
  <c r="AE56" i="9"/>
  <c r="AE64" i="9"/>
  <c r="AB70" i="9"/>
  <c r="AB73" i="9"/>
  <c r="P59" i="9"/>
  <c r="AE20" i="9"/>
  <c r="AE41" i="9"/>
  <c r="P10" i="9"/>
  <c r="P12" i="9"/>
  <c r="AE18" i="9"/>
  <c r="P23" i="9"/>
  <c r="AB25" i="9"/>
  <c r="AB27" i="9"/>
  <c r="S32" i="9"/>
  <c r="AB34" i="9"/>
  <c r="G36" i="9"/>
  <c r="G41" i="9"/>
  <c r="P49" i="9"/>
  <c r="P54" i="9"/>
  <c r="G56" i="9"/>
  <c r="AB59" i="9"/>
  <c r="P62" i="9"/>
  <c r="G64" i="9"/>
  <c r="AB67" i="9"/>
  <c r="AE70" i="9"/>
  <c r="AE73" i="9"/>
  <c r="AE25" i="9"/>
  <c r="P30" i="9"/>
  <c r="P44" i="9"/>
  <c r="P65" i="9"/>
  <c r="AE67" i="9"/>
  <c r="P8" i="9"/>
  <c r="AE14" i="9"/>
  <c r="AE16" i="9"/>
  <c r="AB39" i="9"/>
  <c r="S42" i="9"/>
  <c r="AE46" i="9"/>
  <c r="AE51" i="9"/>
  <c r="AB54" i="9"/>
  <c r="P57" i="9"/>
  <c r="G59" i="9"/>
  <c r="S65" i="9"/>
  <c r="G67" i="9"/>
  <c r="P71" i="9"/>
  <c r="P74" i="9"/>
  <c r="AE27" i="9"/>
  <c r="AE34" i="9"/>
  <c r="P42" i="9"/>
  <c r="AE59" i="9"/>
  <c r="AB12" i="9"/>
  <c r="P19" i="9"/>
  <c r="P21" i="9"/>
  <c r="AB23" i="9"/>
  <c r="AB32" i="9"/>
  <c r="P35" i="9"/>
  <c r="P37" i="9"/>
  <c r="AE39" i="9"/>
  <c r="AB44" i="9"/>
  <c r="G46" i="9"/>
  <c r="G51" i="9"/>
  <c r="AE54" i="9"/>
  <c r="AB62" i="9"/>
  <c r="P68" i="9"/>
  <c r="P15" i="9"/>
  <c r="AB19" i="9"/>
  <c r="AB21" i="9"/>
  <c r="AE37" i="9"/>
  <c r="J44" i="9"/>
  <c r="AB47" i="9"/>
  <c r="AB52" i="9"/>
  <c r="S55" i="9"/>
  <c r="P63" i="9"/>
  <c r="AE68" i="9"/>
  <c r="P55" i="9"/>
  <c r="P60" i="9"/>
  <c r="AE8" i="9"/>
  <c r="AB35" i="9"/>
  <c r="AE42" i="9"/>
  <c r="P13" i="9"/>
  <c r="AE19" i="9"/>
  <c r="AE21" i="9"/>
  <c r="P24" i="9"/>
  <c r="AB28" i="9"/>
  <c r="P33" i="9"/>
  <c r="AE35" i="9"/>
  <c r="G37" i="9"/>
  <c r="AB40" i="9"/>
  <c r="G42" i="9"/>
  <c r="AE47" i="9"/>
  <c r="AE52" i="9"/>
  <c r="P58" i="9"/>
  <c r="AB60" i="9"/>
  <c r="P66" i="9"/>
  <c r="G68" i="9"/>
  <c r="M74" i="9"/>
  <c r="P11" i="9"/>
  <c r="AE26" i="9"/>
  <c r="P31" i="9"/>
  <c r="AE55" i="9"/>
  <c r="AB58" i="9"/>
  <c r="AE63" i="9"/>
  <c r="AB72" i="9"/>
  <c r="AB13" i="9"/>
  <c r="AE15" i="9"/>
  <c r="G17" i="9"/>
  <c r="P20" i="9"/>
  <c r="P22" i="9"/>
  <c r="AE24" i="9"/>
  <c r="G26" i="9"/>
  <c r="AB33" i="9"/>
  <c r="P36" i="9"/>
  <c r="P43" i="9"/>
  <c r="AB45" i="9"/>
  <c r="P48" i="9"/>
  <c r="P53" i="9"/>
  <c r="G55" i="9"/>
  <c r="AE58" i="9"/>
  <c r="M60" i="9"/>
  <c r="G63" i="9"/>
  <c r="AB66" i="9"/>
  <c r="AB69" i="9"/>
  <c r="AE72" i="9"/>
  <c r="P69" i="9"/>
  <c r="P9" i="9"/>
  <c r="AE17" i="9"/>
  <c r="P38" i="9"/>
  <c r="AE13" i="9"/>
  <c r="G15" i="9"/>
  <c r="S20" i="9"/>
  <c r="G24" i="9"/>
  <c r="P29" i="9"/>
  <c r="AB31" i="9"/>
  <c r="AE33" i="9"/>
  <c r="S36" i="9"/>
  <c r="AB38" i="9"/>
  <c r="P41" i="9"/>
  <c r="AE45" i="9"/>
  <c r="P56" i="9"/>
  <c r="G58" i="9"/>
  <c r="P61" i="9"/>
  <c r="P64" i="9"/>
  <c r="AE66" i="9"/>
  <c r="AE12" i="7"/>
  <c r="G14" i="7"/>
  <c r="J15" i="7"/>
  <c r="AE15" i="7"/>
  <c r="AE13" i="7"/>
  <c r="AE8" i="7"/>
  <c r="AE7" i="7"/>
  <c r="AE16" i="7"/>
  <c r="AE14" i="7"/>
  <c r="AE11" i="7"/>
  <c r="AE10" i="7"/>
  <c r="G11" i="7"/>
  <c r="G13" i="7"/>
  <c r="G15" i="7"/>
  <c r="G12" i="7"/>
  <c r="G7" i="7"/>
  <c r="G10" i="7"/>
  <c r="G9" i="7"/>
  <c r="G8" i="7"/>
  <c r="J13" i="9"/>
  <c r="S19" i="9"/>
  <c r="J29" i="9"/>
  <c r="S35" i="9"/>
  <c r="J52" i="9"/>
  <c r="S58" i="9"/>
  <c r="V65" i="9"/>
  <c r="J68" i="9"/>
  <c r="S74" i="9"/>
  <c r="S12" i="9"/>
  <c r="J22" i="9"/>
  <c r="S28" i="9"/>
  <c r="J38" i="9"/>
  <c r="S44" i="9"/>
  <c r="J45" i="9"/>
  <c r="S51" i="9"/>
  <c r="V58" i="9"/>
  <c r="J61" i="9"/>
  <c r="S67" i="9"/>
  <c r="M68" i="9"/>
  <c r="V74" i="9"/>
  <c r="J15" i="9"/>
  <c r="S21" i="9"/>
  <c r="J31" i="9"/>
  <c r="S37" i="9"/>
  <c r="V44" i="9"/>
  <c r="V51" i="9"/>
  <c r="J54" i="9"/>
  <c r="S60" i="9"/>
  <c r="M61" i="9"/>
  <c r="V67" i="9"/>
  <c r="J70" i="9"/>
  <c r="J8" i="9"/>
  <c r="S14" i="9"/>
  <c r="J24" i="9"/>
  <c r="S30" i="9"/>
  <c r="V37" i="9"/>
  <c r="J40" i="9"/>
  <c r="J47" i="9"/>
  <c r="S53" i="9"/>
  <c r="M54" i="9"/>
  <c r="V60" i="9"/>
  <c r="J63" i="9"/>
  <c r="S69" i="9"/>
  <c r="M70" i="9"/>
  <c r="J17" i="9"/>
  <c r="S23" i="9"/>
  <c r="J33" i="9"/>
  <c r="S39" i="9"/>
  <c r="S46" i="9"/>
  <c r="V53" i="9"/>
  <c r="J56" i="9"/>
  <c r="S62" i="9"/>
  <c r="M63" i="9"/>
  <c r="V69" i="9"/>
  <c r="J72" i="9"/>
  <c r="S9" i="9"/>
  <c r="J19" i="9"/>
  <c r="S25" i="9"/>
  <c r="J35" i="9"/>
  <c r="S41" i="9"/>
  <c r="S48" i="9"/>
  <c r="M49" i="9"/>
  <c r="V55" i="9"/>
  <c r="J58" i="9"/>
  <c r="S64" i="9"/>
  <c r="M65" i="9"/>
  <c r="V71" i="9"/>
  <c r="J74" i="9"/>
  <c r="S18" i="9"/>
  <c r="J28" i="9"/>
  <c r="S34" i="9"/>
  <c r="J51" i="9"/>
  <c r="S57" i="9"/>
  <c r="J67" i="9"/>
  <c r="S73" i="9"/>
  <c r="J65" i="9"/>
  <c r="S71" i="9"/>
  <c r="J12" i="9"/>
  <c r="S11" i="9"/>
  <c r="J21" i="9"/>
  <c r="S27" i="9"/>
  <c r="V34" i="9"/>
  <c r="J37" i="9"/>
  <c r="S43" i="9"/>
  <c r="S50" i="9"/>
  <c r="M51" i="9"/>
  <c r="V57" i="9"/>
  <c r="J60" i="9"/>
  <c r="S66" i="9"/>
  <c r="M67" i="9"/>
  <c r="V73" i="9"/>
  <c r="S13" i="9"/>
  <c r="J39" i="9"/>
  <c r="J46" i="9"/>
  <c r="S52" i="9"/>
  <c r="J62" i="9"/>
  <c r="S68" i="9"/>
  <c r="J16" i="9"/>
  <c r="S22" i="9"/>
  <c r="V29" i="9"/>
  <c r="J32" i="9"/>
  <c r="S38" i="9"/>
  <c r="M39" i="9"/>
  <c r="S45" i="9"/>
  <c r="M46" i="9"/>
  <c r="V52" i="9"/>
  <c r="J55" i="9"/>
  <c r="S61" i="9"/>
  <c r="M62" i="9"/>
  <c r="V68" i="9"/>
  <c r="P70" i="9"/>
  <c r="J71" i="9"/>
  <c r="J53" i="9"/>
  <c r="J69" i="9"/>
  <c r="S29" i="9"/>
  <c r="J9" i="9"/>
  <c r="S15" i="9"/>
  <c r="V22" i="9"/>
  <c r="J25" i="9"/>
  <c r="S31" i="9"/>
  <c r="V38" i="9"/>
  <c r="J41" i="9"/>
  <c r="V45" i="9"/>
  <c r="J48" i="9"/>
  <c r="S54" i="9"/>
  <c r="M55" i="9"/>
  <c r="V61" i="9"/>
  <c r="J64" i="9"/>
  <c r="S70" i="9"/>
  <c r="M71" i="9"/>
  <c r="S8" i="9"/>
  <c r="J18" i="9"/>
  <c r="S24" i="9"/>
  <c r="V31" i="9"/>
  <c r="J34" i="9"/>
  <c r="S40" i="9"/>
  <c r="M41" i="9"/>
  <c r="S47" i="9"/>
  <c r="M48" i="9"/>
  <c r="V54" i="9"/>
  <c r="J57" i="9"/>
  <c r="S63" i="9"/>
  <c r="M64" i="9"/>
  <c r="V70" i="9"/>
  <c r="J73" i="9"/>
  <c r="S59" i="9"/>
  <c r="J23" i="9"/>
  <c r="J11" i="9"/>
  <c r="S17" i="9"/>
  <c r="V24" i="9"/>
  <c r="J27" i="9"/>
  <c r="S33" i="9"/>
  <c r="M34" i="9"/>
  <c r="V40" i="9"/>
  <c r="J43" i="9"/>
  <c r="V47" i="9"/>
  <c r="J50" i="9"/>
  <c r="S56" i="9"/>
  <c r="M57" i="9"/>
  <c r="P101" i="9" l="1"/>
  <c r="J101" i="9"/>
  <c r="V101" i="9"/>
  <c r="AE101" i="9"/>
  <c r="M101" i="9"/>
  <c r="G101" i="9"/>
  <c r="S101" i="9"/>
  <c r="Y101" i="9"/>
  <c r="AB101" i="9"/>
  <c r="M50" i="8"/>
  <c r="J14" i="8"/>
  <c r="G61" i="8"/>
  <c r="AE54" i="8"/>
  <c r="AB63" i="8"/>
  <c r="Y56" i="8"/>
  <c r="V65" i="8"/>
  <c r="S58" i="8"/>
  <c r="P51" i="8"/>
  <c r="G62" i="8"/>
  <c r="V61" i="8"/>
  <c r="V60" i="8"/>
  <c r="G59" i="8"/>
  <c r="G58" i="8"/>
  <c r="V57" i="8"/>
  <c r="V56" i="8"/>
  <c r="S56" i="8"/>
  <c r="V55" i="8"/>
  <c r="G54" i="8"/>
  <c r="V53" i="8"/>
  <c r="V52" i="8"/>
  <c r="V51" i="8"/>
  <c r="S51" i="8"/>
  <c r="V49" i="8"/>
  <c r="V48" i="8"/>
  <c r="V47" i="8"/>
  <c r="G46" i="8"/>
  <c r="V46" i="8"/>
  <c r="V45" i="8"/>
  <c r="G43" i="8"/>
  <c r="V43" i="8"/>
  <c r="V42" i="8"/>
  <c r="G41" i="8"/>
  <c r="V41" i="8"/>
  <c r="V39" i="8"/>
  <c r="V38" i="8"/>
  <c r="V37" i="8"/>
  <c r="V36" i="8"/>
  <c r="V35" i="8"/>
  <c r="V34" i="8"/>
  <c r="V33" i="8"/>
  <c r="V32" i="8"/>
  <c r="V31" i="8"/>
  <c r="V30" i="8"/>
  <c r="V28" i="8"/>
  <c r="G27" i="8"/>
  <c r="V27" i="8"/>
  <c r="S27" i="8"/>
  <c r="V26" i="8"/>
  <c r="V24" i="8"/>
  <c r="S24" i="8"/>
  <c r="V23" i="8"/>
  <c r="V22" i="8"/>
  <c r="V20" i="8"/>
  <c r="V19" i="8"/>
  <c r="V18" i="8"/>
  <c r="V17" i="8"/>
  <c r="V15" i="8"/>
  <c r="G14" i="8"/>
  <c r="V14" i="8"/>
  <c r="V13" i="8"/>
  <c r="V12" i="8"/>
  <c r="G11" i="8"/>
  <c r="V11" i="8"/>
  <c r="S11" i="8"/>
  <c r="V10" i="8"/>
  <c r="V9" i="8"/>
  <c r="V8" i="8"/>
  <c r="V7" i="8"/>
  <c r="S7" i="8"/>
  <c r="V6" i="8"/>
  <c r="J30" i="8" l="1"/>
  <c r="J32" i="8"/>
  <c r="J22" i="8"/>
  <c r="J17" i="8"/>
  <c r="J35" i="8"/>
  <c r="J40" i="8"/>
  <c r="J53" i="8"/>
  <c r="Y11" i="8"/>
  <c r="Y36" i="8"/>
  <c r="AE46" i="8"/>
  <c r="AE14" i="8"/>
  <c r="AE37" i="8"/>
  <c r="AE23" i="8"/>
  <c r="AE40" i="8"/>
  <c r="AE18" i="8"/>
  <c r="AE41" i="8"/>
  <c r="AE55" i="8"/>
  <c r="AE50" i="8"/>
  <c r="AE59" i="8"/>
  <c r="M22" i="8"/>
  <c r="AE60" i="8"/>
  <c r="AE7" i="8"/>
  <c r="M14" i="8"/>
  <c r="M32" i="8"/>
  <c r="M7" i="8"/>
  <c r="AE51" i="8"/>
  <c r="AE15" i="8"/>
  <c r="M25" i="8"/>
  <c r="M53" i="8"/>
  <c r="P11" i="8"/>
  <c r="AE36" i="8"/>
  <c r="AB45" i="8"/>
  <c r="S55" i="8"/>
  <c r="M15" i="8"/>
  <c r="AE44" i="8"/>
  <c r="AE27" i="8"/>
  <c r="AE11" i="8"/>
  <c r="AE19" i="8"/>
  <c r="M38" i="8"/>
  <c r="Y21" i="8"/>
  <c r="Y29" i="8"/>
  <c r="P6" i="8"/>
  <c r="AE9" i="8"/>
  <c r="AB16" i="8"/>
  <c r="AE21" i="8"/>
  <c r="AE25" i="8"/>
  <c r="AB29" i="8"/>
  <c r="AE34" i="8"/>
  <c r="S39" i="8"/>
  <c r="S43" i="8"/>
  <c r="Y48" i="8"/>
  <c r="AE53" i="8"/>
  <c r="G57" i="8"/>
  <c r="V63" i="8"/>
  <c r="Y41" i="8"/>
  <c r="AE12" i="8"/>
  <c r="Y16" i="8"/>
  <c r="Y25" i="8"/>
  <c r="P43" i="8"/>
  <c r="AE57" i="8"/>
  <c r="S6" i="8"/>
  <c r="G9" i="8"/>
  <c r="Y13" i="8"/>
  <c r="AE16" i="8"/>
  <c r="S22" i="8"/>
  <c r="G25" i="8"/>
  <c r="P30" i="8"/>
  <c r="S35" i="8"/>
  <c r="AB48" i="8"/>
  <c r="V58" i="8"/>
  <c r="AE63" i="8"/>
  <c r="Y22" i="8"/>
  <c r="AE35" i="8"/>
  <c r="AE39" i="8"/>
  <c r="S54" i="8"/>
  <c r="S59" i="8"/>
  <c r="AB64" i="8"/>
  <c r="AB13" i="8"/>
  <c r="P17" i="8"/>
  <c r="AE43" i="8"/>
  <c r="P49" i="8"/>
  <c r="Y64" i="8"/>
  <c r="Y6" i="8"/>
  <c r="AE13" i="8"/>
  <c r="AE6" i="8"/>
  <c r="AE10" i="8"/>
  <c r="AE17" i="8"/>
  <c r="AE22" i="8"/>
  <c r="AE26" i="8"/>
  <c r="AE30" i="8"/>
  <c r="S40" i="8"/>
  <c r="P44" i="8"/>
  <c r="AE49" i="8"/>
  <c r="V54" i="8"/>
  <c r="V59" i="8"/>
  <c r="Y65" i="8"/>
  <c r="Y51" i="8"/>
  <c r="P8" i="8"/>
  <c r="P28" i="8"/>
  <c r="Y39" i="8"/>
  <c r="Y10" i="8"/>
  <c r="Y30" i="8"/>
  <c r="G6" i="8"/>
  <c r="G10" i="8"/>
  <c r="Y14" i="8"/>
  <c r="G22" i="8"/>
  <c r="G26" i="8"/>
  <c r="G30" i="8"/>
  <c r="V40" i="8"/>
  <c r="V44" i="8"/>
  <c r="V50" i="8"/>
  <c r="Y54" i="8"/>
  <c r="Y59" i="8"/>
  <c r="AE65" i="8"/>
  <c r="Y7" i="8"/>
  <c r="S19" i="8"/>
  <c r="S23" i="8"/>
  <c r="AB27" i="8"/>
  <c r="AE31" i="8"/>
  <c r="P37" i="8"/>
  <c r="Y45" i="8"/>
  <c r="Y20" i="8"/>
  <c r="P33" i="8"/>
  <c r="AE56" i="8"/>
  <c r="S38" i="8"/>
  <c r="AB61" i="8"/>
  <c r="S8" i="8"/>
  <c r="P16" i="8"/>
  <c r="AE20" i="8"/>
  <c r="AE24" i="8"/>
  <c r="AE28" i="8"/>
  <c r="Y38" i="8"/>
  <c r="AE42" i="8"/>
  <c r="Y52" i="8"/>
  <c r="P15" i="8"/>
  <c r="AB11" i="8"/>
  <c r="P52" i="8"/>
  <c r="AE8" i="8"/>
  <c r="AB12" i="8"/>
  <c r="V16" i="8"/>
  <c r="V21" i="8"/>
  <c r="V25" i="8"/>
  <c r="V29" i="8"/>
  <c r="AE33" i="8"/>
  <c r="G38" i="8"/>
  <c r="G42" i="8"/>
  <c r="AE47" i="8"/>
  <c r="AE52" i="8"/>
  <c r="Y57" i="8"/>
  <c r="J12" i="8"/>
  <c r="M17" i="8"/>
  <c r="M35" i="8"/>
  <c r="M40" i="8"/>
  <c r="J45" i="8"/>
  <c r="J64" i="8"/>
  <c r="J10" i="8"/>
  <c r="M12" i="8"/>
  <c r="P18" i="8"/>
  <c r="M20" i="8"/>
  <c r="J27" i="8"/>
  <c r="P36" i="8"/>
  <c r="P41" i="8"/>
  <c r="Y43" i="8"/>
  <c r="M45" i="8"/>
  <c r="J48" i="8"/>
  <c r="J56" i="8"/>
  <c r="AB59" i="8"/>
  <c r="P62" i="8"/>
  <c r="M64" i="8"/>
  <c r="J20" i="8"/>
  <c r="P54" i="8"/>
  <c r="M61" i="8"/>
  <c r="AB8" i="8"/>
  <c r="M10" i="8"/>
  <c r="J15" i="8"/>
  <c r="P21" i="8"/>
  <c r="Y23" i="8"/>
  <c r="J25" i="8"/>
  <c r="M27" i="8"/>
  <c r="Y33" i="8"/>
  <c r="J38" i="8"/>
  <c r="AB43" i="8"/>
  <c r="P46" i="8"/>
  <c r="M48" i="8"/>
  <c r="J51" i="8"/>
  <c r="M56" i="8"/>
  <c r="P65" i="8"/>
  <c r="J8" i="8"/>
  <c r="J18" i="8"/>
  <c r="M30" i="8"/>
  <c r="J59" i="8"/>
  <c r="M8" i="8"/>
  <c r="M18" i="8"/>
  <c r="M23" i="8"/>
  <c r="Y26" i="8"/>
  <c r="AB28" i="8"/>
  <c r="P31" i="8"/>
  <c r="M33" i="8"/>
  <c r="J36" i="8"/>
  <c r="J43" i="8"/>
  <c r="Y49" i="8"/>
  <c r="J54" i="8"/>
  <c r="M59" i="8"/>
  <c r="J62" i="8"/>
  <c r="J65" i="8"/>
  <c r="J23" i="8"/>
  <c r="J33" i="8"/>
  <c r="J6" i="8"/>
  <c r="P9" i="8"/>
  <c r="J13" i="8"/>
  <c r="J21" i="8"/>
  <c r="P24" i="8"/>
  <c r="P34" i="8"/>
  <c r="M36" i="8"/>
  <c r="J41" i="8"/>
  <c r="M43" i="8"/>
  <c r="J46" i="8"/>
  <c r="M54" i="8"/>
  <c r="M62" i="8"/>
  <c r="M65" i="8"/>
  <c r="J49" i="8"/>
  <c r="J57" i="8"/>
  <c r="P63" i="8"/>
  <c r="P7" i="8"/>
  <c r="Y9" i="8"/>
  <c r="P14" i="8"/>
  <c r="Y19" i="8"/>
  <c r="P22" i="8"/>
  <c r="J26" i="8"/>
  <c r="M28" i="8"/>
  <c r="J31" i="8"/>
  <c r="J39" i="8"/>
  <c r="P47" i="8"/>
  <c r="M49" i="8"/>
  <c r="J52" i="8"/>
  <c r="M57" i="8"/>
  <c r="M6" i="8"/>
  <c r="M21" i="8"/>
  <c r="J28" i="8"/>
  <c r="M41" i="8"/>
  <c r="M46" i="8"/>
  <c r="J16" i="8"/>
  <c r="AB24" i="8"/>
  <c r="M26" i="8"/>
  <c r="M31" i="8"/>
  <c r="J34" i="8"/>
  <c r="Y37" i="8"/>
  <c r="M39" i="8"/>
  <c r="Y42" i="8"/>
  <c r="AB44" i="8"/>
  <c r="P50" i="8"/>
  <c r="M52" i="8"/>
  <c r="Y55" i="8"/>
  <c r="M51" i="8"/>
  <c r="M13" i="8"/>
  <c r="J11" i="8"/>
  <c r="M16" i="8"/>
  <c r="J19" i="8"/>
  <c r="P27" i="8"/>
  <c r="P32" i="8"/>
  <c r="M34" i="8"/>
  <c r="P40" i="8"/>
  <c r="P53" i="8"/>
  <c r="J60" i="8"/>
  <c r="J63" i="8"/>
  <c r="J9" i="8"/>
  <c r="M11" i="8"/>
  <c r="M19" i="8"/>
  <c r="J24" i="8"/>
  <c r="J37" i="8"/>
  <c r="J44" i="8"/>
  <c r="J47" i="8"/>
  <c r="J55" i="8"/>
  <c r="J58" i="8"/>
  <c r="M60" i="8"/>
  <c r="M63" i="8"/>
  <c r="M9" i="8"/>
  <c r="P12" i="8"/>
  <c r="P20" i="8"/>
  <c r="M24" i="8"/>
  <c r="J29" i="8"/>
  <c r="Y32" i="8"/>
  <c r="M37" i="8"/>
  <c r="J42" i="8"/>
  <c r="M44" i="8"/>
  <c r="M47" i="8"/>
  <c r="J50" i="8"/>
  <c r="Y53" i="8"/>
  <c r="M55" i="8"/>
  <c r="M58" i="8"/>
  <c r="P64" i="8"/>
  <c r="J7" i="8"/>
  <c r="Y17" i="8"/>
  <c r="P25" i="8"/>
  <c r="Y27" i="8"/>
  <c r="M29" i="8"/>
  <c r="AB32" i="8"/>
  <c r="Y35" i="8"/>
  <c r="P38" i="8"/>
  <c r="AB40" i="8"/>
  <c r="M42" i="8"/>
  <c r="P48" i="8"/>
  <c r="P56" i="8"/>
  <c r="P59" i="8"/>
  <c r="Y61" i="8"/>
  <c r="V64" i="8"/>
  <c r="S12" i="8"/>
  <c r="G15" i="8"/>
  <c r="AB17" i="8"/>
  <c r="S28" i="8"/>
  <c r="G31" i="8"/>
  <c r="AB33" i="8"/>
  <c r="S44" i="8"/>
  <c r="G47" i="8"/>
  <c r="AB49" i="8"/>
  <c r="Y58" i="8"/>
  <c r="AB65" i="8"/>
  <c r="AB56" i="8"/>
  <c r="G8" i="8"/>
  <c r="AB10" i="8"/>
  <c r="S21" i="8"/>
  <c r="G24" i="8"/>
  <c r="AB26" i="8"/>
  <c r="S37" i="8"/>
  <c r="G40" i="8"/>
  <c r="AB42" i="8"/>
  <c r="S53" i="8"/>
  <c r="G56" i="8"/>
  <c r="AB58" i="8"/>
  <c r="Y12" i="8"/>
  <c r="S14" i="8"/>
  <c r="G17" i="8"/>
  <c r="AB19" i="8"/>
  <c r="P23" i="8"/>
  <c r="Y28" i="8"/>
  <c r="S30" i="8"/>
  <c r="G33" i="8"/>
  <c r="AB35" i="8"/>
  <c r="P39" i="8"/>
  <c r="Y44" i="8"/>
  <c r="S46" i="8"/>
  <c r="G49" i="8"/>
  <c r="AB51" i="8"/>
  <c r="P55" i="8"/>
  <c r="AE58" i="8"/>
  <c r="Y60" i="8"/>
  <c r="S62" i="8"/>
  <c r="G65" i="8"/>
  <c r="S16" i="8"/>
  <c r="G19" i="8"/>
  <c r="AB21" i="8"/>
  <c r="S32" i="8"/>
  <c r="G35" i="8"/>
  <c r="AB37" i="8"/>
  <c r="Y46" i="8"/>
  <c r="S48" i="8"/>
  <c r="G51" i="8"/>
  <c r="AB53" i="8"/>
  <c r="P57" i="8"/>
  <c r="Y62" i="8"/>
  <c r="S64" i="8"/>
  <c r="S9" i="8"/>
  <c r="G12" i="8"/>
  <c r="AB14" i="8"/>
  <c r="S25" i="8"/>
  <c r="G28" i="8"/>
  <c r="AB30" i="8"/>
  <c r="S41" i="8"/>
  <c r="G44" i="8"/>
  <c r="AB46" i="8"/>
  <c r="S57" i="8"/>
  <c r="G60" i="8"/>
  <c r="AB62" i="8"/>
  <c r="AB7" i="8"/>
  <c r="S18" i="8"/>
  <c r="G21" i="8"/>
  <c r="AB23" i="8"/>
  <c r="S34" i="8"/>
  <c r="G37" i="8"/>
  <c r="AB39" i="8"/>
  <c r="S50" i="8"/>
  <c r="G53" i="8"/>
  <c r="AB55" i="8"/>
  <c r="G7" i="8"/>
  <c r="AB9" i="8"/>
  <c r="P13" i="8"/>
  <c r="Y18" i="8"/>
  <c r="S20" i="8"/>
  <c r="G23" i="8"/>
  <c r="AB25" i="8"/>
  <c r="P29" i="8"/>
  <c r="AE32" i="8"/>
  <c r="Y34" i="8"/>
  <c r="S36" i="8"/>
  <c r="G39" i="8"/>
  <c r="AB41" i="8"/>
  <c r="P45" i="8"/>
  <c r="AE48" i="8"/>
  <c r="Y50" i="8"/>
  <c r="S52" i="8"/>
  <c r="G55" i="8"/>
  <c r="AB57" i="8"/>
  <c r="P61" i="8"/>
  <c r="AE64" i="8"/>
  <c r="S13" i="8"/>
  <c r="G16" i="8"/>
  <c r="AB18" i="8"/>
  <c r="S29" i="8"/>
  <c r="G32" i="8"/>
  <c r="AB34" i="8"/>
  <c r="S45" i="8"/>
  <c r="G48" i="8"/>
  <c r="AB50" i="8"/>
  <c r="S61" i="8"/>
  <c r="G64" i="8"/>
  <c r="S15" i="8"/>
  <c r="G18" i="8"/>
  <c r="AB20" i="8"/>
  <c r="S31" i="8"/>
  <c r="G34" i="8"/>
  <c r="AB36" i="8"/>
  <c r="S47" i="8"/>
  <c r="G50" i="8"/>
  <c r="AB52" i="8"/>
  <c r="S63" i="8"/>
  <c r="AB6" i="8"/>
  <c r="P10" i="8"/>
  <c r="Y15" i="8"/>
  <c r="S17" i="8"/>
  <c r="G20" i="8"/>
  <c r="AB22" i="8"/>
  <c r="P26" i="8"/>
  <c r="AE29" i="8"/>
  <c r="Y31" i="8"/>
  <c r="S33" i="8"/>
  <c r="G36" i="8"/>
  <c r="AB38" i="8"/>
  <c r="P42" i="8"/>
  <c r="AE45" i="8"/>
  <c r="Y47" i="8"/>
  <c r="S49" i="8"/>
  <c r="G52" i="8"/>
  <c r="AB54" i="8"/>
  <c r="P58" i="8"/>
  <c r="AE61" i="8"/>
  <c r="Y63" i="8"/>
  <c r="S65" i="8"/>
  <c r="Y8" i="8"/>
  <c r="S10" i="8"/>
  <c r="G13" i="8"/>
  <c r="AB15" i="8"/>
  <c r="P19" i="8"/>
  <c r="Y24" i="8"/>
  <c r="S26" i="8"/>
  <c r="G29" i="8"/>
  <c r="AB31" i="8"/>
  <c r="P35" i="8"/>
  <c r="AE38" i="8"/>
  <c r="Y40" i="8"/>
  <c r="S42" i="8"/>
  <c r="G45" i="8"/>
  <c r="AB47" i="8"/>
  <c r="AB7" i="7" l="1"/>
  <c r="Y14" i="7"/>
  <c r="V14" i="7"/>
  <c r="AK10" i="7"/>
  <c r="AH8" i="7"/>
  <c r="AB14" i="7"/>
  <c r="V10" i="7" l="1"/>
  <c r="V8" i="7"/>
  <c r="V7" i="7"/>
  <c r="V15" i="7"/>
  <c r="V16" i="7"/>
  <c r="V9" i="7"/>
  <c r="AK7" i="7"/>
  <c r="AK9" i="7"/>
  <c r="AK8" i="7"/>
  <c r="S9" i="7"/>
  <c r="Y10" i="7"/>
  <c r="S13" i="7"/>
  <c r="S10" i="7"/>
  <c r="AK11" i="7"/>
  <c r="AK12" i="7"/>
  <c r="AK13" i="7"/>
  <c r="AK14" i="7"/>
  <c r="AK15" i="7"/>
  <c r="S8" i="7"/>
  <c r="S15" i="7"/>
  <c r="AH9" i="7"/>
  <c r="AH10" i="7"/>
  <c r="AH7" i="7"/>
  <c r="AH15" i="7"/>
  <c r="AH16" i="7"/>
  <c r="AH11" i="7"/>
  <c r="AH13" i="7"/>
  <c r="AH14" i="7"/>
  <c r="AB10" i="7"/>
  <c r="M9" i="7"/>
  <c r="M13" i="7"/>
  <c r="M10" i="7"/>
  <c r="M8" i="7"/>
  <c r="M11" i="7"/>
  <c r="M14" i="7"/>
  <c r="M15" i="7"/>
  <c r="M16" i="7"/>
  <c r="M7" i="7"/>
  <c r="Y8" i="7"/>
  <c r="Y15" i="7"/>
  <c r="P8" i="7"/>
  <c r="P9" i="7"/>
  <c r="P10" i="7"/>
  <c r="P12" i="7"/>
  <c r="P13" i="7"/>
  <c r="P14" i="7"/>
  <c r="P15" i="7"/>
  <c r="P16" i="7"/>
  <c r="P7" i="7"/>
  <c r="AB8" i="7"/>
  <c r="AB15" i="7"/>
  <c r="S16" i="7"/>
  <c r="Y16" i="7"/>
  <c r="S7" i="7"/>
  <c r="Y9" i="7"/>
  <c r="AB16" i="7"/>
  <c r="Y7" i="7"/>
  <c r="AB9" i="7"/>
  <c r="J13" i="7"/>
  <c r="J8" i="7"/>
  <c r="J14" i="7"/>
  <c r="J16" i="7"/>
  <c r="J9" i="7"/>
  <c r="J10" i="7"/>
  <c r="J11" i="7"/>
  <c r="J12" i="7"/>
</calcChain>
</file>

<file path=xl/sharedStrings.xml><?xml version="1.0" encoding="utf-8"?>
<sst xmlns="http://schemas.openxmlformats.org/spreadsheetml/2006/main" count="1485" uniqueCount="457">
  <si>
    <t>nd</t>
  </si>
  <si>
    <t>Intensity4</t>
  </si>
  <si>
    <t>RT4</t>
  </si>
  <si>
    <t>Intensity2</t>
  </si>
  <si>
    <t>RT3</t>
  </si>
  <si>
    <t>Intensity3</t>
  </si>
  <si>
    <t>RT2</t>
  </si>
  <si>
    <t>Intensity</t>
  </si>
  <si>
    <t>RT</t>
  </si>
  <si>
    <r>
      <t xml:space="preserve">Putative structures </t>
    </r>
    <r>
      <rPr>
        <vertAlign val="superscript"/>
        <sz val="11"/>
        <color theme="1"/>
        <rFont val="Calibri"/>
        <family val="2"/>
      </rPr>
      <t>[3]</t>
    </r>
  </si>
  <si>
    <r>
      <t>Composition</t>
    </r>
    <r>
      <rPr>
        <vertAlign val="superscript"/>
        <sz val="11"/>
        <color theme="1"/>
        <rFont val="Calibri"/>
        <family val="2"/>
      </rPr>
      <t>[2]</t>
    </r>
  </si>
  <si>
    <r>
      <t>Mass</t>
    </r>
    <r>
      <rPr>
        <vertAlign val="superscript"/>
        <sz val="11"/>
        <color theme="1"/>
        <rFont val="Calibri"/>
        <family val="2"/>
      </rPr>
      <t>[1]</t>
    </r>
  </si>
  <si>
    <t>RT5</t>
  </si>
  <si>
    <t>Intensity6</t>
  </si>
  <si>
    <t>Percentage</t>
  </si>
  <si>
    <t>RT7</t>
  </si>
  <si>
    <t>Intensity7</t>
  </si>
  <si>
    <t>Percentage3</t>
  </si>
  <si>
    <t>Percentage32</t>
  </si>
  <si>
    <t>RT6</t>
  </si>
  <si>
    <t>Intensity5</t>
  </si>
  <si>
    <t>Percentage33</t>
  </si>
  <si>
    <t>Percentage34</t>
  </si>
  <si>
    <t>Percentage35</t>
  </si>
  <si>
    <t>RT8</t>
  </si>
  <si>
    <t>Intensity8</t>
  </si>
  <si>
    <t>Percentage36</t>
  </si>
  <si>
    <t>Percentage37</t>
  </si>
  <si>
    <t>RT9</t>
  </si>
  <si>
    <t>Intensity9</t>
  </si>
  <si>
    <t>Percentage40</t>
  </si>
  <si>
    <t>RT10</t>
  </si>
  <si>
    <t>Intensity10</t>
  </si>
  <si>
    <t>Percentage43</t>
  </si>
  <si>
    <t>RT12</t>
  </si>
  <si>
    <t>Intensity12</t>
  </si>
  <si>
    <t>Percentage49</t>
  </si>
  <si>
    <t>Hex2HexNAc1</t>
  </si>
  <si>
    <t>GlcNAcβ1-6Galβ1-4Glcol</t>
  </si>
  <si>
    <t>708-1</t>
  </si>
  <si>
    <t>Hex3HexNAc1</t>
  </si>
  <si>
    <t>18.02*</t>
  </si>
  <si>
    <t>708-2</t>
  </si>
  <si>
    <t>Galβ1-3GlcNAcβ1-3Galβ1-4Glcol</t>
  </si>
  <si>
    <t>18.49*</t>
  </si>
  <si>
    <t>Hex2HexNAc2</t>
  </si>
  <si>
    <t>GlcNAcβ1-3(GlcNAcβ1-6)Galβ1-4Glcol</t>
  </si>
  <si>
    <t>Hex3HexNAc1deHex1</t>
  </si>
  <si>
    <t>Galβ1-4(Fucα1-3)GlcNAcβ1-6Galβ1-4Glcol</t>
  </si>
  <si>
    <t>Hex3HexNAc2deHex1</t>
  </si>
  <si>
    <t>Galβ1-4(Fucα1-3)GlcNAcβ1-3(GlcNAcβ1-6)Galβ1-4Glcol</t>
  </si>
  <si>
    <t>Fucα1-2Galβ1-3GlcNAcβ1-3(GlcNAcβ1-6)Galβ1-4Glcol</t>
  </si>
  <si>
    <t>Hex4HexNAc2deHex1</t>
  </si>
  <si>
    <t>Fucα1-2Galβ1-3GlcNAcβ1-3(Galβ1-4GlcNAcβ1-6)Galβ1-4Glcol</t>
  </si>
  <si>
    <t>Galβ1-3GlcNAcβ1-3[Fucα1-3(Galβ1-4)GlcNAcβ1-6]Galβ1-4Glcol</t>
  </si>
  <si>
    <t>Hex4HexNAc2deHex2</t>
  </si>
  <si>
    <t>Galβ1-3(Fucα1-4)GlcNAcβ1-3[Galβ1-4(Fucα1-3)GlcNAcβ1-6]Galβ1-4Glcol</t>
  </si>
  <si>
    <t>1057_1</t>
  </si>
  <si>
    <t>1057_2</t>
  </si>
  <si>
    <t>1219_1</t>
  </si>
  <si>
    <t>1219_2</t>
  </si>
  <si>
    <t>RT94</t>
  </si>
  <si>
    <t>Intensity95</t>
  </si>
  <si>
    <t>Percentage96</t>
  </si>
  <si>
    <t>RT95</t>
  </si>
  <si>
    <t>Intensity96</t>
  </si>
  <si>
    <t>Percentage97</t>
  </si>
  <si>
    <t>RT96</t>
  </si>
  <si>
    <t>Intensity97</t>
  </si>
  <si>
    <t>Percentage98</t>
  </si>
  <si>
    <t>RT9499</t>
  </si>
  <si>
    <t>Intensity95100</t>
  </si>
  <si>
    <t>Percentage96101</t>
  </si>
  <si>
    <t>RT95102</t>
  </si>
  <si>
    <t>Intensity96103</t>
  </si>
  <si>
    <t>Percentage106</t>
  </si>
  <si>
    <t>Intensity973</t>
  </si>
  <si>
    <t>Percentage984</t>
  </si>
  <si>
    <t>RT94995</t>
  </si>
  <si>
    <t>Intensity951006</t>
  </si>
  <si>
    <t>Percentage961017</t>
  </si>
  <si>
    <t>RT951028</t>
  </si>
  <si>
    <t>Intensity961039</t>
  </si>
  <si>
    <t>Percentage1115</t>
  </si>
  <si>
    <t>425-1</t>
  </si>
  <si>
    <t>HexNAc2</t>
  </si>
  <si>
    <t>425-2</t>
  </si>
  <si>
    <t>HexNAc1deHex1Sul1</t>
  </si>
  <si>
    <t>6SGlcNAc-Fucol</t>
  </si>
  <si>
    <t>NeuGc1Hex1</t>
  </si>
  <si>
    <t>NeuGcα2-3Galol</t>
  </si>
  <si>
    <t>11.58**</t>
  </si>
  <si>
    <t>HexNAc2Sul1</t>
  </si>
  <si>
    <t>11.66**</t>
  </si>
  <si>
    <t>587-1</t>
  </si>
  <si>
    <t>Hex1HexNAc2</t>
  </si>
  <si>
    <t>Galβ1-3(GlcNAcβ1-6)GalNAcol</t>
  </si>
  <si>
    <t>10.75**</t>
  </si>
  <si>
    <t>10.79**</t>
  </si>
  <si>
    <t>10.72**</t>
  </si>
  <si>
    <t>10.66*</t>
  </si>
  <si>
    <t>10.66**</t>
  </si>
  <si>
    <t>10.57**</t>
  </si>
  <si>
    <t>10.53**</t>
  </si>
  <si>
    <t>587-2</t>
  </si>
  <si>
    <t>12.05**</t>
  </si>
  <si>
    <t>11.99**</t>
  </si>
  <si>
    <t>HexNAc3</t>
  </si>
  <si>
    <t>667-1</t>
  </si>
  <si>
    <t>Hex1HexNAc2Sul1</t>
  </si>
  <si>
    <t>Galβ1-3(6SGlcNAcβ1-6)GalNAcol</t>
  </si>
  <si>
    <t>11.84**</t>
  </si>
  <si>
    <t>667-2</t>
  </si>
  <si>
    <t>12.83**</t>
  </si>
  <si>
    <t>13.35*</t>
  </si>
  <si>
    <t>667-3</t>
  </si>
  <si>
    <t>Galβ1-4(6S)GlcNAcβ1-3GalNAcol</t>
  </si>
  <si>
    <t>NeuAc1Hex1HexNAc1</t>
  </si>
  <si>
    <t>NeuAcα2-3Galβ1-3GalNAcol</t>
  </si>
  <si>
    <t>NeuGc1Hex1HexNAc1</t>
  </si>
  <si>
    <r>
      <t>NeuGc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2-3Gal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1-3GalNAcol</t>
    </r>
  </si>
  <si>
    <t>HexNAc3Sul1</t>
  </si>
  <si>
    <t>716-1</t>
  </si>
  <si>
    <t>NeuAc1HexNAc2</t>
  </si>
  <si>
    <t>GlcNAcβ1-3(NeuAcα2-6)GalNAcol</t>
  </si>
  <si>
    <t>716-2</t>
  </si>
  <si>
    <r>
      <t>GalNAcα1-3</t>
    </r>
    <r>
      <rPr>
        <sz val="11"/>
        <color theme="1"/>
        <rFont val="Calibri"/>
        <family val="2"/>
      </rPr>
      <t>(NeuAcα2-6)</t>
    </r>
    <r>
      <rPr>
        <sz val="11"/>
        <color theme="1"/>
        <rFont val="Calibri"/>
        <family val="2"/>
        <scheme val="minor"/>
      </rPr>
      <t>GalNAcol</t>
    </r>
  </si>
  <si>
    <t>732-1</t>
  </si>
  <si>
    <t>NeuGc1HexNAc2</t>
  </si>
  <si>
    <t>GlcNAcβ1-3(NeuGcα2-6)GalNAcol</t>
  </si>
  <si>
    <t>732-2</t>
  </si>
  <si>
    <t>GalNAcα1-3(NeuGcα2-6)GalNAcol</t>
  </si>
  <si>
    <t>813-1</t>
  </si>
  <si>
    <t>Hex1HexNAc2deHex1Sul1</t>
  </si>
  <si>
    <t>6SGalβ1-4(Fucα1-3)GlcNAcβ1-3GalNAcol</t>
  </si>
  <si>
    <t>813-2</t>
  </si>
  <si>
    <t>Fucα1-2Galβ1-3(6SGlcNAcβ1-6)GalNAcol</t>
  </si>
  <si>
    <t>870-1</t>
  </si>
  <si>
    <t>Hex1HexNAc3Sul1</t>
  </si>
  <si>
    <t>GlcNAcβ1-3Galβ1-4(6S)GlcNAcβ1-6GalNAcol</t>
  </si>
  <si>
    <t>870-2</t>
  </si>
  <si>
    <t>GlcNAcβ1-3[Galβ1-4(6S)GlcNAcβ1-6]GalNAcol</t>
  </si>
  <si>
    <t>870-3</t>
  </si>
  <si>
    <t>894-1</t>
  </si>
  <si>
    <t>NeuGc1Hex1HexNAc2</t>
  </si>
  <si>
    <t>GalNAcβ1-4(NeuGcα2-3)Galβ1-3GalNAcol</t>
  </si>
  <si>
    <t>9.37*</t>
  </si>
  <si>
    <t>9.45*</t>
  </si>
  <si>
    <t>894-2</t>
  </si>
  <si>
    <t>950-2</t>
  </si>
  <si>
    <t>Hex1HexNAc3Sul2</t>
  </si>
  <si>
    <t>1032-1</t>
  </si>
  <si>
    <t>Hex2HexNAc3Sul1</t>
  </si>
  <si>
    <t>Galβ1-3(6S)GlcNAcβ1-3Galβ1-4GlcNAcβ1-3GalNAcol</t>
  </si>
  <si>
    <t>1032-2</t>
  </si>
  <si>
    <t>Galβ1-3GlcNAcβ1-3(6SGlcNAcβ1-6)Galβ1-3GalNAcol</t>
  </si>
  <si>
    <t>1032-3</t>
  </si>
  <si>
    <t>1073-1</t>
  </si>
  <si>
    <t>Hex1HexNAc4Sul1</t>
  </si>
  <si>
    <t>GlcNAcβ1-3[GlcNAcβ1-3Galβ1-4(6S)GlcNAcβ1-6]GalNAcol</t>
  </si>
  <si>
    <t>1073-2</t>
  </si>
  <si>
    <t>GlcNAcβ1-3Galβ1-4(6S)GlcNAcβ1-3(GlcNAcβ1-6)GalNAcol</t>
  </si>
  <si>
    <t>1096-1</t>
  </si>
  <si>
    <t>Hex1HexNAc3deHex1Sul2</t>
  </si>
  <si>
    <t>6SGalβ1-3(Fucα1-4)GlcNAcβ1-3(6SGlcNAcβ1-6)GalNAcol</t>
  </si>
  <si>
    <t>1096-2</t>
  </si>
  <si>
    <t>6SGalβ1-(Fucα1-)(6S)GlcNAcβ1-3(GlcNAcβ1-6)GalNAcol</t>
  </si>
  <si>
    <t>Hex2HexNAc3Sul2</t>
  </si>
  <si>
    <t>SGalβ1-4GlcNAcβ1-3(SGalβ1-3GlcNAcβ1-6)GalNAcol</t>
  </si>
  <si>
    <t>18.62**</t>
  </si>
  <si>
    <t>NeuGc1Hex2HexNAc2Sul1</t>
  </si>
  <si>
    <t>1153-1</t>
  </si>
  <si>
    <t>Hex1HexNAc4Sul2</t>
  </si>
  <si>
    <t>GlcNAcβ1-3[6SGlcNAcβ1-3Galβ1-4(6S)GlcNAcβ1-6]GalNAcol</t>
  </si>
  <si>
    <t>1153-2</t>
  </si>
  <si>
    <t>6SGlcNAcβ1-3Galβ1-4GlcNAcβ1-3(6SGlcNAcβ1-6)GalNAcol</t>
  </si>
  <si>
    <t>1177-2</t>
  </si>
  <si>
    <t>NeuGc1Hex1HexNAc3Sul1</t>
  </si>
  <si>
    <t>6SGlcNAcβ1-3(GlcNAcβ1-6)Galβ1-3(NeuGcα2-6)GalNAcol</t>
  </si>
  <si>
    <t>Hex2HexNAc2deHex2Sul2</t>
  </si>
  <si>
    <t>Fucα1-2Galβ1-3[Fucα1-2(S)Galβ1-4GlcNAcβ1-6]GalNAcol</t>
  </si>
  <si>
    <t>1235-1</t>
  </si>
  <si>
    <t>Hex2HexNAc4Sul1</t>
  </si>
  <si>
    <t>1258-1</t>
  </si>
  <si>
    <t>Hex2HexNAc3deHex1Sul2</t>
  </si>
  <si>
    <t>NeuGc1Hex2HexNAc2deHex1Sul1</t>
  </si>
  <si>
    <t>15.58*</t>
  </si>
  <si>
    <t>1315-1</t>
  </si>
  <si>
    <t>Hex2HexNAc4Sul2</t>
  </si>
  <si>
    <t>1315-2</t>
  </si>
  <si>
    <t>Hex2HexNAc3deHex1Sul3</t>
  </si>
  <si>
    <t>SGal-(Fuc)(6S)GlcNAcβ1-3(3SGal-GlcNAcβ1-6)GalNAcol</t>
  </si>
  <si>
    <t>1339</t>
  </si>
  <si>
    <t>NeuGc1Hex2HexNAc3Sul1</t>
  </si>
  <si>
    <t>3SGal-GlcNAcβ1-3Galβ1-4GlcNAcβ1-3(NeuGcα2-6)GalNAcol</t>
  </si>
  <si>
    <t>1404-1</t>
  </si>
  <si>
    <t>Hex2HexNAc3deHex2Sul2</t>
  </si>
  <si>
    <t>Gal(Fuc)(6S)GlcNAcβ1-3(Fucα1-2)Galβ1-3(6SGlcNAcβ1-6)GalNAcol</t>
  </si>
  <si>
    <t>1404-2</t>
  </si>
  <si>
    <t>SGal-(Fuc)GlcNAcβ1-3[Gal-(Fuc)(6S)GlcNAcβ1-6]GalNAcol</t>
  </si>
  <si>
    <t>1404-3</t>
  </si>
  <si>
    <t>3SGal-GlcNAcβ1-3[Fucα1-2Gal-(Fuc)(6S)GlcNAcβ1-6]GalNAcol</t>
  </si>
  <si>
    <t>17.69*</t>
  </si>
  <si>
    <t>NeuAc1Hex2HexNAc2deHex2Sul1</t>
  </si>
  <si>
    <t>NeuAcα2-3Galβ1-3[Fucα1-2Galβ1-3(Fucα1-4)(6S)GlcNAcβ1-6]GalNAcol</t>
  </si>
  <si>
    <t>1420-1</t>
  </si>
  <si>
    <t>Hex3HexNAc3deHex1Sul2</t>
  </si>
  <si>
    <t>Galβ1-3[3SGal-GlcNAcβ1-3Galβ1-4(Fucα1-3)(6S)GlcNAcβ1-6]GalNAcol</t>
  </si>
  <si>
    <t>1420-2</t>
  </si>
  <si>
    <t>SGalβ1-GlcNAcβ1-3Galβ1-3[Fucα1-2Galβ1-(6S)GlcNAcβ1-6]GalNAcol</t>
  </si>
  <si>
    <t>NeuGc1Hex2HexNAc2deHex2Sul1</t>
  </si>
  <si>
    <t>NeuGcα2-3Galβ1-3[Fucα1-2Galβ1-3(Fucα1-4)(6S)GlcNAcβ1-6]GalNAcol</t>
  </si>
  <si>
    <t>Hex2HexNAc3deHex3Sul1</t>
  </si>
  <si>
    <t>Fucα1-2Galβ1-3(Fucα1-4)(6S)GlcNAcβ1-3[Gal-(Fuc-)GlcNAcβ1-6]GalNAcol</t>
  </si>
  <si>
    <t>1477-1</t>
  </si>
  <si>
    <t>Hex3HexNAc4Sul2</t>
  </si>
  <si>
    <t>NeuGc1Hex2HexNAc3deHex1Sul1</t>
  </si>
  <si>
    <t>SGal-(Fuc)GlcNAcβ1-3Galβ1-4GlcNAcβ1-3(NeuGcα2-6)GalNAcol</t>
  </si>
  <si>
    <t>Hex2HexNAc5Sul2</t>
  </si>
  <si>
    <t>Hex2HexNAc4deHex2Sul1</t>
  </si>
  <si>
    <t>Galβ1-4GlcNAcβ1-3[GalNAcα1-3(Fucα1-2)Gal-(Fucα1-2)(6S)GlcNAcβ1-6]GalNAcol</t>
  </si>
  <si>
    <t>1542-1</t>
  </si>
  <si>
    <t>NeuGc1Hex2HexNAc4Sul1</t>
  </si>
  <si>
    <t>Hex3HexNAc6deHex1</t>
  </si>
  <si>
    <t>16.83*</t>
  </si>
  <si>
    <t>[1]</t>
  </si>
  <si>
    <t>[2]</t>
  </si>
  <si>
    <t>[3]</t>
  </si>
  <si>
    <t>Retention time (RT) of selected structure on LC;</t>
  </si>
  <si>
    <t>The intensity is area-under-the-curves (AUCs) of each glycan. For comparsion of glycan abundances between samples, the intensity is normalised to total AUC (summed AUCs of all glycans in a sample) and expressed as a percentage.</t>
  </si>
  <si>
    <r>
      <t>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</si>
  <si>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GalNAc</t>
    </r>
    <r>
      <rPr>
        <sz val="11"/>
        <rFont val="Calibri"/>
        <family val="2"/>
      </rPr>
      <t>α</t>
    </r>
    <r>
      <rPr>
        <sz val="11"/>
        <rFont val="Calibri"/>
        <family val="2"/>
        <scheme val="minor"/>
      </rPr>
      <t>1-3GalNAcol</t>
    </r>
  </si>
  <si>
    <r>
      <t>6SGlcNAc</t>
    </r>
    <r>
      <rPr>
        <sz val="11"/>
        <rFont val="Calibri"/>
        <family val="2"/>
      </rPr>
      <t>β1-3GalNAcol</t>
    </r>
  </si>
  <si>
    <r>
      <t>Gal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</si>
  <si>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GlcNAc</t>
    </r>
    <r>
      <rPr>
        <sz val="11"/>
        <rFont val="Calibri"/>
        <family val="2"/>
      </rPr>
      <t>β1-3(GlcNAcβ1-6)GalNAcol</t>
    </r>
  </si>
  <si>
    <r>
      <t>Gal</t>
    </r>
    <r>
      <rPr>
        <sz val="11"/>
        <rFont val="Calibri"/>
        <family val="2"/>
      </rPr>
      <t>β1</t>
    </r>
    <r>
      <rPr>
        <sz val="11"/>
        <rFont val="Calibri"/>
        <family val="2"/>
        <scheme val="minor"/>
      </rPr>
      <t>-3(6S)GlcNAcβ1-6GalNAcol</t>
    </r>
  </si>
  <si>
    <r>
      <t>NeuGc</t>
    </r>
    <r>
      <rPr>
        <sz val="11"/>
        <rFont val="Calibri"/>
        <family val="2"/>
      </rPr>
      <t>α</t>
    </r>
    <r>
      <rPr>
        <sz val="11"/>
        <rFont val="Calibri"/>
        <family val="2"/>
        <scheme val="minor"/>
      </rPr>
      <t>2-3Gal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</si>
  <si>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GlcNAc</t>
    </r>
    <r>
      <rPr>
        <sz val="11"/>
        <rFont val="Calibri"/>
        <family val="2"/>
      </rPr>
      <t>β1-3(6SGlcNAcβ1-6)GalNAcol</t>
    </r>
  </si>
  <si>
    <r>
      <t>GalNAcα1-3</t>
    </r>
    <r>
      <rPr>
        <sz val="11"/>
        <rFont val="Calibri"/>
        <family val="2"/>
      </rPr>
      <t>(NeuAcα2-6)</t>
    </r>
    <r>
      <rPr>
        <sz val="11"/>
        <rFont val="Calibri"/>
        <family val="2"/>
        <scheme val="minor"/>
      </rPr>
      <t>GalNAcol</t>
    </r>
  </si>
  <si>
    <r>
      <t>Gal-(6S)GlcNAcβ1-3(GlcNAcβ1-6)</t>
    </r>
    <r>
      <rPr>
        <sz val="11"/>
        <rFont val="Calibri"/>
        <family val="2"/>
      </rPr>
      <t>GalNAcol</t>
    </r>
  </si>
  <si>
    <r>
      <t>NeuGc</t>
    </r>
    <r>
      <rPr>
        <sz val="11"/>
        <rFont val="Calibri"/>
        <family val="2"/>
      </rPr>
      <t>α2-3</t>
    </r>
    <r>
      <rPr>
        <sz val="11"/>
        <rFont val="Calibri"/>
        <family val="2"/>
        <scheme val="minor"/>
      </rPr>
      <t>Galβ1-3(GlcNAcβ1-6)GalNAcol</t>
    </r>
  </si>
  <si>
    <r>
      <t>6SGal</t>
    </r>
    <r>
      <rPr>
        <sz val="11"/>
        <rFont val="Times New Roman"/>
        <family val="1"/>
      </rPr>
      <t>β</t>
    </r>
    <r>
      <rPr>
        <sz val="11"/>
        <rFont val="Calibri"/>
        <family val="2"/>
        <scheme val="minor"/>
      </rPr>
      <t>1-3GlcNAc</t>
    </r>
    <r>
      <rPr>
        <sz val="11"/>
        <rFont val="Times New Roman"/>
        <family val="1"/>
      </rPr>
      <t>β</t>
    </r>
    <r>
      <rPr>
        <sz val="11"/>
        <rFont val="Calibri"/>
        <family val="2"/>
        <scheme val="minor"/>
      </rPr>
      <t>1-3(6SGlcNAc</t>
    </r>
    <r>
      <rPr>
        <sz val="11"/>
        <rFont val="Times New Roman"/>
        <family val="1"/>
      </rPr>
      <t>β</t>
    </r>
    <r>
      <rPr>
        <sz val="11"/>
        <rFont val="Calibri"/>
        <family val="2"/>
        <scheme val="minor"/>
      </rPr>
      <t>1-6)GalNAcol</t>
    </r>
  </si>
  <si>
    <r>
      <t>NeuGcα2-3Galβ1-3(SGal</t>
    </r>
    <r>
      <rPr>
        <sz val="11"/>
        <rFont val="Calibri"/>
        <family val="2"/>
      </rPr>
      <t>β1</t>
    </r>
    <r>
      <rPr>
        <sz val="11"/>
        <rFont val="Calibri"/>
        <family val="2"/>
        <scheme val="minor"/>
      </rPr>
      <t>-3GlcNAcβ1-6)GalNAcol</t>
    </r>
  </si>
  <si>
    <r>
      <t xml:space="preserve">RT </t>
    </r>
    <r>
      <rPr>
        <vertAlign val="superscript"/>
        <sz val="11"/>
        <color theme="1"/>
        <rFont val="Calibri"/>
        <family val="2"/>
      </rPr>
      <t>[10]</t>
    </r>
  </si>
  <si>
    <r>
      <t>Intensity</t>
    </r>
    <r>
      <rPr>
        <vertAlign val="superscript"/>
        <sz val="11"/>
        <color theme="1"/>
        <rFont val="Calibri"/>
        <family val="2"/>
      </rPr>
      <t xml:space="preserve"> [11]</t>
    </r>
  </si>
  <si>
    <t>Percentage2</t>
  </si>
  <si>
    <t>Percentages</t>
  </si>
  <si>
    <t>Percentage4</t>
  </si>
  <si>
    <t>Percentage5</t>
  </si>
  <si>
    <t>Percentage6</t>
  </si>
  <si>
    <t>Percentage7</t>
  </si>
  <si>
    <t>Percentage8</t>
  </si>
  <si>
    <t>Percentage9</t>
  </si>
  <si>
    <t>Percentage10</t>
  </si>
  <si>
    <t>Percentage82</t>
  </si>
  <si>
    <t>Percentage93</t>
  </si>
  <si>
    <t>Percentage104</t>
  </si>
  <si>
    <t>Percentage83</t>
  </si>
  <si>
    <t>Percentage94</t>
  </si>
  <si>
    <t>Percentage105</t>
  </si>
  <si>
    <t>Hex1HexNAc1</t>
  </si>
  <si>
    <t>Galβ1-3GalNAcol</t>
  </si>
  <si>
    <t>4.65*</t>
  </si>
  <si>
    <t>4.69*</t>
  </si>
  <si>
    <t>4.92*</t>
  </si>
  <si>
    <t>4.72*</t>
  </si>
  <si>
    <t>5.10*</t>
  </si>
  <si>
    <t>4.78*</t>
  </si>
  <si>
    <t>GlcNAcβ1-3GalNAcol</t>
  </si>
  <si>
    <t>5.48*</t>
  </si>
  <si>
    <t>5.66*</t>
  </si>
  <si>
    <t>GlcNAcβ1-6GalNAcol</t>
  </si>
  <si>
    <t>11.02*</t>
  </si>
  <si>
    <t>10.99*</t>
  </si>
  <si>
    <t>GlcNAcβ1-3(GlcNAcβ1-6)GalNAcol</t>
  </si>
  <si>
    <t>11.72**</t>
  </si>
  <si>
    <t>11.56**</t>
  </si>
  <si>
    <t>675-1</t>
  </si>
  <si>
    <t>Galβ1-3(NeuAcα2-6)GalNAcol</t>
  </si>
  <si>
    <t>10.04*</t>
  </si>
  <si>
    <t>9.83**</t>
  </si>
  <si>
    <t>9.88**</t>
  </si>
  <si>
    <t>675-2</t>
  </si>
  <si>
    <t>GlcNAcβ1-3(6S-GlcNAcβ1-6)GalNAcol</t>
  </si>
  <si>
    <t>12.86**</t>
  </si>
  <si>
    <t>12.77**</t>
  </si>
  <si>
    <r>
      <t>GalNAcα1-3</t>
    </r>
    <r>
      <rPr>
        <sz val="11"/>
        <color theme="1"/>
        <rFont val="Calibri"/>
        <family val="2"/>
      </rPr>
      <t>(NeuGcα2-6)</t>
    </r>
    <r>
      <rPr>
        <sz val="11"/>
        <color theme="1"/>
        <rFont val="Calibri"/>
        <family val="2"/>
        <scheme val="minor"/>
      </rPr>
      <t>GalNAcol</t>
    </r>
  </si>
  <si>
    <t>790-1</t>
  </si>
  <si>
    <t>Hex1HexNAc3</t>
  </si>
  <si>
    <t>GlcNAcβ1-3(Galβ1-4GlcNAcβ1-6)GalNAcol</t>
  </si>
  <si>
    <t>790-2</t>
  </si>
  <si>
    <t>GlcNAcα1-4Galβ1-3(GlcNAcβ1-6)GalNAcol</t>
  </si>
  <si>
    <t>Fucα1-2Galβ1,3(6S-GlcNAcβ1,6)GalNAcol</t>
  </si>
  <si>
    <t>Hex2HexNAc2Sul1</t>
  </si>
  <si>
    <t>Galβ1-3[Galβ1-4(6S)GlcNAcβ1-6]GalNAcol</t>
  </si>
  <si>
    <t>14.56**</t>
  </si>
  <si>
    <t>14.35**</t>
  </si>
  <si>
    <t>HexNAc4</t>
  </si>
  <si>
    <t>GlcNAcβ1-3(GalNAcβ1-4GlcNAcβ1-6)GalNAcol</t>
  </si>
  <si>
    <t>Galβ1-3GlcNAcβ1-3(6SGlcNAcβ1-6)GalNAcol</t>
  </si>
  <si>
    <t>GlcNAcβ1-3(3SGalβ1-4GlcNAcβ1-6)GalNAcol</t>
  </si>
  <si>
    <t>NeuAc1Hex1HexNAc2</t>
  </si>
  <si>
    <t>NeuAcα2-3Galβ1-3(GlcNAcβ1-6)GalNAcol</t>
  </si>
  <si>
    <t>NeuGcα2-3Galβ1-3(GlcNAcβ1-6)GalNAcol</t>
  </si>
  <si>
    <t>NeuAc1Hex1HexNAc2Sul1</t>
  </si>
  <si>
    <t>NeuAcα2-3Galβ1-3[(6S)GlcNAcβ1-6]GalNAcol</t>
  </si>
  <si>
    <t>NeuGc1Hex1HexNAc2Sul1</t>
  </si>
  <si>
    <t>NeuGcα2-3Galβ1-3(6SGlcNAcβ1-6)GalNAcol</t>
  </si>
  <si>
    <t>Hex1HexNAc4</t>
  </si>
  <si>
    <t>GlcNAcβ1-3(GlcNAcα1-4Galβ1-4GlcNAcβ1-6)GalNAcol</t>
  </si>
  <si>
    <t>1016-1</t>
  </si>
  <si>
    <t>Hex1HexNAc3deHex1Sul1</t>
  </si>
  <si>
    <t>GlcNAcβ1-3[Galβ1-3(Fucα1-4)(6S)GlcNAcβ1-6]GalNAcol</t>
  </si>
  <si>
    <t>15.13*</t>
  </si>
  <si>
    <t>14.81*</t>
  </si>
  <si>
    <t>14.73*</t>
  </si>
  <si>
    <t>1016-2</t>
  </si>
  <si>
    <t>GlcNAcβ1-3[Fucα1-2Galβ1-4(6S)GlcNAcβ1-6]GalNAcol</t>
  </si>
  <si>
    <t>15.26*</t>
  </si>
  <si>
    <t>15.05*</t>
  </si>
  <si>
    <t>1016-3</t>
  </si>
  <si>
    <t>Fucα1-2Galβ1-4GlcNAcβ-3(6SGlcNAcβ1-6)GalNAcol</t>
  </si>
  <si>
    <t>19.24*</t>
  </si>
  <si>
    <r>
      <t>Galβ1-4GlcNAc</t>
    </r>
    <r>
      <rPr>
        <sz val="11"/>
        <color theme="1"/>
        <rFont val="Calibri"/>
        <family val="2"/>
      </rPr>
      <t>β1-3[Galβ1-4(6S)GlcNAcβ1-6]GalNAcol</t>
    </r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</si>
  <si>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</t>
    </r>
    <r>
      <rPr>
        <sz val="11"/>
        <color theme="1"/>
        <rFont val="Calibri"/>
        <family val="2"/>
      </rPr>
      <t>β1-3(3SGalβ1-4GlcNAcβ1-6)GalNAcol</t>
    </r>
  </si>
  <si>
    <t>Hex1Hex3HexNAc1Sul2</t>
  </si>
  <si>
    <t>1112-1</t>
  </si>
  <si>
    <t>SGalβ1-4GlcNAcβ1-3[Galβ1-4(6S)GlcNAcβ1-6]GalNAcol</t>
  </si>
  <si>
    <t>1112-2</t>
  </si>
  <si>
    <t>SGalβ1-4GlcNAcβ1-3(SGalβ1-4GlcNAcβ1-6)GalNAcol</t>
  </si>
  <si>
    <t>Hex1HexNAc3deHex2Sul1</t>
  </si>
  <si>
    <t>Fucα1-2Galβ1-3(Fucα1-4)GlcNAcβ1-3[6SGlcNAcβ1-6]GalNAcol</t>
  </si>
  <si>
    <t>Hex2HexNAc3deHex1 Sul2</t>
  </si>
  <si>
    <t>17.89**</t>
  </si>
  <si>
    <t>17.36**</t>
  </si>
  <si>
    <t>1419-1</t>
  </si>
  <si>
    <t>NeuGc1Hex2HexNAc3Sul2</t>
  </si>
  <si>
    <t>1419-2</t>
  </si>
  <si>
    <t>1419-3</t>
  </si>
  <si>
    <t>19.09**</t>
  </si>
  <si>
    <t>Hex2HexNAc4deHex1Sul2</t>
  </si>
  <si>
    <t>SGal-GlcNAcβ1-3[GalNAcα1-3(Fucα1-2)Gal-(6S)GlcNAcβ1-6]GalNAcol</t>
  </si>
  <si>
    <t>17.23**</t>
  </si>
  <si>
    <r>
      <t>SGalβ1-4GlcNAcβ1-3Galβ1-4GlcNAcβ1-3Galβ1-3(6SGlcNAc</t>
    </r>
    <r>
      <rPr>
        <sz val="11"/>
        <color theme="1"/>
        <rFont val="Times New Roman"/>
        <family val="1"/>
      </rPr>
      <t>β</t>
    </r>
    <r>
      <rPr>
        <sz val="11"/>
        <color theme="1"/>
        <rFont val="Calibri"/>
        <family val="2"/>
        <scheme val="minor"/>
      </rPr>
      <t>1-6)GalNAcol</t>
    </r>
  </si>
  <si>
    <t>19.56**</t>
  </si>
  <si>
    <t>NeuGc1Hex3HexNAc3Sul1</t>
  </si>
  <si>
    <t>Gal-GlcNAcβ1-3[NeuGcα2-6(3S)Galβ1-GlcNAcβ1-6]Galβ1-3GalNAcol</t>
  </si>
  <si>
    <t>NeuAc1NeuGc1Hex2HexNAc3</t>
  </si>
  <si>
    <t>NeuGc1Hex3HexNAc3Sul2</t>
  </si>
  <si>
    <t>Hex3HexNAc4deHex1Sul2</t>
  </si>
  <si>
    <t>Gal-(6S)GlcNAcβ1-3[SGal-(Fuc)(6S)GlcNAcβ1-6]Galβ1-3(GlcNAcβ1-6)GalNAcol</t>
  </si>
  <si>
    <t>19.50**</t>
  </si>
  <si>
    <t>NeuGc1Hex2HexNAc3deHex2Sul1</t>
  </si>
  <si>
    <t>NeuGc1Hex2HexNAc2deHex3Sul2</t>
  </si>
  <si>
    <t>NeuGc1Hex3HexNAc4Sul2</t>
  </si>
  <si>
    <t>NeuGc1Hex3HexNac3deHex2Sul1</t>
  </si>
  <si>
    <t>15.43**</t>
  </si>
  <si>
    <t>NeuGc1Hex2HexNAc4deHex2Sul1</t>
  </si>
  <si>
    <t>NeuGcα2-3Gal-(Fuc)GlcNAcβ1-3[Fucα1-2(GalNAcα1-3)(S)Gal-GlcNAcβ1-6]GalNAcol</t>
  </si>
  <si>
    <t>NeuGc1Hex3HexNAc4deHex1Sul1</t>
  </si>
  <si>
    <t>NeuAc1Hex2HexNAc4deHex2Sul2</t>
  </si>
  <si>
    <t>1914</t>
  </si>
  <si>
    <t>NeuGc1Hex2HexNAc4deHex2Sul2</t>
  </si>
  <si>
    <t>1915</t>
  </si>
  <si>
    <t>1930-1</t>
  </si>
  <si>
    <t>NeuGc1Hex3HexNAc4deHex1Sul2</t>
  </si>
  <si>
    <t>1930-2</t>
  </si>
  <si>
    <t>NeuAc1Hex3hexNAc5Sul2</t>
  </si>
  <si>
    <t>18.09**</t>
  </si>
  <si>
    <t>NeuGc1Hex3HexNAc3deHex3Sul2</t>
  </si>
  <si>
    <t>NeuAc1Hex3HexNAc4deHex2Sul2</t>
  </si>
  <si>
    <t>NeuGc1Hex3HexNAc4deHex2Sul2</t>
  </si>
  <si>
    <t>NeuGc1Hex3HexNAc5deHex2Sul2</t>
  </si>
  <si>
    <t>NeuGc1Hex3hexNAc5deHex3Sul2</t>
  </si>
  <si>
    <t>Sum</t>
  </si>
  <si>
    <t>Galα1-4Galβ1-4GlcNAc</t>
  </si>
  <si>
    <t>Manα1-3(Manα1-6)Manβ1-4GlcNAcβ1-4(Fucα1-6)GlcNAcol</t>
  </si>
  <si>
    <t>Hex3HexNAc4</t>
  </si>
  <si>
    <t>GlcNAcβ1-2Manα1-3(GlcNAcβ1-2Manα1-6)Manβ1-4GlcNAcβ1-4GlcNAcol</t>
  </si>
  <si>
    <t>Hex5HexNAc3</t>
  </si>
  <si>
    <t>GlcNAcβ1-2Manα1-3(Galα1-3Galβ1-4GlcNAcβ1-2Manα1-6)Manβ1-4GlcNAcol</t>
  </si>
  <si>
    <t>1463-1</t>
  </si>
  <si>
    <t>Hex3HexNAc4deHex1</t>
  </si>
  <si>
    <t>GlcNAcβ1-2Manα1-3(GlcNAcβ1-4)(Manα1-6)Manβ1-4GlcNAcβ1-4(Fucα1-6)GlcNAcol</t>
  </si>
  <si>
    <t>1463-2</t>
  </si>
  <si>
    <t>GlcNAcβ1-2Manα1-3(GlcNAcβ1-2Manα1-6)Manβ1-4GlcNAcβ1-4(Fucα1-6)GlcNAcol</t>
  </si>
  <si>
    <t>1463-3</t>
  </si>
  <si>
    <t>GlcNAcβ1-2(GlcNAcβ1-4)Manα1-3(Manα1-6)Manβ1-4GlcNAcβ1-4(Fucα1-6)GlcNAcol</t>
  </si>
  <si>
    <t>1666-1</t>
  </si>
  <si>
    <t>Hex3HexNAc5deHex1</t>
  </si>
  <si>
    <t>GlcNAcβ1-2Manα1-3(GlcNAcβ1-4)(GlcNAcβ1-2Manα1-6)Manβ1-4GlcNAcβ1-4(Fucα1-6)GlcNAcol</t>
  </si>
  <si>
    <t>1666-2</t>
  </si>
  <si>
    <t>GlcNAcβ1-2(GlcNAcβ1-4)Manα1-3(GlcNAcβ1-4)(Manα1-6)Manβ1-4GlcNAcβ1-4(Fucα1-6)GlcNAcol</t>
  </si>
  <si>
    <t>1666-3</t>
  </si>
  <si>
    <t>GlcNAcβ1-2(GlcNAcβ1-4)Manα1-3(GlcNAcβ1-2Manα1-6)Manβ1-4GlcNAcβ1-4(Fucα1-6)GlcNAcol</t>
  </si>
  <si>
    <t>Hex2HexNAc4deHex3Sul2</t>
  </si>
  <si>
    <t>Fucα1-2(S)Gal-(Fuc)GlcNAcβ1-3[Fucα1-2(GalNAcα1-3)(S)Gal-GlcNAcβ1-6]GalNAcol</t>
  </si>
  <si>
    <t>1869-1</t>
  </si>
  <si>
    <r>
      <t>GlcNAcβ1-2(GlcNAcβ1-4)Manα1-3(GlcNAcβ1-4)(GlcNAcβ1-2Manα1-6)Manβ1-4GlcNAcβ1-4(Fuc</t>
    </r>
    <r>
      <rPr>
        <sz val="11"/>
        <color theme="1"/>
        <rFont val="Calibri"/>
        <family val="2"/>
      </rPr>
      <t>α1-6</t>
    </r>
    <r>
      <rPr>
        <sz val="11"/>
        <color theme="1"/>
        <rFont val="Calibri"/>
        <family val="2"/>
        <scheme val="minor"/>
      </rPr>
      <t>)GlcNAcol</t>
    </r>
  </si>
  <si>
    <t>1869-2</t>
  </si>
  <si>
    <r>
      <t>GlcNAcβ1-2(GlcNAcβ1-4)Manα1-3[GlcNAcβ1-2(GlcNAcβ1-6)Manα1-6]Manβ1-4GlcNAcβ1-4(Fuc</t>
    </r>
    <r>
      <rPr>
        <sz val="11"/>
        <color theme="1"/>
        <rFont val="Calibri"/>
        <family val="2"/>
      </rPr>
      <t>α1-6</t>
    </r>
    <r>
      <rPr>
        <sz val="11"/>
        <color theme="1"/>
        <rFont val="Calibri"/>
        <family val="2"/>
        <scheme val="minor"/>
      </rPr>
      <t>)GlcNAcol</t>
    </r>
  </si>
  <si>
    <r>
      <t>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-4GlcNAcβ1-6Galβ1-4Glcol</t>
    </r>
  </si>
  <si>
    <t>Control</t>
  </si>
  <si>
    <t>BT3173</t>
  </si>
  <si>
    <t>BT3173 + BT4241</t>
  </si>
  <si>
    <t>BT3173 + BT4241 + BT4681</t>
  </si>
  <si>
    <t>BT1625</t>
  </si>
  <si>
    <t>BT1625 + BT1626</t>
  </si>
  <si>
    <t>BT1625 + BT1626 + BT4681</t>
  </si>
  <si>
    <t>BT4241</t>
  </si>
  <si>
    <t>BT4681</t>
  </si>
  <si>
    <t>BT1626</t>
  </si>
  <si>
    <t>No enzyme</t>
  </si>
  <si>
    <t>GH95</t>
  </si>
  <si>
    <t>GH95 + GH2</t>
  </si>
  <si>
    <t>GH95 + GH2 + GH20</t>
  </si>
  <si>
    <t>GH29</t>
  </si>
  <si>
    <t>GH29 + GH2</t>
  </si>
  <si>
    <t>GH29 + GH2 + GH20</t>
  </si>
  <si>
    <t>GH2</t>
  </si>
  <si>
    <t>BT1625 + BT1626 + BT3173 + BT4241</t>
  </si>
  <si>
    <t>GH29 + GH2 + GH95 + GH2</t>
  </si>
  <si>
    <t>GH20</t>
  </si>
  <si>
    <t>Supplementary Table 11A. LC-MS analysis of sequential degradation of DFLnHa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</si>
  <si>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(Man) mannose; (NA) not assigned; (nd) not detected; </t>
    </r>
  </si>
  <si>
    <t xml:space="preserve">RT*=manual calculation of intensity for glycan with MS2; </t>
  </si>
  <si>
    <t>Footnote:</t>
  </si>
  <si>
    <t>mass of strucutre in negative ion mode; mass with hyphens indicates the isomeric structures;</t>
  </si>
  <si>
    <r>
      <t xml:space="preserve">(Hex) hexose; (HexNAc)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-acetylhexosamine; (deHex) fucose; (NeuAc)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-acetylneuraminic acid; (NeuGc) N-acetyl glycolylneuraminic acid; (S) sulfate</t>
    </r>
  </si>
  <si>
    <t>Structures are given in the text according following rules: the structure is described clockwise and left-to-right where reducing end locates righmost side (as shown in cartoon figure); "-" is used for uncertain location</t>
  </si>
  <si>
    <t>The cartoon figure is described as "NeuAcα2-6Galβ1-4GlcNAcβ1-2(Galβ1-4GlcNAcβ1-4)Manα1-3(GlcNAcβ1-4)(Galβ1-4GlcNAcβ1-2Manα1-6)Manβ1-4GlcNAcβ1-4(Fucα1-6)GlcNAcol"</t>
  </si>
  <si>
    <t>[RT]</t>
  </si>
  <si>
    <t>[Intensity]</t>
  </si>
  <si>
    <t>Main glycans detected in control sample (DFLnHa)</t>
  </si>
  <si>
    <t>Main glycan detected after enzymatic activity</t>
  </si>
  <si>
    <t>Sample 1</t>
  </si>
  <si>
    <r>
      <t>Mass</t>
    </r>
    <r>
      <rPr>
        <vertAlign val="superscript"/>
        <sz val="11"/>
        <color theme="0"/>
        <rFont val="Calibri"/>
        <family val="2"/>
      </rPr>
      <t>[1]</t>
    </r>
  </si>
  <si>
    <r>
      <t>Composition</t>
    </r>
    <r>
      <rPr>
        <vertAlign val="superscript"/>
        <sz val="11"/>
        <color theme="0"/>
        <rFont val="Calibri"/>
        <family val="2"/>
      </rPr>
      <t>[2]</t>
    </r>
  </si>
  <si>
    <r>
      <t xml:space="preserve">Putative structures </t>
    </r>
    <r>
      <rPr>
        <vertAlign val="superscript"/>
        <sz val="11"/>
        <color theme="0"/>
        <rFont val="Calibri"/>
        <family val="2"/>
      </rPr>
      <t>[3]</t>
    </r>
  </si>
  <si>
    <r>
      <t xml:space="preserve">Putative structures </t>
    </r>
    <r>
      <rPr>
        <vertAlign val="superscript"/>
        <sz val="11"/>
        <color theme="0"/>
        <rFont val="Calibri"/>
        <family val="2"/>
        <scheme val="minor"/>
      </rPr>
      <t>[3]</t>
    </r>
  </si>
  <si>
    <t>Sample 2</t>
  </si>
  <si>
    <t>Sample 3</t>
  </si>
  <si>
    <t>BT0455 + BT4243 + BT1625 + BT3173 + BT1636 + BT1624 + BT1626 + BT4241 + BT1628 + BT4681 + BT0438</t>
  </si>
  <si>
    <r>
      <t xml:space="preserve">BT0455 + BT4243 + BT1625 + BT3173 + BT1636 + BT1624 + BT1626 + BT4241 + BT1628 + BT4681 + BT0438 + </t>
    </r>
    <r>
      <rPr>
        <b/>
        <sz val="16"/>
        <color theme="1"/>
        <rFont val="Calibri"/>
        <family val="2"/>
        <scheme val="minor"/>
      </rPr>
      <t>BT3868</t>
    </r>
  </si>
  <si>
    <t>Control (cMO + No enzyme)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</si>
  <si>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(NeuAc)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-acetylneuraminic acid; (S) sulfate; (nd) not detected;  </t>
    </r>
  </si>
  <si>
    <t>RT*=manual calculation of intensity for glycan with MS2; RT**= Structure (without ms2) assigned based on retention time and intensity was calculated manually.</t>
  </si>
  <si>
    <r>
      <t xml:space="preserve">(Hex) hexose; (HexNAc)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-acetylhexosamine; (deHex) fucose; (NeuAc)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-acetylneuraminic acid; (S) sulfate</t>
    </r>
  </si>
  <si>
    <t>Only detected after incubation with enzyme mix</t>
  </si>
  <si>
    <t>Not detected after incubation with enzyme mix</t>
  </si>
  <si>
    <r>
      <t xml:space="preserve">BT0455 + BT4243 + BT1625 + BT3173 + BT1636 + BT1624 + BT1626 + BT4241 + BT1628 + BT4681 + BT0438 + </t>
    </r>
    <r>
      <rPr>
        <u/>
        <sz val="16"/>
        <color theme="1"/>
        <rFont val="Calibri"/>
        <family val="2"/>
        <scheme val="minor"/>
      </rPr>
      <t>BT4394</t>
    </r>
  </si>
  <si>
    <r>
      <t xml:space="preserve">BT0455 + BT4243 + BT1625 + BT3173 + BT1636 + BT1624 + BT1626 + BT4241 + BT1628 + BT4681 + BT0438 + BT4394 + </t>
    </r>
    <r>
      <rPr>
        <b/>
        <sz val="16"/>
        <color theme="1"/>
        <rFont val="Calibri"/>
        <family val="2"/>
        <scheme val="minor"/>
      </rPr>
      <t>BT3868</t>
    </r>
  </si>
  <si>
    <t>Internal standart: P1 antigen added to all reactions (0.05 mM)</t>
  </si>
  <si>
    <r>
      <rPr>
        <b/>
        <i/>
        <sz val="24"/>
        <color theme="1"/>
        <rFont val="Calibri"/>
        <family val="2"/>
        <scheme val="minor"/>
      </rPr>
      <t>O</t>
    </r>
    <r>
      <rPr>
        <b/>
        <sz val="24"/>
        <color theme="1"/>
        <rFont val="Calibri"/>
        <family val="2"/>
        <scheme val="minor"/>
      </rPr>
      <t>-glycans</t>
    </r>
  </si>
  <si>
    <r>
      <rPr>
        <b/>
        <i/>
        <sz val="24"/>
        <color theme="1"/>
        <rFont val="Calibri"/>
        <family val="2"/>
        <scheme val="minor"/>
      </rPr>
      <t>N</t>
    </r>
    <r>
      <rPr>
        <b/>
        <sz val="24"/>
        <color theme="1"/>
        <rFont val="Calibri"/>
        <family val="2"/>
        <scheme val="minor"/>
      </rPr>
      <t>-glycans</t>
    </r>
  </si>
  <si>
    <r>
      <t xml:space="preserve">Supplementary Table 11B. LC-MS analysis of degradation of cMOs incubated with </t>
    </r>
    <r>
      <rPr>
        <b/>
        <i/>
        <sz val="16"/>
        <color theme="1"/>
        <rFont val="Arial Bold"/>
      </rPr>
      <t xml:space="preserve">B. theta </t>
    </r>
    <r>
      <rPr>
        <b/>
        <sz val="16"/>
        <color theme="1"/>
        <rFont val="Arial Bold"/>
      </rPr>
      <t>enzyme mix</t>
    </r>
  </si>
  <si>
    <r>
      <t xml:space="preserve">Supplementary Table 11C. LC-MS analysis of degradation of cMOs incubated with </t>
    </r>
    <r>
      <rPr>
        <b/>
        <i/>
        <sz val="16"/>
        <color theme="1"/>
        <rFont val="Arial Bold"/>
      </rPr>
      <t>B. theta</t>
    </r>
    <r>
      <rPr>
        <b/>
        <sz val="16"/>
        <color theme="1"/>
        <rFont val="Arial Bold"/>
      </rPr>
      <t xml:space="preserve"> enzyme mix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</si>
</sst>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vertAlign val="superscript"/>
      <sz val="11"/>
      <color theme="1"/>
      <name val="Calibri"/>
      <family val="2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name val="Times New Roman"/>
      <family val="1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Arial Bold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</font>
    <font>
      <vertAlign val="superscript"/>
      <sz val="11"/>
      <color theme="0"/>
      <name val="Calibri"/>
      <family val="2"/>
    </font>
    <font>
      <vertAlign val="superscript"/>
      <sz val="11"/>
      <color theme="0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16"/>
      <color theme="1"/>
      <name val="Arial Bold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BB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C49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380">
    <xf numFmtId="0" fontId="0" fillId="0" borderId="0" xfId="0"/>
    <xf numFmtId="0" fontId="1" fillId="0" borderId="0" xfId="0" applyFont="1"/>
    <xf numFmtId="0" fontId="2" fillId="0" borderId="0" xfId="1" applyFont="1"/>
    <xf numFmtId="0" fontId="2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6" fillId="0" borderId="0" xfId="1" applyFont="1"/>
    <xf numFmtId="0" fontId="6" fillId="0" borderId="0" xfId="1" applyFont="1" applyAlignment="1">
      <alignment horizontal="right"/>
    </xf>
    <xf numFmtId="164" fontId="2" fillId="0" borderId="0" xfId="1" applyNumberFormat="1" applyFont="1"/>
    <xf numFmtId="164" fontId="2" fillId="0" borderId="0" xfId="2" applyNumberFormat="1" applyFont="1" applyAlignment="1">
      <alignment horizontal="right"/>
    </xf>
    <xf numFmtId="2" fontId="2" fillId="0" borderId="0" xfId="1" applyNumberFormat="1" applyFont="1"/>
    <xf numFmtId="0" fontId="2" fillId="0" borderId="3" xfId="2" applyFont="1" applyBorder="1" applyAlignment="1">
      <alignment horizontal="right"/>
    </xf>
    <xf numFmtId="164" fontId="0" fillId="0" borderId="0" xfId="0" applyNumberFormat="1"/>
    <xf numFmtId="2" fontId="0" fillId="0" borderId="0" xfId="0" applyNumberFormat="1"/>
    <xf numFmtId="0" fontId="3" fillId="0" borderId="0" xfId="1" applyAlignment="1">
      <alignment horizontal="right"/>
    </xf>
    <xf numFmtId="0" fontId="9" fillId="0" borderId="0" xfId="1" applyFont="1"/>
    <xf numFmtId="164" fontId="9" fillId="0" borderId="0" xfId="0" applyNumberFormat="1" applyFont="1"/>
    <xf numFmtId="0" fontId="9" fillId="0" borderId="0" xfId="1" applyFont="1" applyAlignment="1">
      <alignment horizontal="right"/>
    </xf>
    <xf numFmtId="2" fontId="9" fillId="0" borderId="0" xfId="1" applyNumberFormat="1" applyFont="1"/>
    <xf numFmtId="0" fontId="9" fillId="0" borderId="0" xfId="0" applyFont="1"/>
    <xf numFmtId="164" fontId="2" fillId="4" borderId="0" xfId="2" applyNumberFormat="1" applyFont="1" applyFill="1" applyAlignment="1">
      <alignment horizontal="right"/>
    </xf>
    <xf numFmtId="2" fontId="3" fillId="0" borderId="4" xfId="3" applyNumberFormat="1" applyBorder="1" applyAlignment="1">
      <alignment horizontal="right"/>
    </xf>
    <xf numFmtId="164" fontId="3" fillId="0" borderId="0" xfId="3" applyNumberFormat="1" applyAlignment="1">
      <alignment horizontal="right"/>
    </xf>
    <xf numFmtId="0" fontId="3" fillId="0" borderId="3" xfId="3" applyBorder="1" applyAlignment="1">
      <alignment horizontal="right"/>
    </xf>
    <xf numFmtId="0" fontId="3" fillId="0" borderId="0" xfId="3" applyAlignment="1">
      <alignment horizontal="right"/>
    </xf>
    <xf numFmtId="2" fontId="3" fillId="3" borderId="4" xfId="3" applyNumberForma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18" fillId="0" borderId="0" xfId="1" applyFont="1"/>
    <xf numFmtId="0" fontId="9" fillId="0" borderId="0" xfId="0" applyFont="1" applyAlignment="1">
      <alignment horizontal="right"/>
    </xf>
    <xf numFmtId="0" fontId="10" fillId="0" borderId="3" xfId="3" applyFont="1" applyBorder="1" applyAlignment="1">
      <alignment horizontal="right"/>
    </xf>
    <xf numFmtId="0" fontId="10" fillId="0" borderId="0" xfId="3" applyFont="1" applyAlignment="1">
      <alignment horizontal="right"/>
    </xf>
    <xf numFmtId="0" fontId="9" fillId="0" borderId="3" xfId="0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0" fontId="0" fillId="0" borderId="0" xfId="0" applyAlignment="1">
      <alignment horizontal="center"/>
    </xf>
    <xf numFmtId="164" fontId="3" fillId="0" borderId="5" xfId="3" applyNumberFormat="1" applyBorder="1" applyAlignment="1">
      <alignment horizontal="right"/>
    </xf>
    <xf numFmtId="0" fontId="3" fillId="0" borderId="4" xfId="3" applyBorder="1" applyAlignment="1">
      <alignment horizontal="right"/>
    </xf>
    <xf numFmtId="0" fontId="3" fillId="0" borderId="0" xfId="3"/>
    <xf numFmtId="0" fontId="0" fillId="0" borderId="0" xfId="3" applyFont="1" applyAlignment="1">
      <alignment horizontal="right"/>
    </xf>
    <xf numFmtId="0" fontId="15" fillId="5" borderId="8" xfId="3" applyFont="1" applyFill="1" applyBorder="1" applyAlignment="1">
      <alignment horizontal="left" vertical="center"/>
    </xf>
    <xf numFmtId="164" fontId="15" fillId="5" borderId="8" xfId="3" applyNumberFormat="1" applyFont="1" applyFill="1" applyBorder="1" applyAlignment="1">
      <alignment horizontal="left" vertical="center"/>
    </xf>
    <xf numFmtId="164" fontId="9" fillId="0" borderId="0" xfId="2" applyNumberFormat="1" applyFont="1" applyAlignment="1">
      <alignment horizontal="right"/>
    </xf>
    <xf numFmtId="164" fontId="2" fillId="0" borderId="0" xfId="2" applyNumberFormat="1" applyFont="1"/>
    <xf numFmtId="164" fontId="9" fillId="0" borderId="0" xfId="2" applyNumberFormat="1" applyFont="1"/>
    <xf numFmtId="0" fontId="22" fillId="0" borderId="0" xfId="1" applyFont="1"/>
    <xf numFmtId="0" fontId="22" fillId="0" borderId="0" xfId="1" applyFont="1" applyAlignment="1">
      <alignment horizontal="right"/>
    </xf>
    <xf numFmtId="2" fontId="3" fillId="0" borderId="7" xfId="1" applyNumberFormat="1" applyBorder="1" applyAlignment="1">
      <alignment horizontal="right"/>
    </xf>
    <xf numFmtId="164" fontId="2" fillId="0" borderId="23" xfId="1" applyNumberFormat="1" applyFont="1" applyBorder="1"/>
    <xf numFmtId="2" fontId="2" fillId="0" borderId="7" xfId="2" applyNumberFormat="1" applyFont="1" applyBorder="1" applyAlignment="1">
      <alignment horizontal="right"/>
    </xf>
    <xf numFmtId="2" fontId="9" fillId="14" borderId="7" xfId="2" applyNumberFormat="1" applyFont="1" applyFill="1" applyBorder="1" applyAlignment="1">
      <alignment horizontal="right"/>
    </xf>
    <xf numFmtId="164" fontId="9" fillId="14" borderId="0" xfId="2" applyNumberFormat="1" applyFont="1" applyFill="1" applyAlignment="1">
      <alignment horizontal="right"/>
    </xf>
    <xf numFmtId="164" fontId="2" fillId="14" borderId="23" xfId="1" applyNumberFormat="1" applyFont="1" applyFill="1" applyBorder="1"/>
    <xf numFmtId="2" fontId="3" fillId="0" borderId="7" xfId="4" applyNumberFormat="1" applyBorder="1" applyAlignment="1">
      <alignment horizontal="right"/>
    </xf>
    <xf numFmtId="0" fontId="2" fillId="0" borderId="0" xfId="2" applyFont="1"/>
    <xf numFmtId="164" fontId="2" fillId="0" borderId="23" xfId="2" applyNumberFormat="1" applyFont="1" applyBorder="1"/>
    <xf numFmtId="0" fontId="3" fillId="0" borderId="7" xfId="4" applyBorder="1" applyAlignment="1">
      <alignment horizontal="right"/>
    </xf>
    <xf numFmtId="0" fontId="3" fillId="0" borderId="7" xfId="1" applyBorder="1" applyAlignment="1">
      <alignment horizontal="right"/>
    </xf>
    <xf numFmtId="0" fontId="3" fillId="4" borderId="7" xfId="1" applyFill="1" applyBorder="1" applyAlignment="1">
      <alignment horizontal="right"/>
    </xf>
    <xf numFmtId="164" fontId="2" fillId="4" borderId="23" xfId="2" applyNumberFormat="1" applyFont="1" applyFill="1" applyBorder="1"/>
    <xf numFmtId="0" fontId="10" fillId="0" borderId="7" xfId="1" applyFont="1" applyBorder="1" applyAlignment="1">
      <alignment horizontal="right"/>
    </xf>
    <xf numFmtId="164" fontId="2" fillId="4" borderId="7" xfId="2" applyNumberFormat="1" applyFont="1" applyFill="1" applyBorder="1"/>
    <xf numFmtId="164" fontId="2" fillId="0" borderId="7" xfId="2" applyNumberFormat="1" applyFont="1" applyBorder="1"/>
    <xf numFmtId="2" fontId="10" fillId="0" borderId="7" xfId="1" applyNumberFormat="1" applyFont="1" applyBorder="1" applyAlignment="1">
      <alignment horizontal="right"/>
    </xf>
    <xf numFmtId="164" fontId="9" fillId="0" borderId="23" xfId="2" applyNumberFormat="1" applyFont="1" applyBorder="1"/>
    <xf numFmtId="2" fontId="9" fillId="0" borderId="7" xfId="2" applyNumberFormat="1" applyFont="1" applyBorder="1" applyAlignment="1">
      <alignment horizontal="right"/>
    </xf>
    <xf numFmtId="2" fontId="9" fillId="0" borderId="7" xfId="2" applyNumberFormat="1" applyFont="1" applyBorder="1"/>
    <xf numFmtId="2" fontId="9" fillId="4" borderId="7" xfId="2" applyNumberFormat="1" applyFont="1" applyFill="1" applyBorder="1" applyAlignment="1">
      <alignment horizontal="right"/>
    </xf>
    <xf numFmtId="164" fontId="9" fillId="4" borderId="0" xfId="2" applyNumberFormat="1" applyFont="1" applyFill="1" applyAlignment="1">
      <alignment horizontal="right"/>
    </xf>
    <xf numFmtId="164" fontId="9" fillId="4" borderId="23" xfId="2" applyNumberFormat="1" applyFont="1" applyFill="1" applyBorder="1"/>
    <xf numFmtId="0" fontId="2" fillId="0" borderId="7" xfId="1" applyFont="1" applyBorder="1" applyAlignment="1">
      <alignment horizontal="right"/>
    </xf>
    <xf numFmtId="164" fontId="2" fillId="4" borderId="23" xfId="1" applyNumberFormat="1" applyFont="1" applyFill="1" applyBorder="1"/>
    <xf numFmtId="164" fontId="9" fillId="0" borderId="23" xfId="1" applyNumberFormat="1" applyFont="1" applyBorder="1"/>
    <xf numFmtId="0" fontId="2" fillId="0" borderId="7" xfId="1" applyFont="1" applyBorder="1"/>
    <xf numFmtId="0" fontId="10" fillId="14" borderId="7" xfId="1" applyFont="1" applyFill="1" applyBorder="1" applyAlignment="1">
      <alignment horizontal="right"/>
    </xf>
    <xf numFmtId="164" fontId="9" fillId="14" borderId="23" xfId="2" applyNumberFormat="1" applyFont="1" applyFill="1" applyBorder="1"/>
    <xf numFmtId="2" fontId="2" fillId="0" borderId="7" xfId="2" applyNumberFormat="1" applyFont="1" applyBorder="1"/>
    <xf numFmtId="2" fontId="10" fillId="14" borderId="7" xfId="1" applyNumberFormat="1" applyFont="1" applyFill="1" applyBorder="1" applyAlignment="1">
      <alignment horizontal="right"/>
    </xf>
    <xf numFmtId="164" fontId="2" fillId="14" borderId="23" xfId="2" applyNumberFormat="1" applyFont="1" applyFill="1" applyBorder="1"/>
    <xf numFmtId="0" fontId="10" fillId="0" borderId="7" xfId="4" applyFont="1" applyBorder="1" applyAlignment="1">
      <alignment horizontal="right"/>
    </xf>
    <xf numFmtId="0" fontId="10" fillId="14" borderId="7" xfId="4" applyFont="1" applyFill="1" applyBorder="1" applyAlignment="1">
      <alignment horizontal="right"/>
    </xf>
    <xf numFmtId="0" fontId="2" fillId="0" borderId="5" xfId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2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5" xfId="1" applyFont="1" applyBorder="1" applyAlignment="1">
      <alignment horizontal="right"/>
    </xf>
    <xf numFmtId="164" fontId="9" fillId="14" borderId="0" xfId="2" applyNumberFormat="1" applyFont="1" applyFill="1"/>
    <xf numFmtId="0" fontId="0" fillId="0" borderId="5" xfId="0" applyBorder="1" applyAlignment="1">
      <alignment horizontal="right"/>
    </xf>
    <xf numFmtId="2" fontId="0" fillId="0" borderId="7" xfId="0" applyNumberFormat="1" applyBorder="1"/>
    <xf numFmtId="164" fontId="0" fillId="0" borderId="23" xfId="0" applyNumberFormat="1" applyBorder="1"/>
    <xf numFmtId="0" fontId="3" fillId="0" borderId="7" xfId="0" applyFont="1" applyBorder="1" applyAlignment="1">
      <alignment horizontal="right"/>
    </xf>
    <xf numFmtId="0" fontId="0" fillId="0" borderId="27" xfId="0" applyBorder="1"/>
    <xf numFmtId="2" fontId="9" fillId="0" borderId="7" xfId="0" applyNumberFormat="1" applyFont="1" applyBorder="1"/>
    <xf numFmtId="164" fontId="9" fillId="0" borderId="23" xfId="0" applyNumberFormat="1" applyFont="1" applyBorder="1"/>
    <xf numFmtId="0" fontId="0" fillId="0" borderId="7" xfId="0" applyBorder="1" applyAlignment="1">
      <alignment horizontal="right"/>
    </xf>
    <xf numFmtId="0" fontId="0" fillId="0" borderId="23" xfId="0" applyBorder="1"/>
    <xf numFmtId="0" fontId="0" fillId="0" borderId="7" xfId="0" applyBorder="1"/>
    <xf numFmtId="2" fontId="0" fillId="0" borderId="27" xfId="0" applyNumberFormat="1" applyBorder="1"/>
    <xf numFmtId="0" fontId="10" fillId="0" borderId="7" xfId="0" applyFont="1" applyBorder="1" applyAlignment="1">
      <alignment horizontal="right"/>
    </xf>
    <xf numFmtId="0" fontId="24" fillId="0" borderId="0" xfId="0" applyFont="1"/>
    <xf numFmtId="0" fontId="27" fillId="0" borderId="0" xfId="0" applyFont="1"/>
    <xf numFmtId="0" fontId="18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0" fontId="0" fillId="3" borderId="31" xfId="0" applyFill="1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15" borderId="31" xfId="0" applyFill="1" applyBorder="1"/>
    <xf numFmtId="164" fontId="0" fillId="0" borderId="0" xfId="0" applyNumberFormat="1" applyAlignment="1">
      <alignment horizontal="right"/>
    </xf>
    <xf numFmtId="0" fontId="0" fillId="14" borderId="31" xfId="0" applyFill="1" applyBorder="1"/>
    <xf numFmtId="0" fontId="0" fillId="4" borderId="31" xfId="0" applyFill="1" applyBorder="1"/>
    <xf numFmtId="0" fontId="9" fillId="0" borderId="4" xfId="0" applyFont="1" applyBorder="1" applyAlignment="1">
      <alignment horizontal="right"/>
    </xf>
    <xf numFmtId="0" fontId="28" fillId="0" borderId="5" xfId="3" applyFont="1" applyBorder="1" applyAlignment="1">
      <alignment horizontal="right" vertical="center"/>
    </xf>
    <xf numFmtId="0" fontId="28" fillId="0" borderId="3" xfId="3" applyFont="1" applyBorder="1" applyAlignment="1">
      <alignment horizontal="center" vertical="center"/>
    </xf>
    <xf numFmtId="0" fontId="28" fillId="0" borderId="19" xfId="3" applyFont="1" applyBorder="1" applyAlignment="1">
      <alignment horizontal="right" vertical="center"/>
    </xf>
    <xf numFmtId="2" fontId="21" fillId="0" borderId="7" xfId="1" applyNumberFormat="1" applyFont="1" applyBorder="1"/>
    <xf numFmtId="0" fontId="21" fillId="0" borderId="0" xfId="1" applyFont="1"/>
    <xf numFmtId="0" fontId="21" fillId="0" borderId="23" xfId="1" applyFont="1" applyBorder="1"/>
    <xf numFmtId="0" fontId="21" fillId="0" borderId="7" xfId="2" applyFont="1" applyBorder="1" applyAlignment="1">
      <alignment horizontal="left"/>
    </xf>
    <xf numFmtId="0" fontId="21" fillId="0" borderId="0" xfId="2" applyFont="1" applyAlignment="1">
      <alignment horizontal="left"/>
    </xf>
    <xf numFmtId="164" fontId="21" fillId="0" borderId="23" xfId="2" applyNumberFormat="1" applyFont="1" applyBorder="1" applyAlignment="1">
      <alignment horizontal="left"/>
    </xf>
    <xf numFmtId="164" fontId="21" fillId="0" borderId="23" xfId="2" applyNumberFormat="1" applyFont="1" applyBorder="1"/>
    <xf numFmtId="2" fontId="21" fillId="0" borderId="7" xfId="2" applyNumberFormat="1" applyFont="1" applyBorder="1"/>
    <xf numFmtId="0" fontId="21" fillId="0" borderId="0" xfId="2" applyFont="1"/>
    <xf numFmtId="0" fontId="21" fillId="0" borderId="7" xfId="1" applyFont="1" applyBorder="1" applyAlignment="1">
      <alignment horizontal="right"/>
    </xf>
    <xf numFmtId="0" fontId="21" fillId="0" borderId="7" xfId="1" applyFont="1" applyBorder="1"/>
    <xf numFmtId="164" fontId="21" fillId="0" borderId="0" xfId="2" applyNumberFormat="1" applyFont="1"/>
    <xf numFmtId="0" fontId="21" fillId="0" borderId="0" xfId="0" applyFont="1" applyAlignment="1">
      <alignment horizontal="right"/>
    </xf>
    <xf numFmtId="0" fontId="28" fillId="0" borderId="3" xfId="3" applyFont="1" applyBorder="1" applyAlignment="1">
      <alignment horizontal="right" vertical="center"/>
    </xf>
    <xf numFmtId="0" fontId="28" fillId="0" borderId="6" xfId="3" applyFont="1" applyBorder="1" applyAlignment="1">
      <alignment horizontal="center" vertical="center"/>
    </xf>
    <xf numFmtId="0" fontId="21" fillId="0" borderId="0" xfId="0" applyFont="1"/>
    <xf numFmtId="2" fontId="3" fillId="15" borderId="4" xfId="3" applyNumberFormat="1" applyFill="1" applyBorder="1" applyAlignment="1">
      <alignment horizontal="right"/>
    </xf>
    <xf numFmtId="0" fontId="8" fillId="3" borderId="4" xfId="3" applyFont="1" applyFill="1" applyBorder="1" applyAlignment="1">
      <alignment horizontal="right"/>
    </xf>
    <xf numFmtId="0" fontId="8" fillId="15" borderId="4" xfId="3" applyFont="1" applyFill="1" applyBorder="1" applyAlignment="1">
      <alignment horizontal="right"/>
    </xf>
    <xf numFmtId="0" fontId="8" fillId="15" borderId="4" xfId="3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/>
    <xf numFmtId="0" fontId="28" fillId="0" borderId="7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0" fontId="28" fillId="0" borderId="23" xfId="3" applyFont="1" applyBorder="1" applyAlignment="1">
      <alignment horizontal="left" vertical="center"/>
    </xf>
    <xf numFmtId="2" fontId="3" fillId="15" borderId="7" xfId="3" applyNumberFormat="1" applyFill="1" applyBorder="1" applyAlignment="1">
      <alignment horizontal="right"/>
    </xf>
    <xf numFmtId="164" fontId="3" fillId="15" borderId="0" xfId="3" applyNumberFormat="1" applyFill="1" applyAlignment="1">
      <alignment horizontal="right"/>
    </xf>
    <xf numFmtId="164" fontId="3" fillId="15" borderId="23" xfId="3" applyNumberFormat="1" applyFill="1" applyBorder="1" applyAlignment="1">
      <alignment horizontal="right"/>
    </xf>
    <xf numFmtId="2" fontId="3" fillId="3" borderId="7" xfId="3" applyNumberFormat="1" applyFill="1" applyBorder="1" applyAlignment="1">
      <alignment horizontal="right"/>
    </xf>
    <xf numFmtId="164" fontId="3" fillId="3" borderId="0" xfId="3" applyNumberFormat="1" applyFill="1" applyAlignment="1">
      <alignment horizontal="right"/>
    </xf>
    <xf numFmtId="164" fontId="0" fillId="3" borderId="0" xfId="8" applyNumberFormat="1" applyFont="1" applyFill="1" applyAlignment="1">
      <alignment horizontal="right"/>
    </xf>
    <xf numFmtId="164" fontId="0" fillId="3" borderId="23" xfId="8" applyNumberFormat="1" applyFont="1" applyFill="1" applyBorder="1" applyAlignment="1">
      <alignment horizontal="right"/>
    </xf>
    <xf numFmtId="2" fontId="16" fillId="3" borderId="7" xfId="3" applyNumberFormat="1" applyFont="1" applyFill="1" applyBorder="1" applyAlignment="1">
      <alignment horizontal="right"/>
    </xf>
    <xf numFmtId="164" fontId="16" fillId="3" borderId="0" xfId="3" applyNumberFormat="1" applyFont="1" applyFill="1" applyAlignment="1">
      <alignment horizontal="right"/>
    </xf>
    <xf numFmtId="164" fontId="8" fillId="3" borderId="0" xfId="3" applyNumberFormat="1" applyFont="1" applyFill="1" applyAlignment="1">
      <alignment horizontal="right"/>
    </xf>
    <xf numFmtId="2" fontId="16" fillId="3" borderId="0" xfId="3" applyNumberFormat="1" applyFont="1" applyFill="1" applyAlignment="1">
      <alignment horizontal="right"/>
    </xf>
    <xf numFmtId="164" fontId="8" fillId="3" borderId="23" xfId="3" applyNumberFormat="1" applyFont="1" applyFill="1" applyBorder="1" applyAlignment="1">
      <alignment horizontal="right"/>
    </xf>
    <xf numFmtId="164" fontId="3" fillId="3" borderId="23" xfId="3" applyNumberFormat="1" applyFill="1" applyBorder="1" applyAlignment="1">
      <alignment horizontal="right"/>
    </xf>
    <xf numFmtId="2" fontId="3" fillId="0" borderId="7" xfId="3" applyNumberFormat="1" applyBorder="1" applyAlignment="1">
      <alignment horizontal="right"/>
    </xf>
    <xf numFmtId="164" fontId="3" fillId="0" borderId="23" xfId="3" applyNumberFormat="1" applyBorder="1" applyAlignment="1">
      <alignment horizontal="right"/>
    </xf>
    <xf numFmtId="2" fontId="16" fillId="15" borderId="7" xfId="3" applyNumberFormat="1" applyFont="1" applyFill="1" applyBorder="1" applyAlignment="1">
      <alignment horizontal="right"/>
    </xf>
    <xf numFmtId="164" fontId="16" fillId="15" borderId="0" xfId="3" applyNumberFormat="1" applyFont="1" applyFill="1" applyAlignment="1">
      <alignment horizontal="right"/>
    </xf>
    <xf numFmtId="164" fontId="8" fillId="15" borderId="0" xfId="3" applyNumberFormat="1" applyFont="1" applyFill="1" applyAlignment="1">
      <alignment horizontal="right"/>
    </xf>
    <xf numFmtId="2" fontId="16" fillId="15" borderId="0" xfId="3" applyNumberFormat="1" applyFont="1" applyFill="1" applyAlignment="1">
      <alignment horizontal="right"/>
    </xf>
    <xf numFmtId="164" fontId="8" fillId="15" borderId="23" xfId="3" applyNumberFormat="1" applyFont="1" applyFill="1" applyBorder="1" applyAlignment="1">
      <alignment horizontal="right"/>
    </xf>
    <xf numFmtId="164" fontId="0" fillId="15" borderId="0" xfId="9" applyNumberFormat="1" applyFont="1" applyFill="1" applyAlignment="1">
      <alignment horizontal="right"/>
    </xf>
    <xf numFmtId="164" fontId="0" fillId="15" borderId="23" xfId="9" applyNumberFormat="1" applyFont="1" applyFill="1" applyBorder="1" applyAlignment="1">
      <alignment horizontal="right"/>
    </xf>
    <xf numFmtId="164" fontId="0" fillId="3" borderId="0" xfId="9" applyNumberFormat="1" applyFont="1" applyFill="1" applyAlignment="1">
      <alignment horizontal="right"/>
    </xf>
    <xf numFmtId="164" fontId="0" fillId="3" borderId="23" xfId="9" applyNumberFormat="1" applyFont="1" applyFill="1" applyBorder="1" applyAlignment="1">
      <alignment horizontal="right"/>
    </xf>
    <xf numFmtId="164" fontId="8" fillId="3" borderId="0" xfId="9" applyNumberFormat="1" applyFont="1" applyFill="1" applyAlignment="1">
      <alignment horizontal="right"/>
    </xf>
    <xf numFmtId="164" fontId="8" fillId="3" borderId="23" xfId="9" applyNumberFormat="1" applyFont="1" applyFill="1" applyBorder="1" applyAlignment="1">
      <alignment horizontal="right"/>
    </xf>
    <xf numFmtId="164" fontId="3" fillId="3" borderId="0" xfId="1" applyNumberFormat="1" applyFill="1" applyAlignment="1">
      <alignment horizontal="right"/>
    </xf>
    <xf numFmtId="164" fontId="3" fillId="3" borderId="23" xfId="1" applyNumberFormat="1" applyFill="1" applyBorder="1" applyAlignment="1">
      <alignment horizontal="right"/>
    </xf>
    <xf numFmtId="0" fontId="3" fillId="0" borderId="17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6" xfId="0" applyNumberFormat="1" applyFont="1" applyBorder="1" applyAlignment="1">
      <alignment horizontal="right"/>
    </xf>
    <xf numFmtId="0" fontId="8" fillId="3" borderId="7" xfId="3" applyFont="1" applyFill="1" applyBorder="1" applyAlignment="1">
      <alignment horizontal="right"/>
    </xf>
    <xf numFmtId="0" fontId="8" fillId="3" borderId="0" xfId="3" applyFont="1" applyFill="1" applyAlignment="1">
      <alignment horizontal="right"/>
    </xf>
    <xf numFmtId="0" fontId="8" fillId="15" borderId="7" xfId="3" applyFont="1" applyFill="1" applyBorder="1" applyAlignment="1">
      <alignment horizontal="right"/>
    </xf>
    <xf numFmtId="0" fontId="8" fillId="15" borderId="0" xfId="3" applyFont="1" applyFill="1" applyAlignment="1">
      <alignment horizontal="right"/>
    </xf>
    <xf numFmtId="0" fontId="8" fillId="15" borderId="7" xfId="3" applyFont="1" applyFill="1" applyBorder="1" applyAlignment="1">
      <alignment horizontal="center"/>
    </xf>
    <xf numFmtId="0" fontId="8" fillId="15" borderId="0" xfId="3" applyFont="1" applyFill="1" applyAlignment="1">
      <alignment horizontal="center"/>
    </xf>
    <xf numFmtId="0" fontId="28" fillId="0" borderId="4" xfId="3" applyFont="1" applyBorder="1" applyAlignment="1">
      <alignment horizontal="left" vertical="center"/>
    </xf>
    <xf numFmtId="2" fontId="16" fillId="3" borderId="4" xfId="3" applyNumberFormat="1" applyFont="1" applyFill="1" applyBorder="1" applyAlignment="1">
      <alignment horizontal="right"/>
    </xf>
    <xf numFmtId="2" fontId="16" fillId="15" borderId="4" xfId="3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2" fontId="3" fillId="15" borderId="0" xfId="3" applyNumberFormat="1" applyFill="1" applyAlignment="1">
      <alignment horizontal="right"/>
    </xf>
    <xf numFmtId="2" fontId="3" fillId="3" borderId="0" xfId="3" applyNumberFormat="1" applyFill="1" applyAlignment="1">
      <alignment horizontal="right"/>
    </xf>
    <xf numFmtId="2" fontId="3" fillId="0" borderId="0" xfId="3" applyNumberFormat="1" applyAlignment="1">
      <alignment horizontal="right"/>
    </xf>
    <xf numFmtId="0" fontId="28" fillId="0" borderId="5" xfId="3" applyFont="1" applyBorder="1" applyAlignment="1">
      <alignment horizontal="left" vertical="center"/>
    </xf>
    <xf numFmtId="164" fontId="3" fillId="15" borderId="5" xfId="3" applyNumberFormat="1" applyFill="1" applyBorder="1" applyAlignment="1">
      <alignment horizontal="right"/>
    </xf>
    <xf numFmtId="164" fontId="0" fillId="3" borderId="5" xfId="8" applyNumberFormat="1" applyFont="1" applyFill="1" applyBorder="1" applyAlignment="1">
      <alignment horizontal="right"/>
    </xf>
    <xf numFmtId="164" fontId="8" fillId="3" borderId="5" xfId="3" applyNumberFormat="1" applyFont="1" applyFill="1" applyBorder="1" applyAlignment="1">
      <alignment horizontal="right"/>
    </xf>
    <xf numFmtId="164" fontId="3" fillId="3" borderId="5" xfId="3" applyNumberFormat="1" applyFill="1" applyBorder="1" applyAlignment="1">
      <alignment horizontal="right"/>
    </xf>
    <xf numFmtId="164" fontId="8" fillId="15" borderId="5" xfId="3" applyNumberFormat="1" applyFont="1" applyFill="1" applyBorder="1" applyAlignment="1">
      <alignment horizontal="right"/>
    </xf>
    <xf numFmtId="164" fontId="0" fillId="15" borderId="5" xfId="9" applyNumberFormat="1" applyFont="1" applyFill="1" applyBorder="1" applyAlignment="1">
      <alignment horizontal="right"/>
    </xf>
    <xf numFmtId="164" fontId="0" fillId="3" borderId="5" xfId="9" applyNumberFormat="1" applyFont="1" applyFill="1" applyBorder="1" applyAlignment="1">
      <alignment horizontal="right"/>
    </xf>
    <xf numFmtId="164" fontId="8" fillId="3" borderId="5" xfId="9" applyNumberFormat="1" applyFont="1" applyFill="1" applyBorder="1" applyAlignment="1">
      <alignment horizontal="right"/>
    </xf>
    <xf numFmtId="164" fontId="3" fillId="3" borderId="5" xfId="1" applyNumberFormat="1" applyFill="1" applyBorder="1" applyAlignment="1">
      <alignment horizontal="right"/>
    </xf>
    <xf numFmtId="164" fontId="3" fillId="0" borderId="18" xfId="0" applyNumberFormat="1" applyFont="1" applyBorder="1" applyAlignment="1">
      <alignment horizontal="right"/>
    </xf>
    <xf numFmtId="164" fontId="0" fillId="0" borderId="0" xfId="8" applyNumberFormat="1" applyFont="1" applyAlignment="1">
      <alignment horizontal="right"/>
    </xf>
    <xf numFmtId="164" fontId="0" fillId="0" borderId="23" xfId="8" applyNumberFormat="1" applyFont="1" applyBorder="1" applyAlignment="1">
      <alignment horizontal="right"/>
    </xf>
    <xf numFmtId="2" fontId="16" fillId="0" borderId="7" xfId="3" applyNumberFormat="1" applyFont="1" applyBorder="1" applyAlignment="1">
      <alignment horizontal="right"/>
    </xf>
    <xf numFmtId="164" fontId="16" fillId="0" borderId="0" xfId="3" applyNumberFormat="1" applyFont="1" applyAlignment="1">
      <alignment horizontal="right"/>
    </xf>
    <xf numFmtId="164" fontId="8" fillId="0" borderId="0" xfId="3" applyNumberFormat="1" applyFont="1" applyAlignment="1">
      <alignment horizontal="right"/>
    </xf>
    <xf numFmtId="2" fontId="16" fillId="0" borderId="0" xfId="3" applyNumberFormat="1" applyFont="1" applyAlignment="1">
      <alignment horizontal="right"/>
    </xf>
    <xf numFmtId="164" fontId="8" fillId="0" borderId="23" xfId="3" applyNumberFormat="1" applyFont="1" applyBorder="1" applyAlignment="1">
      <alignment horizontal="right"/>
    </xf>
    <xf numFmtId="164" fontId="0" fillId="0" borderId="0" xfId="9" applyNumberFormat="1" applyFont="1" applyAlignment="1">
      <alignment horizontal="right"/>
    </xf>
    <xf numFmtId="164" fontId="0" fillId="0" borderId="23" xfId="9" applyNumberFormat="1" applyFont="1" applyBorder="1" applyAlignment="1">
      <alignment horizontal="right"/>
    </xf>
    <xf numFmtId="164" fontId="8" fillId="0" borderId="0" xfId="9" applyNumberFormat="1" applyFont="1" applyAlignment="1">
      <alignment horizontal="right"/>
    </xf>
    <xf numFmtId="164" fontId="8" fillId="0" borderId="23" xfId="9" applyNumberFormat="1" applyFont="1" applyBorder="1" applyAlignment="1">
      <alignment horizontal="right"/>
    </xf>
    <xf numFmtId="164" fontId="3" fillId="0" borderId="0" xfId="1" applyNumberFormat="1" applyAlignment="1">
      <alignment horizontal="right"/>
    </xf>
    <xf numFmtId="164" fontId="3" fillId="0" borderId="23" xfId="1" applyNumberFormat="1" applyBorder="1" applyAlignment="1">
      <alignment horizontal="right"/>
    </xf>
    <xf numFmtId="2" fontId="16" fillId="0" borderId="4" xfId="3" applyNumberFormat="1" applyFont="1" applyBorder="1" applyAlignment="1">
      <alignment horizontal="right"/>
    </xf>
    <xf numFmtId="164" fontId="0" fillId="0" borderId="5" xfId="8" applyNumberFormat="1" applyFont="1" applyBorder="1" applyAlignment="1">
      <alignment horizontal="right"/>
    </xf>
    <xf numFmtId="164" fontId="8" fillId="0" borderId="5" xfId="3" applyNumberFormat="1" applyFont="1" applyBorder="1" applyAlignment="1">
      <alignment horizontal="right"/>
    </xf>
    <xf numFmtId="164" fontId="0" fillId="0" borderId="5" xfId="9" applyNumberFormat="1" applyFont="1" applyBorder="1" applyAlignment="1">
      <alignment horizontal="right"/>
    </xf>
    <xf numFmtId="164" fontId="8" fillId="0" borderId="5" xfId="9" applyNumberFormat="1" applyFont="1" applyBorder="1" applyAlignment="1">
      <alignment horizontal="right"/>
    </xf>
    <xf numFmtId="164" fontId="3" fillId="0" borderId="5" xfId="1" applyNumberFormat="1" applyBorder="1" applyAlignment="1">
      <alignment horizontal="right"/>
    </xf>
    <xf numFmtId="0" fontId="18" fillId="0" borderId="0" xfId="0" applyFont="1"/>
    <xf numFmtId="0" fontId="9" fillId="0" borderId="0" xfId="2" applyFont="1" applyAlignment="1">
      <alignment horizontal="right"/>
    </xf>
    <xf numFmtId="0" fontId="10" fillId="0" borderId="4" xfId="3" applyFont="1" applyBorder="1" applyAlignment="1">
      <alignment horizontal="right"/>
    </xf>
    <xf numFmtId="0" fontId="9" fillId="0" borderId="4" xfId="0" quotePrefix="1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3" fillId="0" borderId="10" xfId="3" applyBorder="1" applyAlignment="1">
      <alignment horizontal="right"/>
    </xf>
    <xf numFmtId="0" fontId="3" fillId="0" borderId="2" xfId="3" applyBorder="1" applyAlignment="1">
      <alignment horizontal="right"/>
    </xf>
    <xf numFmtId="0" fontId="3" fillId="0" borderId="11" xfId="3" applyBorder="1" applyAlignment="1">
      <alignment horizontal="right"/>
    </xf>
    <xf numFmtId="164" fontId="3" fillId="0" borderId="12" xfId="3" applyNumberForma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3" fillId="0" borderId="15" xfId="3" applyBorder="1" applyAlignment="1">
      <alignment horizontal="right"/>
    </xf>
    <xf numFmtId="0" fontId="3" fillId="0" borderId="1" xfId="3" applyBorder="1" applyAlignment="1">
      <alignment horizontal="right"/>
    </xf>
    <xf numFmtId="164" fontId="3" fillId="0" borderId="16" xfId="3" applyNumberFormat="1" applyBorder="1" applyAlignment="1">
      <alignment horizontal="right"/>
    </xf>
    <xf numFmtId="0" fontId="3" fillId="0" borderId="17" xfId="3" applyBorder="1" applyAlignment="1">
      <alignment horizontal="right"/>
    </xf>
    <xf numFmtId="164" fontId="3" fillId="0" borderId="1" xfId="3" applyNumberFormat="1" applyBorder="1" applyAlignment="1">
      <alignment horizontal="right"/>
    </xf>
    <xf numFmtId="0" fontId="3" fillId="0" borderId="14" xfId="3" applyBorder="1" applyAlignment="1">
      <alignment horizontal="right"/>
    </xf>
    <xf numFmtId="164" fontId="3" fillId="0" borderId="18" xfId="3" applyNumberFormat="1" applyBorder="1" applyAlignment="1">
      <alignment horizontal="right"/>
    </xf>
    <xf numFmtId="0" fontId="3" fillId="0" borderId="35" xfId="3" applyBorder="1" applyAlignment="1">
      <alignment horizontal="right"/>
    </xf>
    <xf numFmtId="164" fontId="3" fillId="0" borderId="36" xfId="3" applyNumberFormat="1" applyBorder="1" applyAlignment="1">
      <alignment horizontal="right"/>
    </xf>
    <xf numFmtId="0" fontId="3" fillId="0" borderId="7" xfId="3" applyBorder="1" applyAlignment="1">
      <alignment horizontal="right"/>
    </xf>
    <xf numFmtId="0" fontId="0" fillId="0" borderId="17" xfId="0" applyBorder="1"/>
    <xf numFmtId="164" fontId="0" fillId="0" borderId="18" xfId="0" applyNumberFormat="1" applyBorder="1"/>
    <xf numFmtId="0" fontId="0" fillId="0" borderId="14" xfId="0" applyBorder="1"/>
    <xf numFmtId="0" fontId="0" fillId="0" borderId="1" xfId="3" applyFont="1" applyBorder="1" applyAlignment="1">
      <alignment horizontal="right"/>
    </xf>
    <xf numFmtId="164" fontId="0" fillId="0" borderId="16" xfId="0" applyNumberFormat="1" applyBorder="1"/>
    <xf numFmtId="0" fontId="0" fillId="0" borderId="16" xfId="0" applyBorder="1"/>
    <xf numFmtId="0" fontId="3" fillId="0" borderId="39" xfId="3" applyBorder="1" applyAlignment="1">
      <alignment horizontal="left" vertical="center"/>
    </xf>
    <xf numFmtId="0" fontId="3" fillId="0" borderId="40" xfId="3" applyBorder="1" applyAlignment="1">
      <alignment horizontal="center" vertical="center"/>
    </xf>
    <xf numFmtId="0" fontId="3" fillId="0" borderId="30" xfId="3" applyBorder="1" applyAlignment="1">
      <alignment horizontal="right" vertical="center"/>
    </xf>
    <xf numFmtId="0" fontId="3" fillId="0" borderId="41" xfId="3" applyBorder="1" applyAlignment="1">
      <alignment horizontal="left" vertical="center"/>
    </xf>
    <xf numFmtId="0" fontId="3" fillId="0" borderId="40" xfId="3" applyBorder="1" applyAlignment="1">
      <alignment horizontal="left" vertical="center"/>
    </xf>
    <xf numFmtId="164" fontId="3" fillId="0" borderId="40" xfId="3" applyNumberFormat="1" applyBorder="1" applyAlignment="1">
      <alignment horizontal="left" vertical="center"/>
    </xf>
    <xf numFmtId="164" fontId="3" fillId="0" borderId="42" xfId="3" applyNumberFormat="1" applyBorder="1" applyAlignment="1">
      <alignment horizontal="left" vertical="center"/>
    </xf>
    <xf numFmtId="0" fontId="3" fillId="0" borderId="42" xfId="3" applyBorder="1" applyAlignment="1">
      <alignment horizontal="left" vertical="center"/>
    </xf>
    <xf numFmtId="0" fontId="3" fillId="0" borderId="20" xfId="3" applyBorder="1" applyAlignment="1">
      <alignment horizontal="left"/>
    </xf>
    <xf numFmtId="0" fontId="3" fillId="0" borderId="7" xfId="3" applyBorder="1" applyAlignment="1">
      <alignment horizontal="left"/>
    </xf>
    <xf numFmtId="0" fontId="0" fillId="0" borderId="0" xfId="8" applyFont="1" applyAlignment="1">
      <alignment horizontal="right"/>
    </xf>
    <xf numFmtId="0" fontId="2" fillId="0" borderId="0" xfId="9" applyAlignment="1">
      <alignment horizontal="right"/>
    </xf>
    <xf numFmtId="0" fontId="0" fillId="0" borderId="0" xfId="2" applyFont="1" applyAlignment="1">
      <alignment horizontal="right"/>
    </xf>
    <xf numFmtId="1" fontId="3" fillId="0" borderId="7" xfId="3" quotePrefix="1" applyNumberFormat="1" applyBorder="1" applyAlignment="1">
      <alignment horizontal="left"/>
    </xf>
    <xf numFmtId="0" fontId="3" fillId="0" borderId="7" xfId="3" quotePrefix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3" fillId="0" borderId="17" xfId="3" applyBorder="1"/>
    <xf numFmtId="0" fontId="3" fillId="0" borderId="43" xfId="3" applyBorder="1" applyAlignment="1">
      <alignment horizontal="left" vertical="center"/>
    </xf>
    <xf numFmtId="0" fontId="3" fillId="0" borderId="9" xfId="3" applyBorder="1" applyAlignment="1">
      <alignment horizontal="left" vertical="center"/>
    </xf>
    <xf numFmtId="0" fontId="3" fillId="0" borderId="0" xfId="3" applyAlignment="1">
      <alignment horizontal="left"/>
    </xf>
    <xf numFmtId="0" fontId="15" fillId="5" borderId="34" xfId="3" applyFont="1" applyFill="1" applyBorder="1" applyAlignment="1">
      <alignment horizontal="left" vertical="center"/>
    </xf>
    <xf numFmtId="0" fontId="15" fillId="5" borderId="37" xfId="3" applyFont="1" applyFill="1" applyBorder="1" applyAlignment="1">
      <alignment horizontal="left" vertical="center"/>
    </xf>
    <xf numFmtId="164" fontId="15" fillId="5" borderId="38" xfId="3" applyNumberFormat="1" applyFont="1" applyFill="1" applyBorder="1" applyAlignment="1">
      <alignment horizontal="left" vertical="center"/>
    </xf>
    <xf numFmtId="0" fontId="15" fillId="5" borderId="38" xfId="3" applyFont="1" applyFill="1" applyBorder="1" applyAlignment="1">
      <alignment horizontal="left" vertical="center"/>
    </xf>
    <xf numFmtId="0" fontId="15" fillId="5" borderId="28" xfId="3" applyFont="1" applyFill="1" applyBorder="1" applyAlignment="1">
      <alignment horizontal="left" vertical="center"/>
    </xf>
    <xf numFmtId="0" fontId="15" fillId="5" borderId="40" xfId="3" applyFont="1" applyFill="1" applyBorder="1" applyAlignment="1">
      <alignment horizontal="center" vertical="center"/>
    </xf>
    <xf numFmtId="0" fontId="15" fillId="5" borderId="30" xfId="3" applyFont="1" applyFill="1" applyBorder="1" applyAlignment="1">
      <alignment horizontal="right" vertical="center"/>
    </xf>
    <xf numFmtId="0" fontId="15" fillId="5" borderId="41" xfId="3" applyFont="1" applyFill="1" applyBorder="1" applyAlignment="1">
      <alignment horizontal="left" vertical="center"/>
    </xf>
    <xf numFmtId="0" fontId="15" fillId="5" borderId="40" xfId="3" applyFont="1" applyFill="1" applyBorder="1" applyAlignment="1">
      <alignment horizontal="left" vertical="center"/>
    </xf>
    <xf numFmtId="164" fontId="15" fillId="5" borderId="40" xfId="3" applyNumberFormat="1" applyFont="1" applyFill="1" applyBorder="1" applyAlignment="1">
      <alignment horizontal="left" vertical="center"/>
    </xf>
    <xf numFmtId="164" fontId="15" fillId="5" borderId="42" xfId="3" applyNumberFormat="1" applyFont="1" applyFill="1" applyBorder="1" applyAlignment="1">
      <alignment horizontal="left" vertical="center"/>
    </xf>
    <xf numFmtId="0" fontId="15" fillId="5" borderId="29" xfId="3" applyFont="1" applyFill="1" applyBorder="1" applyAlignment="1">
      <alignment horizontal="left" vertical="center"/>
    </xf>
    <xf numFmtId="0" fontId="15" fillId="5" borderId="42" xfId="3" applyFont="1" applyFill="1" applyBorder="1" applyAlignment="1">
      <alignment horizontal="left" vertical="center"/>
    </xf>
    <xf numFmtId="0" fontId="3" fillId="0" borderId="17" xfId="3" applyBorder="1" applyAlignment="1">
      <alignment horizontal="left"/>
    </xf>
    <xf numFmtId="0" fontId="0" fillId="0" borderId="1" xfId="0" applyBorder="1" applyAlignment="1">
      <alignment horizontal="right"/>
    </xf>
    <xf numFmtId="0" fontId="0" fillId="13" borderId="0" xfId="0" applyFill="1"/>
    <xf numFmtId="0" fontId="3" fillId="0" borderId="44" xfId="3" applyBorder="1" applyAlignment="1">
      <alignment horizontal="right"/>
    </xf>
    <xf numFmtId="0" fontId="3" fillId="0" borderId="46" xfId="3" applyBorder="1" applyAlignment="1">
      <alignment horizontal="right"/>
    </xf>
    <xf numFmtId="0" fontId="0" fillId="0" borderId="47" xfId="0" applyBorder="1"/>
    <xf numFmtId="164" fontId="0" fillId="0" borderId="48" xfId="0" applyNumberFormat="1" applyBorder="1"/>
    <xf numFmtId="0" fontId="0" fillId="0" borderId="49" xfId="0" applyBorder="1"/>
    <xf numFmtId="0" fontId="0" fillId="0" borderId="46" xfId="3" applyFont="1" applyBorder="1" applyAlignment="1">
      <alignment horizontal="right"/>
    </xf>
    <xf numFmtId="164" fontId="0" fillId="0" borderId="50" xfId="0" applyNumberFormat="1" applyBorder="1"/>
    <xf numFmtId="0" fontId="3" fillId="0" borderId="47" xfId="3" applyBorder="1" applyAlignment="1">
      <alignment horizontal="right"/>
    </xf>
    <xf numFmtId="164" fontId="3" fillId="0" borderId="46" xfId="3" applyNumberFormat="1" applyBorder="1" applyAlignment="1">
      <alignment horizontal="right"/>
    </xf>
    <xf numFmtId="164" fontId="3" fillId="0" borderId="50" xfId="3" applyNumberFormat="1" applyBorder="1" applyAlignment="1">
      <alignment horizontal="right"/>
    </xf>
    <xf numFmtId="0" fontId="3" fillId="0" borderId="49" xfId="3" applyBorder="1" applyAlignment="1">
      <alignment horizontal="right"/>
    </xf>
    <xf numFmtId="164" fontId="3" fillId="0" borderId="48" xfId="3" applyNumberFormat="1" applyBorder="1" applyAlignment="1">
      <alignment horizontal="right"/>
    </xf>
    <xf numFmtId="0" fontId="15" fillId="5" borderId="32" xfId="3" applyFont="1" applyFill="1" applyBorder="1" applyAlignment="1">
      <alignment horizontal="left" vertical="center"/>
    </xf>
    <xf numFmtId="0" fontId="15" fillId="5" borderId="33" xfId="3" applyFont="1" applyFill="1" applyBorder="1" applyAlignment="1">
      <alignment horizontal="left" vertical="center"/>
    </xf>
    <xf numFmtId="0" fontId="15" fillId="5" borderId="42" xfId="3" applyFont="1" applyFill="1" applyBorder="1" applyAlignment="1">
      <alignment horizontal="right" vertical="center"/>
    </xf>
    <xf numFmtId="0" fontId="3" fillId="0" borderId="45" xfId="3" applyBorder="1" applyAlignment="1">
      <alignment horizontal="left"/>
    </xf>
    <xf numFmtId="0" fontId="3" fillId="0" borderId="50" xfId="3" applyBorder="1" applyAlignment="1">
      <alignment horizontal="right"/>
    </xf>
    <xf numFmtId="0" fontId="3" fillId="15" borderId="7" xfId="3" applyFill="1" applyBorder="1" applyAlignment="1">
      <alignment horizontal="right"/>
    </xf>
    <xf numFmtId="0" fontId="3" fillId="15" borderId="0" xfId="3" applyFill="1" applyAlignment="1">
      <alignment horizontal="right"/>
    </xf>
    <xf numFmtId="0" fontId="3" fillId="15" borderId="4" xfId="3" applyFill="1" applyBorder="1" applyAlignment="1">
      <alignment horizontal="right"/>
    </xf>
    <xf numFmtId="0" fontId="3" fillId="15" borderId="11" xfId="3" applyFill="1" applyBorder="1" applyAlignment="1">
      <alignment horizontal="right"/>
    </xf>
    <xf numFmtId="164" fontId="3" fillId="15" borderId="2" xfId="3" applyNumberFormat="1" applyFill="1" applyBorder="1" applyAlignment="1">
      <alignment horizontal="right"/>
    </xf>
    <xf numFmtId="164" fontId="3" fillId="15" borderId="12" xfId="3" applyNumberFormat="1" applyFill="1" applyBorder="1" applyAlignment="1">
      <alignment horizontal="right"/>
    </xf>
    <xf numFmtId="0" fontId="3" fillId="3" borderId="7" xfId="3" applyFill="1" applyBorder="1" applyAlignment="1">
      <alignment horizontal="right"/>
    </xf>
    <xf numFmtId="0" fontId="3" fillId="3" borderId="0" xfId="3" applyFill="1" applyAlignment="1">
      <alignment horizontal="right"/>
    </xf>
    <xf numFmtId="0" fontId="3" fillId="3" borderId="4" xfId="3" applyFill="1" applyBorder="1" applyAlignment="1">
      <alignment horizontal="right"/>
    </xf>
    <xf numFmtId="0" fontId="3" fillId="0" borderId="23" xfId="3" applyBorder="1" applyAlignment="1">
      <alignment horizontal="right"/>
    </xf>
    <xf numFmtId="0" fontId="2" fillId="0" borderId="23" xfId="9" applyBorder="1" applyAlignment="1">
      <alignment horizontal="right"/>
    </xf>
    <xf numFmtId="0" fontId="0" fillId="0" borderId="23" xfId="0" applyBorder="1" applyAlignment="1">
      <alignment horizontal="right"/>
    </xf>
    <xf numFmtId="0" fontId="2" fillId="0" borderId="23" xfId="10" applyBorder="1" applyAlignment="1">
      <alignment horizontal="right"/>
    </xf>
    <xf numFmtId="0" fontId="0" fillId="0" borderId="23" xfId="1" applyFont="1" applyBorder="1" applyAlignment="1">
      <alignment horizontal="right"/>
    </xf>
    <xf numFmtId="0" fontId="2" fillId="0" borderId="23" xfId="1" applyFont="1" applyBorder="1" applyAlignment="1">
      <alignment horizontal="right"/>
    </xf>
    <xf numFmtId="0" fontId="12" fillId="6" borderId="20" xfId="1" applyFont="1" applyFill="1" applyBorder="1" applyAlignment="1">
      <alignment horizontal="center" vertical="top"/>
    </xf>
    <xf numFmtId="0" fontId="12" fillId="6" borderId="21" xfId="1" applyFont="1" applyFill="1" applyBorder="1" applyAlignment="1">
      <alignment horizontal="center" vertical="top"/>
    </xf>
    <xf numFmtId="0" fontId="12" fillId="6" borderId="22" xfId="1" applyFont="1" applyFill="1" applyBorder="1" applyAlignment="1">
      <alignment horizontal="center" vertical="top"/>
    </xf>
    <xf numFmtId="0" fontId="12" fillId="8" borderId="20" xfId="1" applyFont="1" applyFill="1" applyBorder="1" applyAlignment="1">
      <alignment horizontal="center" vertical="top"/>
    </xf>
    <xf numFmtId="0" fontId="12" fillId="8" borderId="21" xfId="1" applyFont="1" applyFill="1" applyBorder="1" applyAlignment="1">
      <alignment horizontal="center" vertical="top"/>
    </xf>
    <xf numFmtId="0" fontId="12" fillId="8" borderId="22" xfId="1" applyFont="1" applyFill="1" applyBorder="1" applyAlignment="1">
      <alignment horizontal="center" vertical="top"/>
    </xf>
    <xf numFmtId="0" fontId="12" fillId="11" borderId="20" xfId="1" applyFont="1" applyFill="1" applyBorder="1" applyAlignment="1">
      <alignment horizontal="center" vertical="top"/>
    </xf>
    <xf numFmtId="0" fontId="12" fillId="11" borderId="21" xfId="1" applyFont="1" applyFill="1" applyBorder="1" applyAlignment="1">
      <alignment horizontal="center" vertical="top"/>
    </xf>
    <xf numFmtId="0" fontId="12" fillId="11" borderId="22" xfId="1" applyFont="1" applyFill="1" applyBorder="1" applyAlignment="1">
      <alignment horizontal="center" vertical="top"/>
    </xf>
    <xf numFmtId="0" fontId="12" fillId="3" borderId="20" xfId="1" applyFont="1" applyFill="1" applyBorder="1" applyAlignment="1">
      <alignment horizontal="center" vertical="top" wrapText="1"/>
    </xf>
    <xf numFmtId="0" fontId="12" fillId="3" borderId="21" xfId="1" applyFont="1" applyFill="1" applyBorder="1" applyAlignment="1">
      <alignment horizontal="center" vertical="top" wrapText="1"/>
    </xf>
    <xf numFmtId="0" fontId="12" fillId="3" borderId="22" xfId="1" applyFont="1" applyFill="1" applyBorder="1" applyAlignment="1">
      <alignment horizontal="center" vertical="top" wrapText="1"/>
    </xf>
    <xf numFmtId="0" fontId="12" fillId="9" borderId="20" xfId="1" applyFont="1" applyFill="1" applyBorder="1" applyAlignment="1">
      <alignment horizontal="center" vertical="top"/>
    </xf>
    <xf numFmtId="0" fontId="12" fillId="9" borderId="21" xfId="1" applyFont="1" applyFill="1" applyBorder="1" applyAlignment="1">
      <alignment horizontal="center" vertical="top"/>
    </xf>
    <xf numFmtId="0" fontId="12" fillId="9" borderId="22" xfId="1" applyFont="1" applyFill="1" applyBorder="1" applyAlignment="1">
      <alignment horizontal="center" vertical="top"/>
    </xf>
    <xf numFmtId="0" fontId="12" fillId="13" borderId="20" xfId="1" applyFont="1" applyFill="1" applyBorder="1" applyAlignment="1">
      <alignment horizontal="center" vertical="top"/>
    </xf>
    <xf numFmtId="0" fontId="12" fillId="13" borderId="21" xfId="1" applyFont="1" applyFill="1" applyBorder="1" applyAlignment="1">
      <alignment horizontal="center" vertical="top"/>
    </xf>
    <xf numFmtId="0" fontId="12" fillId="13" borderId="22" xfId="1" applyFont="1" applyFill="1" applyBorder="1" applyAlignment="1">
      <alignment horizontal="center" vertical="top"/>
    </xf>
    <xf numFmtId="2" fontId="23" fillId="0" borderId="24" xfId="1" applyNumberFormat="1" applyFont="1" applyBorder="1" applyAlignment="1">
      <alignment horizontal="center"/>
    </xf>
    <xf numFmtId="2" fontId="23" fillId="0" borderId="25" xfId="1" applyNumberFormat="1" applyFont="1" applyBorder="1" applyAlignment="1">
      <alignment horizontal="center"/>
    </xf>
    <xf numFmtId="2" fontId="23" fillId="0" borderId="26" xfId="1" applyNumberFormat="1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2" fillId="0" borderId="20" xfId="1" applyFont="1" applyBorder="1" applyAlignment="1">
      <alignment horizontal="center"/>
    </xf>
    <xf numFmtId="0" fontId="22" fillId="0" borderId="21" xfId="1" applyFont="1" applyBorder="1" applyAlignment="1">
      <alignment horizontal="center"/>
    </xf>
    <xf numFmtId="0" fontId="22" fillId="0" borderId="22" xfId="1" applyFont="1" applyBorder="1" applyAlignment="1">
      <alignment horizontal="center"/>
    </xf>
    <xf numFmtId="0" fontId="12" fillId="10" borderId="20" xfId="1" applyFont="1" applyFill="1" applyBorder="1" applyAlignment="1">
      <alignment horizontal="center" vertical="top" wrapText="1"/>
    </xf>
    <xf numFmtId="0" fontId="12" fillId="10" borderId="21" xfId="1" applyFont="1" applyFill="1" applyBorder="1" applyAlignment="1">
      <alignment horizontal="center" vertical="top" wrapText="1"/>
    </xf>
    <xf numFmtId="0" fontId="12" fillId="10" borderId="22" xfId="1" applyFont="1" applyFill="1" applyBorder="1" applyAlignment="1">
      <alignment horizontal="center" vertical="top" wrapText="1"/>
    </xf>
    <xf numFmtId="0" fontId="12" fillId="12" borderId="20" xfId="1" applyFont="1" applyFill="1" applyBorder="1" applyAlignment="1">
      <alignment horizontal="center" vertical="top" wrapText="1"/>
    </xf>
    <xf numFmtId="0" fontId="12" fillId="12" borderId="21" xfId="1" applyFont="1" applyFill="1" applyBorder="1" applyAlignment="1">
      <alignment horizontal="center" vertical="top" wrapText="1"/>
    </xf>
    <xf numFmtId="0" fontId="12" fillId="12" borderId="22" xfId="1" applyFont="1" applyFill="1" applyBorder="1" applyAlignment="1">
      <alignment horizontal="center" vertical="top" wrapText="1"/>
    </xf>
    <xf numFmtId="0" fontId="12" fillId="10" borderId="20" xfId="1" applyFont="1" applyFill="1" applyBorder="1" applyAlignment="1">
      <alignment horizontal="center" vertical="top"/>
    </xf>
    <xf numFmtId="0" fontId="12" fillId="10" borderId="21" xfId="1" applyFont="1" applyFill="1" applyBorder="1" applyAlignment="1">
      <alignment horizontal="center" vertical="top"/>
    </xf>
    <xf numFmtId="0" fontId="12" fillId="10" borderId="22" xfId="1" applyFont="1" applyFill="1" applyBorder="1" applyAlignment="1">
      <alignment horizontal="center" vertical="top"/>
    </xf>
    <xf numFmtId="0" fontId="22" fillId="0" borderId="24" xfId="1" applyFont="1" applyBorder="1" applyAlignment="1">
      <alignment horizontal="center"/>
    </xf>
    <xf numFmtId="0" fontId="22" fillId="0" borderId="25" xfId="1" applyFont="1" applyBorder="1" applyAlignment="1">
      <alignment horizontal="center"/>
    </xf>
    <xf numFmtId="0" fontId="22" fillId="0" borderId="26" xfId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20" fillId="16" borderId="20" xfId="0" applyFont="1" applyFill="1" applyBorder="1" applyAlignment="1">
      <alignment horizontal="left" vertical="top" wrapText="1"/>
    </xf>
    <xf numFmtId="0" fontId="20" fillId="16" borderId="21" xfId="0" applyFont="1" applyFill="1" applyBorder="1" applyAlignment="1">
      <alignment horizontal="left" vertical="top" wrapText="1"/>
    </xf>
    <xf numFmtId="0" fontId="20" fillId="16" borderId="22" xfId="0" applyFont="1" applyFill="1" applyBorder="1" applyAlignment="1">
      <alignment horizontal="left" vertical="top" wrapText="1"/>
    </xf>
    <xf numFmtId="0" fontId="20" fillId="7" borderId="20" xfId="0" applyFont="1" applyFill="1" applyBorder="1" applyAlignment="1">
      <alignment horizontal="left" vertical="top" wrapText="1"/>
    </xf>
    <xf numFmtId="0" fontId="20" fillId="7" borderId="21" xfId="0" applyFont="1" applyFill="1" applyBorder="1" applyAlignment="1">
      <alignment horizontal="left" vertical="top" wrapText="1"/>
    </xf>
    <xf numFmtId="0" fontId="20" fillId="7" borderId="22" xfId="0" applyFont="1" applyFill="1" applyBorder="1" applyAlignment="1">
      <alignment horizontal="left" vertical="top" wrapText="1"/>
    </xf>
    <xf numFmtId="0" fontId="20" fillId="13" borderId="20" xfId="0" applyFont="1" applyFill="1" applyBorder="1" applyAlignment="1">
      <alignment horizontal="center" vertical="top"/>
    </xf>
    <xf numFmtId="0" fontId="20" fillId="13" borderId="21" xfId="0" applyFont="1" applyFill="1" applyBorder="1" applyAlignment="1">
      <alignment horizontal="center" vertical="top"/>
    </xf>
    <xf numFmtId="0" fontId="20" fillId="13" borderId="22" xfId="0" applyFont="1" applyFill="1" applyBorder="1" applyAlignment="1">
      <alignment horizontal="center" vertical="top"/>
    </xf>
    <xf numFmtId="0" fontId="1" fillId="13" borderId="7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23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32" fillId="13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4" fillId="13" borderId="0" xfId="0" applyFont="1" applyFill="1" applyAlignment="1">
      <alignment horizontal="left"/>
    </xf>
  </cellXfs>
  <cellStyles count="11">
    <cellStyle name="Hyperlink 2 2" xfId="7" xr:uid="{C8AF7AA0-DEDA-4871-A11D-703D4B727887}"/>
    <cellStyle name="Normal" xfId="0" builtinId="0"/>
    <cellStyle name="Normal 10" xfId="4" xr:uid="{00000000-0005-0000-0000-000001000000}"/>
    <cellStyle name="Normal 10 3" xfId="6" xr:uid="{F3541DBD-CF25-4447-A210-96242E813325}"/>
    <cellStyle name="Normal 13" xfId="10" xr:uid="{168D8ACA-FA05-4BF6-9CFC-CA0E2CC9DD72}"/>
    <cellStyle name="Normal 14" xfId="3" xr:uid="{00000000-0005-0000-0000-000002000000}"/>
    <cellStyle name="Normal 19" xfId="5" xr:uid="{CA089E74-56BB-42D5-900A-DF07BC2F0BE0}"/>
    <cellStyle name="Normal 2" xfId="1" xr:uid="{00000000-0005-0000-0000-000003000000}"/>
    <cellStyle name="Normal 2 2" xfId="2" xr:uid="{00000000-0005-0000-0000-000004000000}"/>
    <cellStyle name="Normal 5 2" xfId="9" xr:uid="{17ACA5B7-ED4E-433B-A306-C423F0194F8E}"/>
    <cellStyle name="Normal 9" xfId="8" xr:uid="{7B7A5BB7-1699-4926-A636-4D8C34A39D2E}"/>
  </cellStyles>
  <dxfs count="1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sz val="11"/>
        <color auto="1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vertical/>
      </border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</border>
    </dxf>
    <dxf>
      <numFmt numFmtId="164" formatCode="0.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vertical/>
      </border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vertical/>
      </border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</dxf>
    <dxf>
      <numFmt numFmtId="164" formatCode="0.0"/>
      <border diagonalUp="0" diagonalDown="0">
        <left/>
        <right style="medium">
          <color indexed="64"/>
        </right>
        <vertical/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2" formatCode="0.00"/>
      <border diagonalUp="0" diagonalDown="0">
        <left style="medium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sz val="11"/>
        <color theme="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99FF"/>
      <color rgb="FF0066FF"/>
      <color rgb="FF66CCFF"/>
      <color rgb="FF009900"/>
      <color rgb="FFFFCC99"/>
      <color rgb="FFFFCCCC"/>
      <color rgb="FF00C491"/>
      <color rgb="FF33BBFF"/>
      <color rgb="FF00AC7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664696</xdr:colOff>
      <xdr:row>30</xdr:row>
      <xdr:rowOff>159370</xdr:rowOff>
    </xdr:from>
    <xdr:to>
      <xdr:col>3</xdr:col>
      <xdr:colOff>457560</xdr:colOff>
      <xdr:row>39</xdr:row>
      <xdr:rowOff>66550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D875C-0D44-4490-B42A-00E0F3B69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147" y="6285252"/>
          <a:ext cx="1900318" cy="15688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18</xdr:col>
      <xdr:colOff>67083</xdr:colOff>
      <xdr:row>18</xdr:row>
      <xdr:rowOff>107950</xdr:rowOff>
    </xdr:from>
    <xdr:to>
      <xdr:col>23</xdr:col>
      <xdr:colOff>525229</xdr:colOff>
      <xdr:row>28</xdr:row>
      <xdr:rowOff>102750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A68FE-783E-4087-9842-D6A8A3F67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587230" y="3884332"/>
          <a:ext cx="3556883" cy="1880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0</xdr:colOff>
      <xdr:row>70</xdr:row>
      <xdr:rowOff>76200</xdr:rowOff>
    </xdr:from>
    <xdr:to>
      <xdr:col>45</xdr:col>
      <xdr:colOff>363649</xdr:colOff>
      <xdr:row>80</xdr:row>
      <xdr:rowOff>105292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50F42-7185-46AB-B270-74567121C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2394333" y="12484100"/>
          <a:ext cx="3557699" cy="1850481"/>
        </a:xfrm>
        <a:prstGeom prst="rect">
          <a:avLst/>
        </a:prstGeom>
      </xdr:spPr>
    </xdr:pic>
    <xdr:clientData/>
  </xdr:twoCellAnchor>
  <xdr:twoCellAnchor editAs="oneCell">
    <xdr:from>
      <xdr:col>15</xdr:col>
      <xdr:colOff>314476</xdr:colOff>
      <xdr:row>68</xdr:row>
      <xdr:rowOff>108857</xdr:rowOff>
    </xdr:from>
    <xdr:to>
      <xdr:col>20</xdr:col>
      <xdr:colOff>505834</xdr:colOff>
      <xdr:row>77</xdr:row>
      <xdr:rowOff>153944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D110B-F388-4C0B-9A51-03F9AC82B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222284" y="11724065"/>
          <a:ext cx="3238304" cy="1679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314476</xdr:colOff>
      <xdr:row>104</xdr:row>
      <xdr:rowOff>108857</xdr:rowOff>
    </xdr:from>
    <xdr:to>
      <xdr:col>20</xdr:col>
      <xdr:colOff>401063</xdr:colOff>
      <xdr:row>114</xdr:row>
      <xdr:rowOff>47047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44C4F-1F23-4A3B-B478-57E9C3D6E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436876" y="13007824"/>
          <a:ext cx="3238304" cy="17595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F77DF0-2FBE-4D77-B8F8-A86EF0A699A1}" name="Table182179" displayName="Table182179" ref="B6:AK17" totalsRowCount="1" headerRowDxfId="173" dataDxfId="172" tableBorderDxfId="171">
  <autoFilter ref="B6:AK16" xr:uid="{00000000-0009-0000-0100-000014000000}"/>
  <tableColumns count="36">
    <tableColumn id="1" xr3:uid="{6EE787A2-FC9C-4625-8A76-ED4D94E4EAD3}" name="Mass[1]" dataDxfId="170" totalsRowDxfId="169" dataCellStyle="Normal 2"/>
    <tableColumn id="2" xr3:uid="{87689C76-A837-4F62-8B56-6B1BB0E6018E}" name="Composition[2]" dataDxfId="168" totalsRowDxfId="167" dataCellStyle="Normal 2 2"/>
    <tableColumn id="3" xr3:uid="{5130223A-17C8-4F58-AA96-D8BC6EDC0817}" name="Putative structures [3]" dataDxfId="166" totalsRowDxfId="165" dataCellStyle="Normal 2 2"/>
    <tableColumn id="42" xr3:uid="{5B0075FF-BEB3-4AAD-ACF7-1F9EA3692A98}" name="RT12" dataDxfId="164" totalsRowDxfId="163" dataCellStyle="Normal 2 2"/>
    <tableColumn id="41" xr3:uid="{B2F92BAA-583F-4C26-80FF-5F82E602ADA2}" name="Intensity12" totalsRowFunction="custom" dataDxfId="162" totalsRowDxfId="161" dataCellStyle="Normal 2 2">
      <totalsRowFormula>SUM(F7:F16)</totalsRowFormula>
    </tableColumn>
    <tableColumn id="40" xr3:uid="{7AE56545-AEDF-48DE-B58E-EEC0ABC26827}" name="Percentage49" dataDxfId="160" totalsRowDxfId="159" dataCellStyle="Normal 2">
      <calculatedColumnFormula>F7/$F$17*100</calculatedColumnFormula>
    </tableColumn>
    <tableColumn id="5" xr3:uid="{47E9B88F-AE45-497D-B654-B17DD62E7C21}" name="RT" dataDxfId="158" totalsRowDxfId="157" dataCellStyle="Normal 10"/>
    <tableColumn id="6" xr3:uid="{5C628BD4-089E-4D3C-AFC2-782FBC3E92D7}" name="Intensity" totalsRowFunction="custom" dataDxfId="156" totalsRowDxfId="155" dataCellStyle="Normal 2 2">
      <totalsRowFormula>SUM(I7:I16)</totalsRowFormula>
    </tableColumn>
    <tableColumn id="7" xr3:uid="{D48E84D6-7BB5-46B5-B884-2A5FA3F0FF8A}" name="Percentage" dataDxfId="154" totalsRowDxfId="153" dataCellStyle="Normal 2 2">
      <calculatedColumnFormula>I7/$I$20*100</calculatedColumnFormula>
    </tableColumn>
    <tableColumn id="11" xr3:uid="{B09E85E5-F220-4E56-9008-20D8A7B36BEA}" name="RT5" dataDxfId="152" totalsRowDxfId="151" dataCellStyle="Normal 2"/>
    <tableColumn id="12" xr3:uid="{A3865309-0928-4BE0-A5E7-1FB24D092862}" name="Intensity6" totalsRowFunction="custom" dataDxfId="150" totalsRowDxfId="149" dataCellStyle="Normal 2 2">
      <totalsRowFormula>SUM(L7:L16)</totalsRowFormula>
    </tableColumn>
    <tableColumn id="13" xr3:uid="{5E2DBD25-9E60-40D4-B08B-7C45D9F1347A}" name="Percentage35" dataDxfId="148" totalsRowDxfId="147" dataCellStyle="Normal 2 2">
      <calculatedColumnFormula>L7/$L$17*100</calculatedColumnFormula>
    </tableColumn>
    <tableColumn id="25" xr3:uid="{254B9557-92A3-4CA6-9740-658F974AEB41}" name="RT8" dataDxfId="146" totalsRowDxfId="145" dataCellStyle="Normal 2"/>
    <tableColumn id="26" xr3:uid="{56ECF83C-B3DC-4156-AD69-1F20B388AD2C}" name="Intensity8" totalsRowFunction="custom" dataDxfId="144" totalsRowDxfId="143" dataCellStyle="Normal 2 2">
      <totalsRowFormula>SUM(O7:O16)</totalsRowFormula>
    </tableColumn>
    <tableColumn id="27" xr3:uid="{C9B47932-FAFB-4151-B00C-BF9406167F78}" name="Percentage36" dataDxfId="142" totalsRowDxfId="141" dataCellStyle="Normal 2 2">
      <calculatedColumnFormula>O7/$O$17*100</calculatedColumnFormula>
    </tableColumn>
    <tableColumn id="19" xr3:uid="{AF2E4A20-79CE-4A06-9F27-D3E5BFC1B19D}" name="RT6" dataDxfId="140" totalsRowDxfId="139" dataCellStyle="Normal 2 2"/>
    <tableColumn id="20" xr3:uid="{C4609AFE-22FF-4C24-AA41-A47C73C6A627}" name="Intensity5" totalsRowFunction="custom" dataDxfId="138" totalsRowDxfId="137" dataCellStyle="Normal 2 2">
      <totalsRowFormula>SUM(R7:R16)</totalsRowFormula>
    </tableColumn>
    <tableColumn id="21" xr3:uid="{4305AB23-9197-4D12-8337-4F6944FE75D0}" name="Percentage33" dataDxfId="136" totalsRowDxfId="135" dataCellStyle="Normal 2 2">
      <calculatedColumnFormula>R7/$R$20*100</calculatedColumnFormula>
    </tableColumn>
    <tableColumn id="16" xr3:uid="{82C4D82D-7EF9-4636-A965-392A1EC80249}" name="RT4" dataDxfId="134" totalsRowDxfId="133" dataCellStyle="Normal 2 2"/>
    <tableColumn id="17" xr3:uid="{98911D0F-428F-406D-8F55-579D25EC2B48}" name="Intensity4" totalsRowFunction="custom" dataDxfId="132" totalsRowDxfId="131" dataCellStyle="Normal 2 2">
      <totalsRowFormula>SUM(U7:U16)</totalsRowFormula>
    </tableColumn>
    <tableColumn id="18" xr3:uid="{5A85430B-5B12-4EA6-B51D-9CC545E50BBB}" name="Percentage37" dataDxfId="130" totalsRowDxfId="129" dataCellStyle="Normal 2">
      <calculatedColumnFormula>U7/$AV$20*100</calculatedColumnFormula>
    </tableColumn>
    <tableColumn id="28" xr3:uid="{8CED942C-A93F-4B05-96B4-561E1539E881}" name="RT9" dataDxfId="128" totalsRowDxfId="127" dataCellStyle="Normal 2 2"/>
    <tableColumn id="29" xr3:uid="{5315D81A-FBEE-4BD1-84C1-4B349DE5D89D}" name="Intensity9" totalsRowFunction="custom" dataDxfId="126" totalsRowDxfId="125" dataCellStyle="Normal 2 2">
      <totalsRowFormula>SUM(X7:X16)</totalsRowFormula>
    </tableColumn>
    <tableColumn id="30" xr3:uid="{FC51B86C-3E16-4F6B-9F61-F3304C3770E7}" name="Percentage40" dataDxfId="124" totalsRowDxfId="123" dataCellStyle="Normal 2">
      <calculatedColumnFormula>X7/$AY$20*100</calculatedColumnFormula>
    </tableColumn>
    <tableColumn id="31" xr3:uid="{8967ED82-5A8C-44CB-8B0B-B458C2FF788E}" name="RT10" dataDxfId="122" totalsRowDxfId="121" dataCellStyle="Normal 2"/>
    <tableColumn id="32" xr3:uid="{5B64D3EC-1305-456F-8B92-5B717EF10E07}" name="Intensity10" totalsRowFunction="custom" dataDxfId="120" totalsRowDxfId="119" dataCellStyle="Normal 2 2">
      <totalsRowFormula>SUM(AA7:AA16)</totalsRowFormula>
    </tableColumn>
    <tableColumn id="33" xr3:uid="{EE072701-2DF5-44DA-BBD1-337F48A77582}" name="Percentage43" dataDxfId="118" totalsRowDxfId="117" dataCellStyle="Normal 2">
      <calculatedColumnFormula>AA7/$BB$20*100</calculatedColumnFormula>
    </tableColumn>
    <tableColumn id="4" xr3:uid="{1C612A9F-8D66-407E-8A62-3CFA691A950F}" name="RT3" dataDxfId="116" totalsRowDxfId="115" dataCellStyle="Normal 2"/>
    <tableColumn id="14" xr3:uid="{7A3DDB4C-8847-48C5-B622-4C793A634CBB}" name="Intensity2" totalsRowFunction="custom" dataDxfId="114" totalsRowDxfId="113" dataCellStyle="Normal 2 2">
      <totalsRowFormula>SUM(AD7:AD16)</totalsRowFormula>
    </tableColumn>
    <tableColumn id="15" xr3:uid="{4054C53E-C0F1-4FC0-8D39-66F5DA85CF78}" name="Percentage34" dataDxfId="112" totalsRowDxfId="111" dataCellStyle="Normal 2 2">
      <calculatedColumnFormula>AD7/$AD$17*100</calculatedColumnFormula>
    </tableColumn>
    <tableColumn id="22" xr3:uid="{EC6D93E6-E966-40BD-B8B2-F97F63DDB4A8}" name="RT7" dataDxfId="110" totalsRowDxfId="109" dataCellStyle="Normal 2 2"/>
    <tableColumn id="23" xr3:uid="{23B2CBF3-5A68-4B7F-81EE-8676D4D09595}" name="Intensity7" totalsRowFunction="custom" dataDxfId="108" totalsRowDxfId="107" dataCellStyle="Normal 2 2">
      <totalsRowFormula>SUM(AG7:AG16)</totalsRowFormula>
    </tableColumn>
    <tableColumn id="24" xr3:uid="{57A87FE2-5DC5-4783-B044-7E3322A80177}" name="Percentage3" dataDxfId="106" totalsRowDxfId="105" dataCellStyle="Normal 2 2">
      <calculatedColumnFormula>AG7/#REF!*100</calculatedColumnFormula>
    </tableColumn>
    <tableColumn id="8" xr3:uid="{FC1EA2C2-A286-4E98-9E74-6909B72791DD}" name="RT2" dataDxfId="104" totalsRowDxfId="103" dataCellStyle="Normal 10"/>
    <tableColumn id="9" xr3:uid="{E3CF6BA8-D129-4BF4-8EF8-4E72F615F9F8}" name="Intensity3" totalsRowFunction="custom" dataDxfId="102" totalsRowDxfId="101" dataCellStyle="Normal 2 2">
      <totalsRowFormula>SUM(AJ7:AJ16)</totalsRowFormula>
    </tableColumn>
    <tableColumn id="10" xr3:uid="{CAEA3B55-3544-4F60-B978-F2729CC8CE68}" name="Percentage32" dataDxfId="100" totalsRowDxfId="99" dataCellStyle="Normal 2 2">
      <calculatedColumnFormula>AJ7/#REF!*100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BA66D-6880-4D19-BB29-66FA9B9DCA1A}" name="Table1423" displayName="Table1423" ref="B5:AE66" totalsRowCount="1" headerRowDxfId="98" dataDxfId="96" totalsRowDxfId="94" headerRowBorderDxfId="97" tableBorderDxfId="95" headerRowCellStyle="Normal 14" dataCellStyle="Normal 14">
  <autoFilter ref="B5:AE65" xr:uid="{00000000-0009-0000-0100-00000A000000}"/>
  <tableColumns count="30">
    <tableColumn id="1" xr3:uid="{89011BC3-940D-4E0A-B20A-58CDF60CAB92}" name="Mass[1]" dataDxfId="93" totalsRowDxfId="92" dataCellStyle="Normal 14"/>
    <tableColumn id="2" xr3:uid="{09BF8F54-8A1A-45F3-A670-E31E6A08DD13}" name="Composition[2]" dataDxfId="91" totalsRowDxfId="90" dataCellStyle="Normal 14"/>
    <tableColumn id="3" xr3:uid="{2622069B-35A4-44E1-8805-B4C0E490D0E1}" name="Putative structures [3]" dataDxfId="89" totalsRowDxfId="88" dataCellStyle="Normal"/>
    <tableColumn id="333" xr3:uid="{5C3AF639-F8FC-471E-BA2C-77A7B5DB378A}" name="RT" dataDxfId="87" totalsRowDxfId="86" dataCellStyle="Normal 14"/>
    <tableColumn id="334" xr3:uid="{95800B7E-4873-4C0A-B843-D8BB6946A8D5}" name="Intensity973" totalsRowFunction="custom" dataDxfId="85" totalsRowDxfId="84" dataCellStyle="Normal 14">
      <totalsRowFormula>SUM(F6:F65)</totalsRowFormula>
    </tableColumn>
    <tableColumn id="335" xr3:uid="{4E9A928D-0154-4863-91B7-70010D328355}" name="Percentage984" dataDxfId="83" totalsRowDxfId="82" dataCellStyle="Normal 14">
      <calculatedColumnFormula>F6/$F$66*100</calculatedColumnFormula>
    </tableColumn>
    <tableColumn id="336" xr3:uid="{FED48A10-6894-48A5-AB04-2B9EEC63D1CE}" name="RT94995" dataDxfId="81" totalsRowDxfId="80" dataCellStyle="Normal 14"/>
    <tableColumn id="337" xr3:uid="{895BCBD0-2013-46E9-85EC-75F5E7B72931}" name="Intensity951006" totalsRowFunction="custom" dataDxfId="79" totalsRowDxfId="78" dataCellStyle="Normal 14">
      <totalsRowFormula>SUM(I6:I65)</totalsRowFormula>
    </tableColumn>
    <tableColumn id="338" xr3:uid="{8C6710B6-6718-43A6-A817-507EEFF860EF}" name="Percentage961017" dataDxfId="77" totalsRowDxfId="76" dataCellStyle="Normal 14">
      <calculatedColumnFormula>I6/$I$66*100</calculatedColumnFormula>
    </tableColumn>
    <tableColumn id="339" xr3:uid="{8693BB36-8F3D-4153-9004-F4298ACBD8E8}" name="RT951028" dataDxfId="75" totalsRowDxfId="74" dataCellStyle="Normal 14"/>
    <tableColumn id="340" xr3:uid="{33014524-B68D-479D-8DBC-370F3EF17103}" name="Intensity961039" totalsRowFunction="custom" dataDxfId="73" totalsRowDxfId="72" dataCellStyle="Normal 14">
      <totalsRowFormula>SUM(L6:L65)</totalsRowFormula>
    </tableColumn>
    <tableColumn id="341" xr3:uid="{CFB35995-DE76-43E4-9ADE-88D0FD23DE97}" name="Percentage1115" dataDxfId="71" totalsRowDxfId="70" dataCellStyle="Normal 14">
      <calculatedColumnFormula>L6/$L$66*100</calculatedColumnFormula>
    </tableColumn>
    <tableColumn id="315" xr3:uid="{8C8E299A-EFD3-4BA3-B0C4-BDA287DEEE80}" name="RT2" dataDxfId="69" totalsRowDxfId="68" dataCellStyle="Normal 14"/>
    <tableColumn id="316" xr3:uid="{E5962321-6870-403B-98D3-2A5B91237D99}" name="Intensity" totalsRowFunction="custom" dataDxfId="67" totalsRowDxfId="66" dataCellStyle="Normal 14">
      <totalsRowFormula>SUM(O6:O65)</totalsRowFormula>
    </tableColumn>
    <tableColumn id="317" xr3:uid="{0A5DB36B-BB26-4B79-A75D-5F1D4B6ECB41}" name="Percentage" dataDxfId="65" totalsRowDxfId="64" dataCellStyle="Normal 14">
      <calculatedColumnFormula>O6/$O$66*100</calculatedColumnFormula>
    </tableColumn>
    <tableColumn id="318" xr3:uid="{D396D463-3ED4-407A-BB1A-8C2919CDB4FB}" name="RT94" dataDxfId="63" totalsRowDxfId="62" dataCellStyle="Normal 14"/>
    <tableColumn id="319" xr3:uid="{3FEA85F8-1C14-4BEC-95A8-47286DAE6F9A}" name="Intensity95" totalsRowFunction="custom" dataDxfId="61" totalsRowDxfId="60" dataCellStyle="Normal 14">
      <totalsRowFormula>SUM(R6:R65)</totalsRowFormula>
    </tableColumn>
    <tableColumn id="320" xr3:uid="{BD6AB4D9-8F62-4D61-A338-0CBD4CA081AA}" name="Percentage96" dataDxfId="59" totalsRowDxfId="58" dataCellStyle="Normal 14">
      <calculatedColumnFormula>R6/$R$66*100</calculatedColumnFormula>
    </tableColumn>
    <tableColumn id="321" xr3:uid="{8ED35A06-E759-4B9E-9312-333A1FF6BC1D}" name="RT95" dataDxfId="57" totalsRowDxfId="56" dataCellStyle="Normal 14"/>
    <tableColumn id="322" xr3:uid="{F8F2F7E5-2C62-4006-8FB0-7AFEF1B55505}" name="Intensity96" totalsRowFunction="custom" dataDxfId="55" totalsRowDxfId="54" dataCellStyle="Normal 14">
      <totalsRowFormula>SUM(U6:U65)</totalsRowFormula>
    </tableColumn>
    <tableColumn id="323" xr3:uid="{28B266CC-9562-44D5-8A09-58E2AD8691E4}" name="Percentage97" dataDxfId="53" totalsRowDxfId="52" dataCellStyle="Normal 14">
      <calculatedColumnFormula>U6/$U$66*100</calculatedColumnFormula>
    </tableColumn>
    <tableColumn id="324" xr3:uid="{EF46B8E3-E8FD-4E96-89CA-B617B56F4747}" name="RT96" dataDxfId="51" totalsRowDxfId="50" dataCellStyle="Normal 14"/>
    <tableColumn id="325" xr3:uid="{E348C1C9-55D9-45EC-B3FB-AAB8A656A9E6}" name="Intensity97" totalsRowFunction="custom" dataDxfId="49" totalsRowDxfId="48" dataCellStyle="Normal 14">
      <totalsRowFormula>SUM(X6:X65)</totalsRowFormula>
    </tableColumn>
    <tableColumn id="326" xr3:uid="{0E275BD2-2119-48D4-AF46-C77457D00F3F}" name="Percentage98" dataDxfId="47" totalsRowDxfId="46" dataCellStyle="Normal 14">
      <calculatedColumnFormula>X6/$X$66*100</calculatedColumnFormula>
    </tableColumn>
    <tableColumn id="327" xr3:uid="{958691E4-8B7E-41CE-8AF9-309C866B25CB}" name="RT9499" dataDxfId="45" totalsRowDxfId="44" dataCellStyle="Normal 14"/>
    <tableColumn id="328" xr3:uid="{7D340DE2-8A76-4ED1-ADF5-E21AA3C1D697}" name="Intensity95100" totalsRowFunction="custom" dataDxfId="43" totalsRowDxfId="42" dataCellStyle="Normal 14">
      <totalsRowFormula>SUM(AA6:AA65)</totalsRowFormula>
    </tableColumn>
    <tableColumn id="329" xr3:uid="{21080F39-F0C2-427E-AA62-B4550D111BD8}" name="Percentage96101" dataDxfId="41" totalsRowDxfId="40" dataCellStyle="Normal 14">
      <calculatedColumnFormula>AA6/$AA$66*100</calculatedColumnFormula>
    </tableColumn>
    <tableColumn id="330" xr3:uid="{A5F6B579-98A6-4CFA-ACCD-889B631E13F8}" name="RT95102" dataDxfId="39" totalsRowDxfId="38" dataCellStyle="Normal 14"/>
    <tableColumn id="331" xr3:uid="{DE12C74C-918E-42EB-B704-77E6E94F3461}" name="Intensity96103" totalsRowFunction="custom" dataDxfId="37" totalsRowDxfId="36" dataCellStyle="Normal 14">
      <totalsRowFormula>SUM(AD6:AD65)</totalsRowFormula>
    </tableColumn>
    <tableColumn id="332" xr3:uid="{804AA9EC-FA2E-4873-AB56-D990FD44C35F}" name="Percentage106" dataDxfId="35" totalsRowDxfId="34" dataCellStyle="Normal 14">
      <calculatedColumnFormula>AD6/$AD$66*100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ED107B-49B4-4F4E-A19F-F9DC4D74BEEE}" name="Table13" displayName="Table13" ref="B7:AE74" totalsRowShown="0" headerRowDxfId="33" dataDxfId="31" headerRowBorderDxfId="32" tableBorderDxfId="30" headerRowCellStyle="Normal 14" dataCellStyle="Normal 14">
  <autoFilter ref="B7:AE74" xr:uid="{00000000-0009-0000-0100-000001000000}"/>
  <tableColumns count="30">
    <tableColumn id="1" xr3:uid="{FD88106B-15FA-434D-A558-9E7B2F7CA52C}" name="Mass[1]" dataDxfId="29" dataCellStyle="Normal 14"/>
    <tableColumn id="2" xr3:uid="{8AE505C7-5827-4B69-8C40-471613937533}" name="Composition[2]" dataDxfId="28" dataCellStyle="Normal 14"/>
    <tableColumn id="3" xr3:uid="{E7DB783D-0B72-42B0-9B3E-27CD5674F41A}" name="Putative structures [3]" dataDxfId="27"/>
    <tableColumn id="23" xr3:uid="{ACA73CD9-DBEC-4E0D-B402-EFFB98C789E1}" name="Percentage8" dataDxfId="26" dataCellStyle="Normal 14"/>
    <tableColumn id="24" xr3:uid="{3168ABF8-D20D-442F-82D3-CC91EBA9F69C}" name="Percentage9" dataDxfId="25" dataCellStyle="Normal 14"/>
    <tableColumn id="25" xr3:uid="{7AF7FEF3-511B-4EE4-AA72-A9F1EF389DCD}" name="Percentage10" dataDxfId="24" dataCellStyle="Normal 14">
      <calculatedColumnFormula>F8/$F$75*100</calculatedColumnFormula>
    </tableColumn>
    <tableColumn id="26" xr3:uid="{693D349C-3351-433A-AC2A-35BED03163CD}" name="Percentage82" dataDxfId="23" dataCellStyle="Normal 14"/>
    <tableColumn id="27" xr3:uid="{80464C05-50FC-4D1A-97B5-4A4539B52922}" name="Percentage93" dataDxfId="22" dataCellStyle="Normal 14"/>
    <tableColumn id="28" xr3:uid="{99B5A742-81A9-4F41-920D-AE932FC000F5}" name="Percentage104" dataDxfId="21" dataCellStyle="Normal 14">
      <calculatedColumnFormula>I8/$I$75*100</calculatedColumnFormula>
    </tableColumn>
    <tableColumn id="29" xr3:uid="{A021949E-0C1E-453D-9899-7E56A92208B8}" name="Percentage83" dataDxfId="20" dataCellStyle="Normal 14"/>
    <tableColumn id="30" xr3:uid="{DF3CC967-47ED-4AD4-8539-614DBD00267B}" name="Percentage94" dataDxfId="19" dataCellStyle="Normal 14"/>
    <tableColumn id="31" xr3:uid="{E9F02759-CBC7-4B8B-A44A-BE6B6A0E7632}" name="Percentage105" dataDxfId="18" dataCellStyle="Normal 14">
      <calculatedColumnFormula>L8/$L$75*100</calculatedColumnFormula>
    </tableColumn>
    <tableColumn id="5" xr3:uid="{A3374F90-BEFF-4AD5-9C80-0AB6C11F3712}" name="RT [10]" dataDxfId="17" dataCellStyle="Normal 14"/>
    <tableColumn id="6" xr3:uid="{C6F8F2F8-1267-48C2-9E06-4722340EE3D7}" name="Intensity [11]" dataDxfId="16" dataCellStyle="Normal 14"/>
    <tableColumn id="7" xr3:uid="{9E0FA3B3-D3A5-48B1-BEFD-3B15B5044446}" name="Percentage" dataDxfId="15" dataCellStyle="Normal 14">
      <calculatedColumnFormula>O8/$O$75*100</calculatedColumnFormula>
    </tableColumn>
    <tableColumn id="8" xr3:uid="{25EDCC79-00C7-4257-A384-7A644E862373}" name="RT4" dataDxfId="14" dataCellStyle="Normal 14"/>
    <tableColumn id="9" xr3:uid="{D7B55AA1-E9CE-41B6-944C-4E39CF57C980}" name="Intensity4" dataDxfId="13" dataCellStyle="Normal 14"/>
    <tableColumn id="10" xr3:uid="{1A916813-3CB9-4F2E-94EE-53746855F706}" name="Percentage2" dataDxfId="12" dataCellStyle="Normal 14">
      <calculatedColumnFormula>R8/$R$75*100</calculatedColumnFormula>
    </tableColumn>
    <tableColumn id="11" xr3:uid="{519288B5-659B-46CA-93BD-C3B0D5AE14A8}" name="RT5" dataDxfId="11" dataCellStyle="Normal 14"/>
    <tableColumn id="12" xr3:uid="{ED3C6245-367B-46FD-852C-E1016D115237}" name="Intensity5" dataDxfId="10" dataCellStyle="Normal 14"/>
    <tableColumn id="13" xr3:uid="{B9A2D15A-37D6-45F3-AFED-A06F94F52837}" name="Percentages" dataDxfId="9" dataCellStyle="Normal 14">
      <calculatedColumnFormula>U8/$U$75*100</calculatedColumnFormula>
    </tableColumn>
    <tableColumn id="14" xr3:uid="{E2716FE0-A156-48A8-963F-DB5791C3E1AB}" name="RT6" dataDxfId="8" dataCellStyle="Normal 14"/>
    <tableColumn id="15" xr3:uid="{1DBF0DAE-313A-4C5B-9676-3B3F65D1BE61}" name="Intensity6" dataDxfId="7" dataCellStyle="Normal 14"/>
    <tableColumn id="16" xr3:uid="{37976292-1C03-4FF9-BABE-ABB0B81BF3FF}" name="Percentage3" dataDxfId="6" dataCellStyle="Normal 14">
      <calculatedColumnFormula>X8/$X$75*100</calculatedColumnFormula>
    </tableColumn>
    <tableColumn id="17" xr3:uid="{7AECF741-293D-4CB7-9039-AE40F455873C}" name="RT7" dataDxfId="5" dataCellStyle="Normal 14"/>
    <tableColumn id="18" xr3:uid="{4CB7EAC9-138F-4836-80DC-F4513BA1AF8A}" name="Intensity7" dataDxfId="4" dataCellStyle="Normal 14"/>
    <tableColumn id="19" xr3:uid="{EEFE659B-AA98-4CEE-8BF7-E14A4FE69849}" name="Percentage4" dataDxfId="3" dataCellStyle="Normal 14">
      <calculatedColumnFormula>AA8/$AA$75*100</calculatedColumnFormula>
    </tableColumn>
    <tableColumn id="4" xr3:uid="{3534DE98-1480-4C84-8A5E-55D0A1CE0AE2}" name="Percentage5" dataDxfId="2" dataCellStyle="Normal 14"/>
    <tableColumn id="20" xr3:uid="{B9043739-29B3-4D3E-AE14-AB4752FEEA76}" name="Percentage6" dataDxfId="1" dataCellStyle="Normal 14"/>
    <tableColumn id="21" xr3:uid="{9078D999-104C-44BE-88EA-D8E87AC670C9}" name="Percentage7" dataDxfId="0" dataCellStyle="Normal 14">
      <calculatedColumnFormula>AD8/$AD$75*100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8264-D844-476F-BD93-A475B089DD27}">
  <dimension ref="A1:BY31"/>
  <sheetViews>
    <sheetView tabSelected="1" zoomScale="85" zoomScaleNormal="85" workbookViewId="0">
      <pane xSplit="4" ySplit="6" topLeftCell="E7" activePane="bottomRight" state="frozen"/>
      <selection pane="topRight" activeCell="F1" sqref="F1"/>
      <selection pane="bottomLeft" activeCell="A5" sqref="A5"/>
      <selection pane="bottomRight" activeCell="D31" sqref="D31"/>
    </sheetView>
  </sheetViews>
  <sheetFormatPr defaultColWidth="8.87890625" defaultRowHeight="14.35"/>
  <cols>
    <col min="1" max="1" width="5.46875" style="2" customWidth="1"/>
    <col min="2" max="2" width="9.87890625" style="3" customWidth="1"/>
    <col min="3" max="3" width="19.41015625" style="3" customWidth="1"/>
    <col min="4" max="4" width="61.87890625" style="3" customWidth="1"/>
    <col min="5" max="5" width="8.87890625" style="2" customWidth="1"/>
    <col min="6" max="6" width="8.9375" style="2" customWidth="1"/>
    <col min="7" max="7" width="7.703125" style="2" customWidth="1"/>
    <col min="8" max="8" width="6.41015625" style="3" customWidth="1"/>
    <col min="9" max="9" width="14.52734375" style="2" customWidth="1"/>
    <col min="10" max="10" width="6" style="8" customWidth="1"/>
    <col min="11" max="11" width="6.76171875" style="2" customWidth="1"/>
    <col min="12" max="12" width="11.52734375" style="2" customWidth="1"/>
    <col min="13" max="13" width="6.46875" style="2" customWidth="1"/>
    <col min="14" max="14" width="5.3515625" style="4" customWidth="1"/>
    <col min="15" max="15" width="10.52734375" customWidth="1"/>
    <col min="16" max="16" width="7.46875" customWidth="1"/>
    <col min="17" max="17" width="7.46875" style="18" customWidth="1"/>
    <col min="18" max="18" width="10.76171875" style="15" customWidth="1"/>
    <col min="19" max="19" width="7.3515625" style="15" customWidth="1"/>
    <col min="20" max="20" width="5.64453125" style="19" customWidth="1"/>
    <col min="21" max="21" width="12.29296875" style="19" customWidth="1"/>
    <col min="22" max="22" width="8.703125" style="19" customWidth="1"/>
    <col min="28" max="28" width="11.05859375" customWidth="1"/>
    <col min="30" max="30" width="9.234375" bestFit="1" customWidth="1"/>
    <col min="32" max="32" width="8.41015625" style="10" customWidth="1"/>
    <col min="33" max="33" width="11.234375" style="8" customWidth="1"/>
    <col min="34" max="34" width="6.64453125" style="8" customWidth="1"/>
    <col min="35" max="35" width="5.8203125" style="17" customWidth="1"/>
    <col min="36" max="36" width="11.87890625" style="15" customWidth="1"/>
    <col min="37" max="37" width="5.46875" style="15" customWidth="1"/>
    <col min="47" max="47" width="6.3515625" customWidth="1"/>
    <col min="48" max="48" width="12" customWidth="1"/>
    <col min="49" max="49" width="6.76171875" customWidth="1"/>
    <col min="50" max="50" width="11.3515625" customWidth="1"/>
    <col min="51" max="51" width="12.703125" customWidth="1"/>
    <col min="52" max="52" width="6.29296875" customWidth="1"/>
    <col min="53" max="53" width="6.8203125" style="10" customWidth="1"/>
    <col min="54" max="54" width="9.76171875" style="2" customWidth="1"/>
    <col min="55" max="55" width="5.9375" style="2" customWidth="1"/>
    <col min="56" max="56" width="9" style="2" bestFit="1" customWidth="1"/>
    <col min="57" max="57" width="10" style="2" bestFit="1" customWidth="1"/>
    <col min="58" max="58" width="9" style="2" bestFit="1" customWidth="1"/>
    <col min="59" max="16384" width="8.87890625" style="2"/>
  </cols>
  <sheetData>
    <row r="1" spans="1:53" ht="23" customHeight="1">
      <c r="A1" s="379" t="s">
        <v>423</v>
      </c>
      <c r="B1" s="379"/>
      <c r="C1" s="379"/>
      <c r="D1" s="379"/>
      <c r="E1" s="379"/>
      <c r="F1" s="379"/>
      <c r="T1"/>
      <c r="U1"/>
      <c r="V1"/>
      <c r="Z1" s="10"/>
      <c r="AA1" s="2"/>
      <c r="AB1" s="2"/>
      <c r="AC1" s="19"/>
      <c r="AD1" s="19"/>
      <c r="AE1" s="19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0.45" customHeight="1">
      <c r="B2" s="98"/>
      <c r="T2"/>
      <c r="U2"/>
      <c r="V2"/>
      <c r="Z2" s="10"/>
      <c r="AA2" s="2"/>
      <c r="AB2" s="2"/>
      <c r="AC2" s="19"/>
      <c r="AD2" s="19"/>
      <c r="AE2" s="19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4.7" thickBot="1">
      <c r="T3"/>
      <c r="U3"/>
      <c r="V3"/>
      <c r="Z3" s="10"/>
      <c r="AA3" s="2"/>
      <c r="AB3" s="2"/>
      <c r="AC3" s="19"/>
      <c r="AD3" s="19"/>
      <c r="AE3" s="19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s="44" customFormat="1" ht="18.350000000000001" thickBot="1">
      <c r="B4" s="45"/>
      <c r="C4" s="45"/>
      <c r="D4" s="45"/>
      <c r="E4" s="336" t="s">
        <v>412</v>
      </c>
      <c r="F4" s="337"/>
      <c r="G4" s="338"/>
      <c r="H4" s="336" t="s">
        <v>413</v>
      </c>
      <c r="I4" s="337"/>
      <c r="J4" s="338"/>
      <c r="K4" s="348" t="s">
        <v>414</v>
      </c>
      <c r="L4" s="349"/>
      <c r="M4" s="350"/>
      <c r="N4" s="348" t="s">
        <v>415</v>
      </c>
      <c r="O4" s="349"/>
      <c r="P4" s="350"/>
      <c r="Q4" s="330" t="s">
        <v>416</v>
      </c>
      <c r="R4" s="331"/>
      <c r="S4" s="332"/>
      <c r="T4" s="330" t="s">
        <v>417</v>
      </c>
      <c r="U4" s="331"/>
      <c r="V4" s="332"/>
      <c r="W4" s="330" t="s">
        <v>418</v>
      </c>
      <c r="X4" s="331"/>
      <c r="Y4" s="332"/>
      <c r="Z4" s="330" t="s">
        <v>421</v>
      </c>
      <c r="AA4" s="331"/>
      <c r="AB4" s="332"/>
      <c r="AC4" s="333" t="s">
        <v>419</v>
      </c>
      <c r="AD4" s="334"/>
      <c r="AE4" s="335"/>
      <c r="AF4" s="333" t="s">
        <v>419</v>
      </c>
      <c r="AG4" s="334"/>
      <c r="AH4" s="335"/>
      <c r="AI4" s="333" t="s">
        <v>422</v>
      </c>
      <c r="AJ4" s="334"/>
      <c r="AK4" s="335"/>
    </row>
    <row r="5" spans="1:53" s="6" customFormat="1" ht="48.35" customHeight="1">
      <c r="B5" s="7"/>
      <c r="C5" s="7"/>
      <c r="D5" s="7"/>
      <c r="E5" s="312" t="s">
        <v>402</v>
      </c>
      <c r="F5" s="313"/>
      <c r="G5" s="314"/>
      <c r="H5" s="315" t="s">
        <v>403</v>
      </c>
      <c r="I5" s="316"/>
      <c r="J5" s="317"/>
      <c r="K5" s="318" t="s">
        <v>404</v>
      </c>
      <c r="L5" s="319"/>
      <c r="M5" s="320"/>
      <c r="N5" s="321" t="s">
        <v>405</v>
      </c>
      <c r="O5" s="322"/>
      <c r="P5" s="323"/>
      <c r="Q5" s="324" t="s">
        <v>406</v>
      </c>
      <c r="R5" s="325"/>
      <c r="S5" s="326"/>
      <c r="T5" s="345" t="s">
        <v>407</v>
      </c>
      <c r="U5" s="346"/>
      <c r="V5" s="347"/>
      <c r="W5" s="339" t="s">
        <v>408</v>
      </c>
      <c r="X5" s="340"/>
      <c r="Y5" s="341"/>
      <c r="Z5" s="342" t="s">
        <v>420</v>
      </c>
      <c r="AA5" s="343"/>
      <c r="AB5" s="344"/>
      <c r="AC5" s="327" t="s">
        <v>411</v>
      </c>
      <c r="AD5" s="328"/>
      <c r="AE5" s="329"/>
      <c r="AF5" s="327" t="s">
        <v>409</v>
      </c>
      <c r="AG5" s="328"/>
      <c r="AH5" s="329"/>
      <c r="AI5" s="327" t="s">
        <v>410</v>
      </c>
      <c r="AJ5" s="328"/>
      <c r="AK5" s="329"/>
    </row>
    <row r="6" spans="1:53" s="116" customFormat="1" ht="16.350000000000001">
      <c r="B6" s="112" t="s">
        <v>436</v>
      </c>
      <c r="C6" s="113" t="s">
        <v>437</v>
      </c>
      <c r="D6" s="114" t="s">
        <v>438</v>
      </c>
      <c r="E6" s="115" t="s">
        <v>34</v>
      </c>
      <c r="F6" s="116" t="s">
        <v>35</v>
      </c>
      <c r="G6" s="117" t="s">
        <v>36</v>
      </c>
      <c r="H6" s="118" t="s">
        <v>8</v>
      </c>
      <c r="I6" s="119" t="s">
        <v>7</v>
      </c>
      <c r="J6" s="120" t="s">
        <v>14</v>
      </c>
      <c r="K6" s="118" t="s">
        <v>12</v>
      </c>
      <c r="L6" s="119" t="s">
        <v>13</v>
      </c>
      <c r="M6" s="121" t="s">
        <v>23</v>
      </c>
      <c r="N6" s="118" t="s">
        <v>24</v>
      </c>
      <c r="O6" s="119" t="s">
        <v>25</v>
      </c>
      <c r="P6" s="121" t="s">
        <v>26</v>
      </c>
      <c r="Q6" s="122" t="s">
        <v>19</v>
      </c>
      <c r="R6" s="123" t="s">
        <v>20</v>
      </c>
      <c r="S6" s="121" t="s">
        <v>21</v>
      </c>
      <c r="T6" s="124" t="s">
        <v>2</v>
      </c>
      <c r="U6" s="116" t="s">
        <v>1</v>
      </c>
      <c r="V6" s="121" t="s">
        <v>27</v>
      </c>
      <c r="W6" s="125" t="s">
        <v>28</v>
      </c>
      <c r="X6" s="116" t="s">
        <v>29</v>
      </c>
      <c r="Y6" s="117" t="s">
        <v>30</v>
      </c>
      <c r="Z6" s="125" t="s">
        <v>31</v>
      </c>
      <c r="AA6" s="116" t="s">
        <v>32</v>
      </c>
      <c r="AB6" s="117" t="s">
        <v>33</v>
      </c>
      <c r="AC6" s="122" t="s">
        <v>4</v>
      </c>
      <c r="AD6" s="123" t="s">
        <v>3</v>
      </c>
      <c r="AE6" s="121" t="s">
        <v>22</v>
      </c>
      <c r="AF6" s="122" t="s">
        <v>15</v>
      </c>
      <c r="AG6" s="126" t="s">
        <v>16</v>
      </c>
      <c r="AH6" s="121" t="s">
        <v>17</v>
      </c>
      <c r="AI6" s="118" t="s">
        <v>6</v>
      </c>
      <c r="AJ6" s="119" t="s">
        <v>5</v>
      </c>
      <c r="AK6" s="126" t="s">
        <v>18</v>
      </c>
    </row>
    <row r="7" spans="1:53">
      <c r="B7" s="80">
        <v>546</v>
      </c>
      <c r="C7" s="11" t="s">
        <v>37</v>
      </c>
      <c r="D7" s="81" t="s">
        <v>38</v>
      </c>
      <c r="E7" s="46" t="s">
        <v>0</v>
      </c>
      <c r="F7" s="9">
        <v>0</v>
      </c>
      <c r="G7" s="47">
        <f t="shared" ref="G7:G16" si="0">F7/$F$17*100</f>
        <v>0</v>
      </c>
      <c r="H7" s="52">
        <v>16.8</v>
      </c>
      <c r="I7" s="53">
        <v>118.86</v>
      </c>
      <c r="J7" s="54">
        <f t="shared" ref="J7:J16" si="1">I7/$I$17*100</f>
        <v>1.1581019186979714E-2</v>
      </c>
      <c r="K7" s="56">
        <v>12.88</v>
      </c>
      <c r="L7" s="9">
        <v>544.79999999999995</v>
      </c>
      <c r="M7" s="54">
        <f t="shared" ref="M7:M16" si="2">L7/$L$17*100</f>
        <v>4.1864605255962875E-2</v>
      </c>
      <c r="N7" s="56">
        <v>12.61</v>
      </c>
      <c r="O7" s="9">
        <v>7915.74</v>
      </c>
      <c r="P7" s="54">
        <f t="shared" ref="P7:P16" si="3">O7/$O$17*100</f>
        <v>0.72537320605126276</v>
      </c>
      <c r="Q7" s="62" t="s">
        <v>0</v>
      </c>
      <c r="R7" s="41">
        <v>0</v>
      </c>
      <c r="S7" s="63">
        <f>R7/$R$17*100</f>
        <v>0</v>
      </c>
      <c r="T7" s="56">
        <v>12.42</v>
      </c>
      <c r="U7" s="9">
        <v>4011.84</v>
      </c>
      <c r="V7" s="47">
        <f>U7/$U$17*100</f>
        <v>0.31252433903724425</v>
      </c>
      <c r="W7" s="56">
        <v>12.33</v>
      </c>
      <c r="X7" s="9">
        <v>2504.33</v>
      </c>
      <c r="Y7" s="47">
        <f>X7/$X$17*100</f>
        <v>0.2840440068646114</v>
      </c>
      <c r="Z7" s="56">
        <v>12.22</v>
      </c>
      <c r="AA7" s="9">
        <v>7993.53</v>
      </c>
      <c r="AB7" s="47">
        <f>AA7/$AA$17*100</f>
        <v>0.81572682349544035</v>
      </c>
      <c r="AC7" s="59" t="s">
        <v>0</v>
      </c>
      <c r="AD7" s="41">
        <v>0</v>
      </c>
      <c r="AE7" s="63">
        <f t="shared" ref="AE7:AE16" si="4">AD7/$AD$17*100</f>
        <v>0</v>
      </c>
      <c r="AF7" s="48" t="s">
        <v>0</v>
      </c>
      <c r="AG7" s="9">
        <v>0</v>
      </c>
      <c r="AH7" s="54">
        <f t="shared" ref="AH7:AH16" si="5">AG7/$AG$17*100</f>
        <v>0</v>
      </c>
      <c r="AI7" s="78" t="s">
        <v>0</v>
      </c>
      <c r="AJ7" s="41">
        <v>0</v>
      </c>
      <c r="AK7" s="43">
        <f t="shared" ref="AK7:AK16" si="6">AJ7/$AJ$17*100</f>
        <v>0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B8" s="80" t="s">
        <v>39</v>
      </c>
      <c r="C8" s="11" t="s">
        <v>40</v>
      </c>
      <c r="D8" s="81" t="s">
        <v>401</v>
      </c>
      <c r="E8" s="48">
        <v>15.88</v>
      </c>
      <c r="F8" s="9">
        <v>523.9</v>
      </c>
      <c r="G8" s="47">
        <f t="shared" si="0"/>
        <v>2.5122879244044459E-2</v>
      </c>
      <c r="H8" s="55">
        <v>22.7</v>
      </c>
      <c r="I8" s="42">
        <v>632.72</v>
      </c>
      <c r="J8" s="54">
        <f t="shared" si="1"/>
        <v>6.1648514723084344E-2</v>
      </c>
      <c r="K8" s="56">
        <v>17.510000000000002</v>
      </c>
      <c r="L8" s="9">
        <v>1177.17</v>
      </c>
      <c r="M8" s="54">
        <f t="shared" si="2"/>
        <v>9.0458438636493804E-2</v>
      </c>
      <c r="N8" s="56">
        <v>17.100000000000001</v>
      </c>
      <c r="O8" s="9">
        <v>52591.41</v>
      </c>
      <c r="P8" s="54">
        <f t="shared" si="3"/>
        <v>4.8193093358872883</v>
      </c>
      <c r="Q8" s="64">
        <v>18.62</v>
      </c>
      <c r="R8" s="41">
        <v>3896.61</v>
      </c>
      <c r="S8" s="63">
        <f>R8/$R$17*100</f>
        <v>0.25628766085748578</v>
      </c>
      <c r="T8" s="56" t="s">
        <v>0</v>
      </c>
      <c r="U8" s="9">
        <v>0</v>
      </c>
      <c r="V8" s="47">
        <f>U8/$U$17*100</f>
        <v>0</v>
      </c>
      <c r="W8" s="56" t="s">
        <v>0</v>
      </c>
      <c r="X8" s="9">
        <v>0</v>
      </c>
      <c r="Y8" s="47">
        <f>X8/$X$17*100</f>
        <v>0</v>
      </c>
      <c r="Z8" s="56" t="s">
        <v>0</v>
      </c>
      <c r="AA8" s="9">
        <v>0</v>
      </c>
      <c r="AB8" s="47">
        <f>AA8/$AA$17*100</f>
        <v>0</v>
      </c>
      <c r="AC8" s="59" t="s">
        <v>41</v>
      </c>
      <c r="AD8" s="41">
        <v>386.3</v>
      </c>
      <c r="AE8" s="63">
        <f t="shared" si="4"/>
        <v>1.8696807630690395E-2</v>
      </c>
      <c r="AF8" s="48" t="s">
        <v>0</v>
      </c>
      <c r="AG8" s="9">
        <v>0</v>
      </c>
      <c r="AH8" s="54">
        <f t="shared" si="5"/>
        <v>0</v>
      </c>
      <c r="AI8" s="78">
        <v>19.489999999999998</v>
      </c>
      <c r="AJ8" s="41">
        <v>822.76</v>
      </c>
      <c r="AK8" s="43">
        <f t="shared" si="6"/>
        <v>2.9167251880536371E-2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>
      <c r="B9" s="80" t="s">
        <v>42</v>
      </c>
      <c r="C9" s="11" t="s">
        <v>40</v>
      </c>
      <c r="D9" s="81" t="s">
        <v>43</v>
      </c>
      <c r="E9" s="46">
        <v>17.760000000000002</v>
      </c>
      <c r="F9" s="9">
        <v>895.76</v>
      </c>
      <c r="G9" s="47">
        <f t="shared" si="0"/>
        <v>4.2954896567370233E-2</v>
      </c>
      <c r="H9" s="56">
        <v>24.71</v>
      </c>
      <c r="I9" s="9">
        <v>15407.01</v>
      </c>
      <c r="J9" s="54">
        <f t="shared" si="1"/>
        <v>1.5011684201917241</v>
      </c>
      <c r="K9" s="56">
        <v>19.7</v>
      </c>
      <c r="L9" s="9">
        <v>1849.36</v>
      </c>
      <c r="M9" s="54">
        <f t="shared" si="2"/>
        <v>0.14211219966256886</v>
      </c>
      <c r="N9" s="56" t="s">
        <v>0</v>
      </c>
      <c r="O9" s="9">
        <v>0</v>
      </c>
      <c r="P9" s="54">
        <f t="shared" si="3"/>
        <v>0</v>
      </c>
      <c r="Q9" s="62">
        <v>21.04</v>
      </c>
      <c r="R9" s="41">
        <v>1516.89</v>
      </c>
      <c r="S9" s="63">
        <f>R9/$R$17*100</f>
        <v>9.9768822098724702E-2</v>
      </c>
      <c r="T9" s="56">
        <v>18.850000000000001</v>
      </c>
      <c r="U9" s="9">
        <v>2478.5300000000002</v>
      </c>
      <c r="V9" s="47">
        <f>U9/$U$17*100</f>
        <v>0.19307872448402252</v>
      </c>
      <c r="W9" s="56" t="s">
        <v>44</v>
      </c>
      <c r="X9" s="9">
        <v>2083</v>
      </c>
      <c r="Y9" s="47">
        <f>X9/$X$17*100</f>
        <v>0.23625627065881316</v>
      </c>
      <c r="Z9" s="56">
        <v>18.25</v>
      </c>
      <c r="AA9" s="9">
        <v>1366.74</v>
      </c>
      <c r="AB9" s="47">
        <f>AA9/$AA$17*100</f>
        <v>0.13947360912439916</v>
      </c>
      <c r="AC9" s="59">
        <v>20.350000000000001</v>
      </c>
      <c r="AD9" s="41">
        <v>1969.51</v>
      </c>
      <c r="AE9" s="63">
        <f t="shared" si="4"/>
        <v>9.5323711096870406E-2</v>
      </c>
      <c r="AF9" s="46">
        <v>23.37</v>
      </c>
      <c r="AG9" s="9">
        <v>2875.05</v>
      </c>
      <c r="AH9" s="54">
        <f t="shared" si="5"/>
        <v>0.13862952091454431</v>
      </c>
      <c r="AI9" s="78">
        <v>21.99</v>
      </c>
      <c r="AJ9" s="41">
        <v>2168.63</v>
      </c>
      <c r="AK9" s="43">
        <f t="shared" si="6"/>
        <v>7.6879013862715256E-2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>
      <c r="B10" s="80">
        <v>749</v>
      </c>
      <c r="C10" s="11" t="s">
        <v>45</v>
      </c>
      <c r="D10" s="81" t="s">
        <v>46</v>
      </c>
      <c r="E10" s="48" t="s">
        <v>0</v>
      </c>
      <c r="F10" s="9">
        <v>0</v>
      </c>
      <c r="G10" s="47">
        <f t="shared" si="0"/>
        <v>0</v>
      </c>
      <c r="H10" s="55" t="s">
        <v>0</v>
      </c>
      <c r="I10" s="42">
        <v>0</v>
      </c>
      <c r="J10" s="54">
        <f t="shared" si="1"/>
        <v>0</v>
      </c>
      <c r="K10" s="56">
        <v>17.45</v>
      </c>
      <c r="L10" s="9">
        <v>19371.11</v>
      </c>
      <c r="M10" s="54">
        <f t="shared" si="2"/>
        <v>1.488553365491621</v>
      </c>
      <c r="N10" s="56" t="s">
        <v>0</v>
      </c>
      <c r="O10" s="9">
        <v>0</v>
      </c>
      <c r="P10" s="54">
        <f t="shared" si="3"/>
        <v>0</v>
      </c>
      <c r="Q10" s="64" t="s">
        <v>0</v>
      </c>
      <c r="R10" s="41">
        <v>0</v>
      </c>
      <c r="S10" s="63">
        <f>R10/$R$17*100</f>
        <v>0</v>
      </c>
      <c r="T10" s="56">
        <v>16.760000000000002</v>
      </c>
      <c r="U10" s="9">
        <v>5651.31</v>
      </c>
      <c r="V10" s="47">
        <f>U10/$U$17*100</f>
        <v>0.44023987059418346</v>
      </c>
      <c r="W10" s="56">
        <v>16.420000000000002</v>
      </c>
      <c r="X10" s="9">
        <v>2708.17</v>
      </c>
      <c r="Y10" s="47">
        <f>X10/$X$17*100</f>
        <v>0.30716377556892849</v>
      </c>
      <c r="Z10" s="57">
        <v>16.25</v>
      </c>
      <c r="AA10" s="20">
        <v>969794.81</v>
      </c>
      <c r="AB10" s="70">
        <f>AA10/$AA$17*100</f>
        <v>98.965993722881407</v>
      </c>
      <c r="AC10" s="59" t="s">
        <v>0</v>
      </c>
      <c r="AD10" s="41">
        <v>0</v>
      </c>
      <c r="AE10" s="63">
        <f t="shared" si="4"/>
        <v>0</v>
      </c>
      <c r="AF10" s="48" t="s">
        <v>0</v>
      </c>
      <c r="AG10" s="9">
        <v>0</v>
      </c>
      <c r="AH10" s="54">
        <f t="shared" si="5"/>
        <v>0</v>
      </c>
      <c r="AI10" s="78" t="s">
        <v>0</v>
      </c>
      <c r="AJ10" s="41">
        <v>0</v>
      </c>
      <c r="AK10" s="43">
        <f t="shared" si="6"/>
        <v>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>
      <c r="B11" s="80">
        <v>854</v>
      </c>
      <c r="C11" s="11" t="s">
        <v>47</v>
      </c>
      <c r="D11" s="82" t="s">
        <v>48</v>
      </c>
      <c r="E11" s="48">
        <v>13.67</v>
      </c>
      <c r="F11" s="9">
        <v>3753.62</v>
      </c>
      <c r="G11" s="47">
        <f t="shared" si="0"/>
        <v>0.17999950751675925</v>
      </c>
      <c r="H11" s="55">
        <v>18.23</v>
      </c>
      <c r="I11" s="53">
        <v>6166.07</v>
      </c>
      <c r="J11" s="54">
        <f t="shared" si="1"/>
        <v>0.60078558790392067</v>
      </c>
      <c r="K11" s="56">
        <v>14.84</v>
      </c>
      <c r="L11" s="9">
        <v>11871.46</v>
      </c>
      <c r="M11" s="54">
        <f t="shared" si="2"/>
        <v>0.91225034271650718</v>
      </c>
      <c r="N11" s="60">
        <v>14.61</v>
      </c>
      <c r="O11" s="20">
        <v>974385.77</v>
      </c>
      <c r="P11" s="58">
        <f t="shared" si="3"/>
        <v>89.28960904673832</v>
      </c>
      <c r="Q11" s="65" t="s">
        <v>0</v>
      </c>
      <c r="R11" s="41">
        <v>0</v>
      </c>
      <c r="S11" s="63">
        <v>0</v>
      </c>
      <c r="T11" s="69" t="s">
        <v>0</v>
      </c>
      <c r="U11" s="9">
        <v>0</v>
      </c>
      <c r="V11" s="47">
        <v>0</v>
      </c>
      <c r="W11" s="72" t="s">
        <v>0</v>
      </c>
      <c r="X11" s="9">
        <v>0</v>
      </c>
      <c r="Y11" s="47">
        <v>0</v>
      </c>
      <c r="Z11" s="72" t="s">
        <v>0</v>
      </c>
      <c r="AA11" s="9">
        <v>0</v>
      </c>
      <c r="AB11" s="47">
        <v>0</v>
      </c>
      <c r="AC11" s="65">
        <v>15.21</v>
      </c>
      <c r="AD11" s="41">
        <v>4842.8599999999997</v>
      </c>
      <c r="AE11" s="63">
        <f t="shared" si="4"/>
        <v>0.23439301527922668</v>
      </c>
      <c r="AF11" s="75">
        <v>17.11</v>
      </c>
      <c r="AG11" s="9">
        <v>4749.24</v>
      </c>
      <c r="AH11" s="54">
        <f t="shared" si="5"/>
        <v>0.22899944902112671</v>
      </c>
      <c r="AI11" s="78">
        <v>16.32</v>
      </c>
      <c r="AJ11" s="41">
        <v>6812.86</v>
      </c>
      <c r="AK11" s="43">
        <f t="shared" si="6"/>
        <v>0.24151928101369904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B12" s="80" t="s">
        <v>57</v>
      </c>
      <c r="C12" s="11" t="s">
        <v>49</v>
      </c>
      <c r="D12" s="82" t="s">
        <v>50</v>
      </c>
      <c r="E12" s="48">
        <v>16.399999999999999</v>
      </c>
      <c r="F12" s="9">
        <v>2826.45</v>
      </c>
      <c r="G12" s="47">
        <f t="shared" si="0"/>
        <v>0.13553838908060595</v>
      </c>
      <c r="H12" s="55">
        <v>22.96</v>
      </c>
      <c r="I12" s="53">
        <v>7818.19</v>
      </c>
      <c r="J12" s="54">
        <f t="shared" si="1"/>
        <v>0.76175844184294905</v>
      </c>
      <c r="K12" s="57">
        <v>18.170000000000002</v>
      </c>
      <c r="L12" s="20">
        <v>1220594.3999999999</v>
      </c>
      <c r="M12" s="58">
        <f t="shared" si="2"/>
        <v>93.795342756312138</v>
      </c>
      <c r="N12" s="61">
        <v>17.75</v>
      </c>
      <c r="O12" s="9">
        <v>3369.1</v>
      </c>
      <c r="P12" s="54">
        <f t="shared" si="3"/>
        <v>0.30873359515437715</v>
      </c>
      <c r="Q12" s="65" t="s">
        <v>0</v>
      </c>
      <c r="R12" s="41">
        <v>0</v>
      </c>
      <c r="S12" s="63">
        <v>0</v>
      </c>
      <c r="T12" s="69" t="s">
        <v>0</v>
      </c>
      <c r="U12" s="9">
        <v>0</v>
      </c>
      <c r="V12" s="47">
        <v>0</v>
      </c>
      <c r="W12" s="72" t="s">
        <v>0</v>
      </c>
      <c r="X12" s="9">
        <v>0</v>
      </c>
      <c r="Y12" s="47">
        <v>0</v>
      </c>
      <c r="Z12" s="72" t="s">
        <v>0</v>
      </c>
      <c r="AA12" s="9">
        <v>0</v>
      </c>
      <c r="AB12" s="47">
        <v>0</v>
      </c>
      <c r="AC12" s="65">
        <v>18.8</v>
      </c>
      <c r="AD12" s="41">
        <v>6202.24</v>
      </c>
      <c r="AE12" s="63">
        <f t="shared" si="4"/>
        <v>0.30018661185444778</v>
      </c>
      <c r="AF12" s="75">
        <v>21.5</v>
      </c>
      <c r="AG12" s="9">
        <v>6583.89</v>
      </c>
      <c r="AH12" s="54">
        <f t="shared" si="5"/>
        <v>0.31746283245649959</v>
      </c>
      <c r="AI12" s="78">
        <v>20.329999999999998</v>
      </c>
      <c r="AJ12" s="41">
        <v>6098.5</v>
      </c>
      <c r="AK12" s="43">
        <f t="shared" si="6"/>
        <v>0.21619486313560585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B13" s="80" t="s">
        <v>58</v>
      </c>
      <c r="C13" s="11" t="s">
        <v>49</v>
      </c>
      <c r="D13" s="81" t="s">
        <v>51</v>
      </c>
      <c r="E13" s="48" t="s">
        <v>0</v>
      </c>
      <c r="F13" s="9">
        <v>0</v>
      </c>
      <c r="G13" s="47">
        <f t="shared" si="0"/>
        <v>0</v>
      </c>
      <c r="H13" s="55" t="s">
        <v>0</v>
      </c>
      <c r="I13" s="42">
        <v>0</v>
      </c>
      <c r="J13" s="54">
        <f t="shared" si="1"/>
        <v>0</v>
      </c>
      <c r="K13" s="56" t="s">
        <v>0</v>
      </c>
      <c r="L13" s="9">
        <v>0</v>
      </c>
      <c r="M13" s="54">
        <f t="shared" si="2"/>
        <v>0</v>
      </c>
      <c r="N13" s="56" t="s">
        <v>0</v>
      </c>
      <c r="O13" s="9">
        <v>0</v>
      </c>
      <c r="P13" s="54">
        <f t="shared" si="3"/>
        <v>0</v>
      </c>
      <c r="Q13" s="64">
        <v>21.29</v>
      </c>
      <c r="R13" s="41">
        <v>556.57000000000005</v>
      </c>
      <c r="S13" s="63">
        <f>R13/$R$17*100</f>
        <v>3.6606697463551878E-2</v>
      </c>
      <c r="T13" s="57">
        <v>19.09</v>
      </c>
      <c r="U13" s="20">
        <v>1260021.28</v>
      </c>
      <c r="V13" s="70">
        <f>U13/$U$17*100</f>
        <v>98.156286817236591</v>
      </c>
      <c r="W13" s="57">
        <v>18.63</v>
      </c>
      <c r="X13" s="20">
        <v>873329.48</v>
      </c>
      <c r="Y13" s="70">
        <f>X13/$X$17*100</f>
        <v>99.054040327028588</v>
      </c>
      <c r="Z13" s="56">
        <v>18.440000000000001</v>
      </c>
      <c r="AA13" s="9">
        <v>772.24</v>
      </c>
      <c r="AB13" s="47">
        <f>AA13/$AA$17*100</f>
        <v>7.8805844498753233E-2</v>
      </c>
      <c r="AC13" s="59">
        <v>20.54</v>
      </c>
      <c r="AD13" s="41">
        <v>16248.41</v>
      </c>
      <c r="AE13" s="63">
        <f t="shared" si="4"/>
        <v>0.78641831756299796</v>
      </c>
      <c r="AF13" s="75">
        <v>23.76</v>
      </c>
      <c r="AG13" s="9">
        <v>5823.24</v>
      </c>
      <c r="AH13" s="54">
        <f t="shared" si="5"/>
        <v>0.28078571550769932</v>
      </c>
      <c r="AI13" s="78" t="s">
        <v>0</v>
      </c>
      <c r="AJ13" s="41">
        <v>0</v>
      </c>
      <c r="AK13" s="43">
        <f t="shared" si="6"/>
        <v>0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>
      <c r="B14" s="80" t="s">
        <v>59</v>
      </c>
      <c r="C14" s="11" t="s">
        <v>52</v>
      </c>
      <c r="D14" s="82" t="s">
        <v>53</v>
      </c>
      <c r="E14" s="48">
        <v>19.48</v>
      </c>
      <c r="F14" s="9">
        <v>63172.14</v>
      </c>
      <c r="G14" s="47">
        <f t="shared" si="0"/>
        <v>3.0293301103414216</v>
      </c>
      <c r="H14" s="55" t="s">
        <v>0</v>
      </c>
      <c r="I14" s="42">
        <v>0</v>
      </c>
      <c r="J14" s="54">
        <f t="shared" si="1"/>
        <v>0</v>
      </c>
      <c r="K14" s="56" t="s">
        <v>0</v>
      </c>
      <c r="L14" s="9">
        <v>0</v>
      </c>
      <c r="M14" s="54">
        <f t="shared" si="2"/>
        <v>0</v>
      </c>
      <c r="N14" s="56" t="s">
        <v>0</v>
      </c>
      <c r="O14" s="9">
        <v>0</v>
      </c>
      <c r="P14" s="54">
        <f t="shared" si="3"/>
        <v>0</v>
      </c>
      <c r="Q14" s="66">
        <v>23.37</v>
      </c>
      <c r="R14" s="67">
        <v>1512176.46</v>
      </c>
      <c r="S14" s="68">
        <f>R14/$R$17*100</f>
        <v>99.458803353980372</v>
      </c>
      <c r="T14" s="56">
        <v>20.65</v>
      </c>
      <c r="U14" s="9">
        <v>11525.86</v>
      </c>
      <c r="V14" s="47">
        <f>U14/$U$17*100</f>
        <v>0.89787024864795506</v>
      </c>
      <c r="W14" s="56">
        <v>20.54</v>
      </c>
      <c r="X14" s="9">
        <v>1044.74</v>
      </c>
      <c r="Y14" s="47">
        <f>X14/$X$17*100</f>
        <v>0.11849561987906311</v>
      </c>
      <c r="Z14" s="56" t="s">
        <v>0</v>
      </c>
      <c r="AA14" s="9">
        <v>0</v>
      </c>
      <c r="AB14" s="47">
        <f>AA14/$AA$17*100</f>
        <v>0</v>
      </c>
      <c r="AC14" s="59">
        <v>22.47</v>
      </c>
      <c r="AD14" s="41">
        <v>56124.06</v>
      </c>
      <c r="AE14" s="63">
        <f t="shared" si="4"/>
        <v>2.7163881782897374</v>
      </c>
      <c r="AF14" s="75">
        <v>26.19</v>
      </c>
      <c r="AG14" s="9">
        <v>41118.19</v>
      </c>
      <c r="AH14" s="54">
        <f t="shared" si="5"/>
        <v>1.9826420342509545</v>
      </c>
      <c r="AI14" s="78">
        <v>24.65</v>
      </c>
      <c r="AJ14" s="41">
        <v>71143.25</v>
      </c>
      <c r="AK14" s="43">
        <f t="shared" si="6"/>
        <v>2.5220636544678512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>
      <c r="B15" s="80" t="s">
        <v>60</v>
      </c>
      <c r="C15" s="11" t="s">
        <v>52</v>
      </c>
      <c r="D15" s="83" t="s">
        <v>54</v>
      </c>
      <c r="E15" s="48" t="s">
        <v>0</v>
      </c>
      <c r="F15" s="9">
        <v>0</v>
      </c>
      <c r="G15" s="47">
        <f t="shared" si="0"/>
        <v>0</v>
      </c>
      <c r="H15" s="57">
        <v>26.89</v>
      </c>
      <c r="I15" s="20">
        <v>949339</v>
      </c>
      <c r="J15" s="58">
        <f t="shared" si="1"/>
        <v>92.49800752101747</v>
      </c>
      <c r="K15" s="56" t="s">
        <v>0</v>
      </c>
      <c r="L15" s="9">
        <v>0</v>
      </c>
      <c r="M15" s="54">
        <f t="shared" si="2"/>
        <v>0</v>
      </c>
      <c r="N15" s="56" t="s">
        <v>0</v>
      </c>
      <c r="O15" s="9">
        <v>0</v>
      </c>
      <c r="P15" s="54">
        <f t="shared" si="3"/>
        <v>0</v>
      </c>
      <c r="Q15" s="64" t="s">
        <v>0</v>
      </c>
      <c r="R15" s="41">
        <v>0</v>
      </c>
      <c r="S15" s="63">
        <f>R15/$R$17*100</f>
        <v>0</v>
      </c>
      <c r="T15" s="56" t="s">
        <v>0</v>
      </c>
      <c r="U15" s="9">
        <v>0</v>
      </c>
      <c r="V15" s="47">
        <f>U15/$U$17*100</f>
        <v>0</v>
      </c>
      <c r="W15" s="56" t="s">
        <v>0</v>
      </c>
      <c r="X15" s="9">
        <v>0</v>
      </c>
      <c r="Y15" s="47">
        <f>X15/$X$17*100</f>
        <v>0</v>
      </c>
      <c r="Z15" s="56" t="s">
        <v>0</v>
      </c>
      <c r="AA15" s="9">
        <v>0</v>
      </c>
      <c r="AB15" s="47">
        <f>AA15/$AA$17*100</f>
        <v>0</v>
      </c>
      <c r="AC15" s="59" t="s">
        <v>0</v>
      </c>
      <c r="AD15" s="41">
        <v>0</v>
      </c>
      <c r="AE15" s="63">
        <f t="shared" si="4"/>
        <v>0</v>
      </c>
      <c r="AF15" s="46" t="s">
        <v>0</v>
      </c>
      <c r="AG15" s="9">
        <v>0</v>
      </c>
      <c r="AH15" s="54">
        <f t="shared" si="5"/>
        <v>0</v>
      </c>
      <c r="AI15" s="78" t="s">
        <v>0</v>
      </c>
      <c r="AJ15" s="41">
        <v>0</v>
      </c>
      <c r="AK15" s="43">
        <f t="shared" si="6"/>
        <v>0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s="15" customFormat="1">
      <c r="B16" s="84">
        <v>1365</v>
      </c>
      <c r="C16" s="33" t="s">
        <v>55</v>
      </c>
      <c r="D16" s="28" t="s">
        <v>56</v>
      </c>
      <c r="E16" s="49">
        <v>18.21</v>
      </c>
      <c r="F16" s="50">
        <v>2014178.28</v>
      </c>
      <c r="G16" s="51">
        <f t="shared" si="0"/>
        <v>96.587054217249801</v>
      </c>
      <c r="H16" s="59">
        <v>23.36</v>
      </c>
      <c r="I16" s="41">
        <v>46852.69</v>
      </c>
      <c r="J16" s="54">
        <f t="shared" si="1"/>
        <v>4.5650504951338773</v>
      </c>
      <c r="K16" s="59">
        <v>18.53</v>
      </c>
      <c r="L16" s="41">
        <v>45929.66</v>
      </c>
      <c r="M16" s="54">
        <f t="shared" si="2"/>
        <v>3.5294182919247215</v>
      </c>
      <c r="N16" s="59">
        <v>18.13</v>
      </c>
      <c r="O16" s="41">
        <v>53002.44</v>
      </c>
      <c r="P16" s="54">
        <f t="shared" si="3"/>
        <v>4.8569748161687594</v>
      </c>
      <c r="Q16" s="64">
        <v>22.32</v>
      </c>
      <c r="R16" s="41">
        <v>2258.31</v>
      </c>
      <c r="S16" s="63">
        <f>R16/$R$17*100</f>
        <v>0.14853346559985955</v>
      </c>
      <c r="T16" s="59" t="s">
        <v>0</v>
      </c>
      <c r="U16" s="41">
        <v>0</v>
      </c>
      <c r="V16" s="71">
        <f>U16/$U$17*100</f>
        <v>0</v>
      </c>
      <c r="W16" s="59" t="s">
        <v>0</v>
      </c>
      <c r="X16" s="41">
        <v>0</v>
      </c>
      <c r="Y16" s="71">
        <f>X16/$X$17*100</f>
        <v>0</v>
      </c>
      <c r="Z16" s="59" t="s">
        <v>0</v>
      </c>
      <c r="AA16" s="41">
        <v>0</v>
      </c>
      <c r="AB16" s="71">
        <f>AA16/$AA$17*100</f>
        <v>0</v>
      </c>
      <c r="AC16" s="73">
        <v>21.01</v>
      </c>
      <c r="AD16" s="50">
        <v>1980354.74</v>
      </c>
      <c r="AE16" s="74">
        <f t="shared" si="4"/>
        <v>95.848593358286024</v>
      </c>
      <c r="AF16" s="76">
        <v>24.3</v>
      </c>
      <c r="AG16" s="50">
        <v>2012759.31</v>
      </c>
      <c r="AH16" s="77">
        <f t="shared" si="5"/>
        <v>97.051480447849173</v>
      </c>
      <c r="AI16" s="79">
        <v>22.91</v>
      </c>
      <c r="AJ16" s="50">
        <v>2733788.83</v>
      </c>
      <c r="AK16" s="85">
        <f t="shared" si="6"/>
        <v>96.914175935639591</v>
      </c>
    </row>
    <row r="17" spans="2:77">
      <c r="B17" s="86"/>
      <c r="C17" s="5"/>
      <c r="D17" s="4"/>
      <c r="E17" s="87"/>
      <c r="F17" s="12">
        <f>SUM(F7:F16)</f>
        <v>2085350.15</v>
      </c>
      <c r="G17" s="88"/>
      <c r="H17" s="89"/>
      <c r="I17">
        <f>SUM(I7:I16)</f>
        <v>1026334.54</v>
      </c>
      <c r="J17" s="88"/>
      <c r="K17" s="89"/>
      <c r="L17" s="12">
        <f>SUM(L7:L16)</f>
        <v>1301337.9599999997</v>
      </c>
      <c r="M17" s="88"/>
      <c r="N17" s="90"/>
      <c r="O17" s="12">
        <f>SUM(O7:O16)</f>
        <v>1091264.46</v>
      </c>
      <c r="P17" s="88"/>
      <c r="Q17" s="91"/>
      <c r="R17" s="16">
        <f>SUM(R7:R16)</f>
        <v>1520404.84</v>
      </c>
      <c r="S17" s="92"/>
      <c r="T17" s="93"/>
      <c r="U17" s="12">
        <f>SUM(U7:U16)</f>
        <v>1283688.82</v>
      </c>
      <c r="V17" s="94"/>
      <c r="W17" s="95"/>
      <c r="X17" s="12">
        <f>SUM(X7:X16)</f>
        <v>881669.72</v>
      </c>
      <c r="Y17" s="88"/>
      <c r="Z17" s="95"/>
      <c r="AA17" s="12">
        <f>SUM(AA7:AA16)</f>
        <v>979927.32000000007</v>
      </c>
      <c r="AB17" s="88"/>
      <c r="AC17" s="91"/>
      <c r="AD17" s="16">
        <f>SUM(AD7:AD16)</f>
        <v>2066128.12</v>
      </c>
      <c r="AE17" s="92"/>
      <c r="AF17" s="96"/>
      <c r="AG17" s="12">
        <f>SUM(AG7:AG16)</f>
        <v>2073908.9200000002</v>
      </c>
      <c r="AH17" s="88"/>
      <c r="AI17" s="97"/>
      <c r="AJ17" s="16">
        <f>SUM(AJ7:AJ16)</f>
        <v>2820834.83</v>
      </c>
      <c r="AK17" s="16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2:77" customFormat="1">
      <c r="D18" t="s">
        <v>424</v>
      </c>
      <c r="E18" s="2"/>
      <c r="J18" s="4"/>
    </row>
    <row r="19" spans="2:77" customFormat="1">
      <c r="D19" t="s">
        <v>425</v>
      </c>
      <c r="E19" s="2"/>
      <c r="J19" s="4"/>
      <c r="AB19" s="99"/>
      <c r="AC19" s="99"/>
    </row>
    <row r="20" spans="2:77" customFormat="1">
      <c r="E20" s="4"/>
      <c r="J20" s="4"/>
      <c r="AB20" s="99"/>
      <c r="AC20" s="99"/>
    </row>
    <row r="21" spans="2:77" customFormat="1" ht="20.7">
      <c r="B21" s="100" t="s">
        <v>426</v>
      </c>
      <c r="D21" s="3"/>
      <c r="E21" s="4"/>
      <c r="F21" s="4"/>
      <c r="G21" s="101"/>
      <c r="H21" s="102"/>
      <c r="I21" s="101"/>
      <c r="J21" s="34"/>
      <c r="K21" s="13"/>
      <c r="L21" s="13"/>
      <c r="M21" s="13"/>
      <c r="N21" s="13"/>
      <c r="O21" s="13"/>
      <c r="P21" s="13"/>
      <c r="Q21" s="13"/>
      <c r="R21" s="13"/>
      <c r="S21" s="13"/>
    </row>
    <row r="22" spans="2:77" customFormat="1">
      <c r="B22" s="4" t="s">
        <v>225</v>
      </c>
      <c r="C22" t="s">
        <v>427</v>
      </c>
      <c r="D22" s="3"/>
      <c r="E22" s="4"/>
      <c r="H22" s="4"/>
      <c r="I22" s="4"/>
      <c r="K22" s="4"/>
      <c r="N22" s="4"/>
      <c r="Q22" s="4"/>
      <c r="S22" s="13"/>
    </row>
    <row r="23" spans="2:77" customFormat="1">
      <c r="B23" s="4" t="s">
        <v>226</v>
      </c>
      <c r="C23" t="s">
        <v>428</v>
      </c>
      <c r="D23" s="3"/>
      <c r="E23" s="4"/>
      <c r="H23" s="4"/>
      <c r="I23" s="4"/>
      <c r="K23" s="4"/>
      <c r="N23" s="4"/>
      <c r="Q23" s="4"/>
      <c r="S23" s="13"/>
    </row>
    <row r="24" spans="2:77" customFormat="1">
      <c r="B24" s="4" t="s">
        <v>227</v>
      </c>
      <c r="C24" t="s">
        <v>429</v>
      </c>
      <c r="D24" s="3"/>
      <c r="E24" s="4"/>
      <c r="H24" s="4"/>
      <c r="I24" s="4"/>
      <c r="K24" s="4"/>
      <c r="N24" s="4"/>
      <c r="Q24" s="4"/>
      <c r="S24" s="13"/>
    </row>
    <row r="25" spans="2:77" customFormat="1">
      <c r="C25" t="s">
        <v>430</v>
      </c>
      <c r="D25" s="3"/>
      <c r="E25" s="4"/>
      <c r="H25" s="4"/>
      <c r="I25" s="4"/>
      <c r="K25" s="4"/>
      <c r="N25" s="4"/>
      <c r="Q25" s="4"/>
      <c r="S25" s="13"/>
    </row>
    <row r="26" spans="2:77" customFormat="1">
      <c r="B26" s="4" t="s">
        <v>431</v>
      </c>
      <c r="C26" t="s">
        <v>228</v>
      </c>
      <c r="D26" s="3"/>
      <c r="E26" s="4"/>
      <c r="F26" s="4"/>
      <c r="G26" s="101"/>
      <c r="H26" s="102"/>
      <c r="I26" s="101"/>
      <c r="J26" s="34"/>
      <c r="K26" s="13"/>
      <c r="L26" s="13"/>
      <c r="M26" s="13"/>
      <c r="N26" s="13"/>
      <c r="O26" s="13"/>
      <c r="P26" s="13"/>
      <c r="Q26" s="13"/>
      <c r="R26" s="13"/>
      <c r="S26" s="13"/>
    </row>
    <row r="27" spans="2:77" customFormat="1">
      <c r="B27" s="4" t="s">
        <v>432</v>
      </c>
      <c r="C27" t="s">
        <v>229</v>
      </c>
      <c r="D27" s="3"/>
      <c r="E27" s="4"/>
      <c r="F27" s="4"/>
      <c r="G27" s="101"/>
      <c r="H27" s="102"/>
      <c r="I27" s="101"/>
      <c r="J27" s="34"/>
      <c r="K27" s="13"/>
      <c r="L27" s="13"/>
      <c r="M27" s="13"/>
      <c r="N27" s="13"/>
      <c r="O27" s="13"/>
      <c r="P27" s="13"/>
      <c r="Q27" s="13"/>
      <c r="R27" s="13"/>
      <c r="S27" s="13"/>
    </row>
    <row r="28" spans="2:77" customFormat="1">
      <c r="B28" s="4"/>
      <c r="D28" s="3"/>
      <c r="E28" s="4"/>
      <c r="F28" s="34"/>
      <c r="G28" s="101"/>
      <c r="H28" s="101"/>
      <c r="I28" s="34"/>
      <c r="M28" s="103"/>
      <c r="N28" s="4"/>
      <c r="O28" s="4"/>
      <c r="P28" s="4"/>
      <c r="Q28" s="4"/>
      <c r="R28" s="4"/>
      <c r="S28" s="103"/>
      <c r="T28" s="4"/>
      <c r="U28" s="4"/>
      <c r="V28" s="4"/>
      <c r="W28" s="4"/>
      <c r="X28" s="4"/>
      <c r="Y28" s="4"/>
      <c r="Z28" s="4"/>
      <c r="AA28" s="103"/>
      <c r="AB28" s="4"/>
      <c r="AC28" s="4"/>
      <c r="AD28" s="13"/>
      <c r="AE28" s="13"/>
      <c r="AF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2"/>
      <c r="BG28" s="13"/>
      <c r="BY28" s="13"/>
    </row>
    <row r="29" spans="2:77" customFormat="1">
      <c r="B29" s="110"/>
      <c r="C29" s="105" t="s">
        <v>434</v>
      </c>
      <c r="D29" s="3"/>
      <c r="E29" s="106"/>
      <c r="F29" s="34"/>
      <c r="G29" s="101"/>
      <c r="H29" s="101"/>
      <c r="I29" s="34"/>
      <c r="M29" s="103"/>
      <c r="N29" s="4"/>
      <c r="O29" s="4"/>
      <c r="P29" s="4"/>
      <c r="Q29" s="4"/>
      <c r="R29" s="4"/>
      <c r="S29" s="103"/>
      <c r="T29" s="4"/>
      <c r="U29" s="4"/>
      <c r="V29" s="4"/>
      <c r="W29" s="4"/>
      <c r="X29" s="4"/>
      <c r="Y29" s="4"/>
      <c r="Z29" s="4"/>
      <c r="AA29" s="103"/>
      <c r="AB29" s="4"/>
      <c r="AC29" s="4"/>
      <c r="AD29" s="13"/>
      <c r="AE29" s="13"/>
      <c r="AF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2"/>
      <c r="BG29" s="13"/>
      <c r="BY29" s="13"/>
    </row>
    <row r="30" spans="2:77" customFormat="1">
      <c r="B30" s="109"/>
      <c r="C30" s="105" t="s">
        <v>433</v>
      </c>
      <c r="D30" s="3"/>
      <c r="E30" s="106"/>
      <c r="F30" s="101"/>
      <c r="G30" s="101"/>
      <c r="H30" s="101"/>
      <c r="I30" s="34"/>
      <c r="J30" s="108"/>
      <c r="K30" s="108"/>
      <c r="L30" s="108"/>
      <c r="AA30" s="34"/>
      <c r="AB30" s="34"/>
      <c r="AC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I30" s="13"/>
    </row>
    <row r="31" spans="2:77" customFormat="1">
      <c r="F31" s="4"/>
      <c r="K31" s="4"/>
      <c r="AB31" s="99"/>
      <c r="AC31" s="99"/>
    </row>
  </sheetData>
  <mergeCells count="23">
    <mergeCell ref="A1:F1"/>
    <mergeCell ref="E4:G4"/>
    <mergeCell ref="K4:M4"/>
    <mergeCell ref="N4:P4"/>
    <mergeCell ref="Q4:S4"/>
    <mergeCell ref="T4:V4"/>
    <mergeCell ref="H4:J4"/>
    <mergeCell ref="W4:Y4"/>
    <mergeCell ref="W5:Y5"/>
    <mergeCell ref="Z5:AB5"/>
    <mergeCell ref="T5:V5"/>
    <mergeCell ref="AF5:AH5"/>
    <mergeCell ref="AI5:AK5"/>
    <mergeCell ref="AC5:AE5"/>
    <mergeCell ref="Z4:AB4"/>
    <mergeCell ref="AC4:AE4"/>
    <mergeCell ref="AF4:AH4"/>
    <mergeCell ref="AI4:AK4"/>
    <mergeCell ref="E5:G5"/>
    <mergeCell ref="H5:J5"/>
    <mergeCell ref="K5:M5"/>
    <mergeCell ref="N5:P5"/>
    <mergeCell ref="Q5:S5"/>
  </mergeCells>
  <phoneticPr fontId="1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F4C0-AAC7-432C-8547-6CB471071C8F}">
  <dimension ref="A1:AE79"/>
  <sheetViews>
    <sheetView zoomScale="70" zoomScaleNormal="70" workbookViewId="0">
      <pane xSplit="4" ySplit="5" topLeftCell="E6" activePane="bottomRight" state="frozen"/>
      <selection pane="topRight" activeCell="E1" sqref="E1"/>
      <selection pane="bottomLeft" activeCell="A5" sqref="A5"/>
      <selection pane="bottomRight" sqref="A1:I1"/>
    </sheetView>
  </sheetViews>
  <sheetFormatPr defaultColWidth="8.87890625" defaultRowHeight="14.35"/>
  <cols>
    <col min="1" max="1" width="5.1171875" style="4" customWidth="1"/>
    <col min="2" max="2" width="7.87890625" style="28" customWidth="1"/>
    <col min="3" max="3" width="28.64453125" style="19" customWidth="1"/>
    <col min="4" max="4" width="66.76171875" style="28" customWidth="1"/>
    <col min="5" max="5" width="7.52734375" customWidth="1"/>
    <col min="6" max="6" width="10.52734375" customWidth="1"/>
    <col min="7" max="7" width="6.234375" style="4" customWidth="1"/>
    <col min="8" max="8" width="7.5859375" customWidth="1"/>
    <col min="9" max="9" width="11.3515625" customWidth="1"/>
    <col min="10" max="10" width="5.8203125" style="4" customWidth="1"/>
    <col min="11" max="11" width="7.1171875" customWidth="1"/>
    <col min="12" max="12" width="11.05859375" customWidth="1"/>
    <col min="13" max="13" width="5.8203125" style="4" customWidth="1"/>
    <col min="14" max="14" width="7.87890625" customWidth="1"/>
    <col min="15" max="15" width="10.703125" customWidth="1"/>
    <col min="16" max="16" width="7.87890625" style="4" customWidth="1"/>
    <col min="17" max="17" width="7.87890625" customWidth="1"/>
    <col min="18" max="18" width="10.76171875" customWidth="1"/>
    <col min="19" max="19" width="7.87890625" style="4" customWidth="1"/>
    <col min="20" max="20" width="7.87890625" customWidth="1"/>
    <col min="21" max="21" width="9.3515625" customWidth="1"/>
    <col min="22" max="22" width="7.87890625" style="4" customWidth="1"/>
    <col min="23" max="23" width="7.87890625" customWidth="1"/>
    <col min="24" max="24" width="10" customWidth="1"/>
    <col min="25" max="25" width="7.87890625" style="4" customWidth="1"/>
    <col min="26" max="26" width="7.87890625" customWidth="1"/>
    <col min="27" max="27" width="10.52734375" customWidth="1"/>
    <col min="28" max="28" width="7.87890625" style="4" customWidth="1"/>
    <col min="29" max="29" width="7.87890625" customWidth="1"/>
    <col min="30" max="30" width="10.9375" customWidth="1"/>
    <col min="31" max="31" width="7.87890625" style="4" customWidth="1"/>
  </cols>
  <sheetData>
    <row r="1" spans="1:31" ht="24" customHeight="1">
      <c r="A1" s="379" t="s">
        <v>455</v>
      </c>
      <c r="B1" s="379"/>
      <c r="C1" s="379"/>
      <c r="D1" s="379"/>
      <c r="E1" s="379"/>
      <c r="F1" s="379"/>
      <c r="G1" s="379"/>
      <c r="H1" s="379"/>
      <c r="I1" s="379"/>
    </row>
    <row r="2" spans="1:31" ht="29.35" customHeight="1" thickBot="1"/>
    <row r="3" spans="1:31" ht="46.35" customHeight="1">
      <c r="E3" s="359" t="s">
        <v>444</v>
      </c>
      <c r="F3" s="360"/>
      <c r="G3" s="360"/>
      <c r="H3" s="360"/>
      <c r="I3" s="360"/>
      <c r="J3" s="360"/>
      <c r="K3" s="360"/>
      <c r="L3" s="360"/>
      <c r="M3" s="361"/>
      <c r="N3" s="353" t="s">
        <v>442</v>
      </c>
      <c r="O3" s="354"/>
      <c r="P3" s="354"/>
      <c r="Q3" s="354"/>
      <c r="R3" s="354"/>
      <c r="S3" s="354"/>
      <c r="T3" s="354"/>
      <c r="U3" s="354"/>
      <c r="V3" s="355"/>
      <c r="W3" s="356" t="s">
        <v>443</v>
      </c>
      <c r="X3" s="357"/>
      <c r="Y3" s="357"/>
      <c r="Z3" s="357"/>
      <c r="AA3" s="357"/>
      <c r="AB3" s="357"/>
      <c r="AC3" s="357"/>
      <c r="AD3" s="357"/>
      <c r="AE3" s="358"/>
    </row>
    <row r="4" spans="1:31" s="1" customFormat="1">
      <c r="A4" s="135"/>
      <c r="B4" s="136"/>
      <c r="C4" s="137"/>
      <c r="D4" s="136"/>
      <c r="E4" s="362" t="s">
        <v>435</v>
      </c>
      <c r="F4" s="363"/>
      <c r="G4" s="363"/>
      <c r="H4" s="364" t="s">
        <v>440</v>
      </c>
      <c r="I4" s="363"/>
      <c r="J4" s="365"/>
      <c r="K4" s="363" t="s">
        <v>441</v>
      </c>
      <c r="L4" s="363"/>
      <c r="M4" s="366"/>
      <c r="N4" s="367" t="s">
        <v>435</v>
      </c>
      <c r="O4" s="368"/>
      <c r="P4" s="368"/>
      <c r="Q4" s="369" t="s">
        <v>440</v>
      </c>
      <c r="R4" s="368"/>
      <c r="S4" s="370"/>
      <c r="T4" s="368" t="s">
        <v>441</v>
      </c>
      <c r="U4" s="368"/>
      <c r="V4" s="371"/>
      <c r="W4" s="372" t="s">
        <v>435</v>
      </c>
      <c r="X4" s="373"/>
      <c r="Y4" s="373"/>
      <c r="Z4" s="374" t="s">
        <v>440</v>
      </c>
      <c r="AA4" s="373"/>
      <c r="AB4" s="375"/>
      <c r="AC4" s="373" t="s">
        <v>441</v>
      </c>
      <c r="AD4" s="373"/>
      <c r="AE4" s="376"/>
    </row>
    <row r="5" spans="1:31" s="130" customFormat="1" ht="16.350000000000001">
      <c r="A5" s="127"/>
      <c r="B5" s="128" t="s">
        <v>436</v>
      </c>
      <c r="C5" s="129" t="s">
        <v>437</v>
      </c>
      <c r="D5" s="127" t="s">
        <v>439</v>
      </c>
      <c r="E5" s="138" t="s">
        <v>8</v>
      </c>
      <c r="F5" s="139" t="s">
        <v>76</v>
      </c>
      <c r="G5" s="139" t="s">
        <v>77</v>
      </c>
      <c r="H5" s="179" t="s">
        <v>78</v>
      </c>
      <c r="I5" s="139" t="s">
        <v>79</v>
      </c>
      <c r="J5" s="186" t="s">
        <v>80</v>
      </c>
      <c r="K5" s="139" t="s">
        <v>81</v>
      </c>
      <c r="L5" s="139" t="s">
        <v>82</v>
      </c>
      <c r="M5" s="140" t="s">
        <v>83</v>
      </c>
      <c r="N5" s="138" t="s">
        <v>6</v>
      </c>
      <c r="O5" s="139" t="s">
        <v>7</v>
      </c>
      <c r="P5" s="139" t="s">
        <v>14</v>
      </c>
      <c r="Q5" s="179" t="s">
        <v>61</v>
      </c>
      <c r="R5" s="139" t="s">
        <v>62</v>
      </c>
      <c r="S5" s="186" t="s">
        <v>63</v>
      </c>
      <c r="T5" s="139" t="s">
        <v>64</v>
      </c>
      <c r="U5" s="139" t="s">
        <v>65</v>
      </c>
      <c r="V5" s="140" t="s">
        <v>66</v>
      </c>
      <c r="W5" s="138" t="s">
        <v>67</v>
      </c>
      <c r="X5" s="139" t="s">
        <v>68</v>
      </c>
      <c r="Y5" s="139" t="s">
        <v>69</v>
      </c>
      <c r="Z5" s="179" t="s">
        <v>70</v>
      </c>
      <c r="AA5" s="139" t="s">
        <v>71</v>
      </c>
      <c r="AB5" s="186" t="s">
        <v>72</v>
      </c>
      <c r="AC5" s="139" t="s">
        <v>73</v>
      </c>
      <c r="AD5" s="139" t="s">
        <v>74</v>
      </c>
      <c r="AE5" s="140" t="s">
        <v>75</v>
      </c>
    </row>
    <row r="6" spans="1:31">
      <c r="B6" s="29" t="s">
        <v>84</v>
      </c>
      <c r="C6" s="30" t="s">
        <v>85</v>
      </c>
      <c r="D6" s="111" t="s">
        <v>230</v>
      </c>
      <c r="E6" s="154" t="s">
        <v>0</v>
      </c>
      <c r="F6" s="22">
        <v>0</v>
      </c>
      <c r="G6" s="22">
        <f t="shared" ref="G6:G37" si="0">F6/$F$66*100</f>
        <v>0</v>
      </c>
      <c r="H6" s="21" t="s">
        <v>0</v>
      </c>
      <c r="I6" s="22">
        <v>0</v>
      </c>
      <c r="J6" s="35">
        <f t="shared" ref="J6:J37" si="1">I6/$I$66*100</f>
        <v>0</v>
      </c>
      <c r="K6" s="185" t="s">
        <v>0</v>
      </c>
      <c r="L6" s="22">
        <v>0</v>
      </c>
      <c r="M6" s="155">
        <f t="shared" ref="M6:M37" si="2">L6/$L$66*100</f>
        <v>0</v>
      </c>
      <c r="N6" s="141">
        <v>6.57</v>
      </c>
      <c r="O6" s="142">
        <v>19536.16</v>
      </c>
      <c r="P6" s="142">
        <f t="shared" ref="P6:P65" si="3">O6/$O$66*100</f>
        <v>0.84106657130753548</v>
      </c>
      <c r="Q6" s="131">
        <v>6.24</v>
      </c>
      <c r="R6" s="142">
        <v>27649.5</v>
      </c>
      <c r="S6" s="187">
        <f t="shared" ref="S6:S65" si="4">R6/$R$66*100</f>
        <v>1.2738233636301612</v>
      </c>
      <c r="T6" s="183">
        <v>6.19</v>
      </c>
      <c r="U6" s="142">
        <v>14762.59</v>
      </c>
      <c r="V6" s="143">
        <f t="shared" ref="V6:V65" si="5">U6/$U$66*100</f>
        <v>0.61872514965834913</v>
      </c>
      <c r="W6" s="141">
        <v>6.03</v>
      </c>
      <c r="X6" s="142">
        <v>21565.19</v>
      </c>
      <c r="Y6" s="142">
        <f t="shared" ref="Y6:Y65" si="6">X6/$X$66*100</f>
        <v>0.93511651188908307</v>
      </c>
      <c r="Z6" s="131">
        <v>5.97</v>
      </c>
      <c r="AA6" s="142">
        <v>18209.37</v>
      </c>
      <c r="AB6" s="187">
        <f t="shared" ref="AB6:AB65" si="7">AA6/$AA$66*100</f>
        <v>0.77613190020528366</v>
      </c>
      <c r="AC6" s="183">
        <v>6.34</v>
      </c>
      <c r="AD6" s="142">
        <v>18826.66</v>
      </c>
      <c r="AE6" s="143">
        <f t="shared" ref="AE6:AE65" si="8">AD6/$AD$66*100</f>
        <v>0.86486174703087215</v>
      </c>
    </row>
    <row r="7" spans="1:31">
      <c r="B7" s="29" t="s">
        <v>86</v>
      </c>
      <c r="C7" s="30" t="s">
        <v>85</v>
      </c>
      <c r="D7" s="111" t="s">
        <v>231</v>
      </c>
      <c r="E7" s="154">
        <v>9.9</v>
      </c>
      <c r="F7" s="22">
        <v>28730.23</v>
      </c>
      <c r="G7" s="197">
        <f t="shared" si="0"/>
        <v>0.88775730248231777</v>
      </c>
      <c r="H7" s="21">
        <v>9.89</v>
      </c>
      <c r="I7" s="22">
        <v>30794.26</v>
      </c>
      <c r="J7" s="211">
        <f t="shared" si="1"/>
        <v>0.98617114012427254</v>
      </c>
      <c r="K7" s="185">
        <v>9.9</v>
      </c>
      <c r="L7" s="22">
        <v>26722.78</v>
      </c>
      <c r="M7" s="198">
        <f t="shared" si="2"/>
        <v>1.1198413470578243</v>
      </c>
      <c r="N7" s="144" t="s">
        <v>0</v>
      </c>
      <c r="O7" s="145">
        <v>0</v>
      </c>
      <c r="P7" s="146">
        <f t="shared" si="3"/>
        <v>0</v>
      </c>
      <c r="Q7" s="25" t="s">
        <v>0</v>
      </c>
      <c r="R7" s="145">
        <v>0</v>
      </c>
      <c r="S7" s="188">
        <f t="shared" si="4"/>
        <v>0</v>
      </c>
      <c r="T7" s="184" t="s">
        <v>0</v>
      </c>
      <c r="U7" s="145">
        <v>0</v>
      </c>
      <c r="V7" s="147">
        <f t="shared" si="5"/>
        <v>0</v>
      </c>
      <c r="W7" s="144" t="s">
        <v>0</v>
      </c>
      <c r="X7" s="145">
        <v>0</v>
      </c>
      <c r="Y7" s="146">
        <f t="shared" si="6"/>
        <v>0</v>
      </c>
      <c r="Z7" s="25" t="s">
        <v>0</v>
      </c>
      <c r="AA7" s="145">
        <v>0</v>
      </c>
      <c r="AB7" s="188">
        <f t="shared" si="7"/>
        <v>0</v>
      </c>
      <c r="AC7" s="184" t="s">
        <v>0</v>
      </c>
      <c r="AD7" s="145">
        <v>0</v>
      </c>
      <c r="AE7" s="147">
        <f t="shared" si="8"/>
        <v>0</v>
      </c>
    </row>
    <row r="8" spans="1:31">
      <c r="B8" s="29">
        <v>448</v>
      </c>
      <c r="C8" s="32" t="s">
        <v>87</v>
      </c>
      <c r="D8" s="28" t="s">
        <v>88</v>
      </c>
      <c r="E8" s="199">
        <v>12.71</v>
      </c>
      <c r="F8" s="200">
        <v>20667.82</v>
      </c>
      <c r="G8" s="201">
        <f t="shared" si="0"/>
        <v>0.63863074299753597</v>
      </c>
      <c r="H8" s="210">
        <v>12.76</v>
      </c>
      <c r="I8" s="200">
        <v>19581.52</v>
      </c>
      <c r="J8" s="212">
        <f t="shared" si="1"/>
        <v>0.6270886166371995</v>
      </c>
      <c r="K8" s="202">
        <v>12.78</v>
      </c>
      <c r="L8" s="200">
        <v>16430.14</v>
      </c>
      <c r="M8" s="203">
        <f t="shared" si="2"/>
        <v>0.68851931236004049</v>
      </c>
      <c r="N8" s="173" t="s">
        <v>0</v>
      </c>
      <c r="O8" s="149">
        <v>0</v>
      </c>
      <c r="P8" s="150">
        <f t="shared" si="3"/>
        <v>0</v>
      </c>
      <c r="Q8" s="132" t="s">
        <v>0</v>
      </c>
      <c r="R8" s="149">
        <v>0</v>
      </c>
      <c r="S8" s="189">
        <f t="shared" si="4"/>
        <v>0</v>
      </c>
      <c r="T8" s="174" t="s">
        <v>0</v>
      </c>
      <c r="U8" s="149">
        <v>0</v>
      </c>
      <c r="V8" s="152">
        <f t="shared" si="5"/>
        <v>0</v>
      </c>
      <c r="W8" s="148" t="s">
        <v>0</v>
      </c>
      <c r="X8" s="149">
        <v>0</v>
      </c>
      <c r="Y8" s="150">
        <f t="shared" si="6"/>
        <v>0</v>
      </c>
      <c r="Z8" s="180" t="s">
        <v>0</v>
      </c>
      <c r="AA8" s="149">
        <v>0</v>
      </c>
      <c r="AB8" s="189">
        <f t="shared" si="7"/>
        <v>0</v>
      </c>
      <c r="AC8" s="151" t="s">
        <v>0</v>
      </c>
      <c r="AD8" s="149">
        <v>0</v>
      </c>
      <c r="AE8" s="152">
        <f t="shared" si="8"/>
        <v>0</v>
      </c>
    </row>
    <row r="9" spans="1:31">
      <c r="B9" s="29">
        <v>488</v>
      </c>
      <c r="C9" s="30" t="s">
        <v>89</v>
      </c>
      <c r="D9" s="28" t="s">
        <v>90</v>
      </c>
      <c r="E9" s="154">
        <v>11.52</v>
      </c>
      <c r="F9" s="22">
        <v>36297.269999999997</v>
      </c>
      <c r="G9" s="22">
        <f t="shared" si="0"/>
        <v>1.1215770462913925</v>
      </c>
      <c r="H9" s="21" t="s">
        <v>91</v>
      </c>
      <c r="I9" s="22">
        <v>36028.699999999997</v>
      </c>
      <c r="J9" s="35">
        <f t="shared" si="1"/>
        <v>1.153801525225655</v>
      </c>
      <c r="K9" s="185">
        <v>11.53</v>
      </c>
      <c r="L9" s="22">
        <v>19519.34</v>
      </c>
      <c r="M9" s="155">
        <f t="shared" si="2"/>
        <v>0.81797492623445889</v>
      </c>
      <c r="N9" s="144" t="s">
        <v>0</v>
      </c>
      <c r="O9" s="145">
        <v>0</v>
      </c>
      <c r="P9" s="145">
        <f t="shared" si="3"/>
        <v>0</v>
      </c>
      <c r="Q9" s="25" t="s">
        <v>0</v>
      </c>
      <c r="R9" s="145">
        <v>0</v>
      </c>
      <c r="S9" s="190">
        <f t="shared" si="4"/>
        <v>0</v>
      </c>
      <c r="T9" s="184" t="s">
        <v>0</v>
      </c>
      <c r="U9" s="145">
        <v>0</v>
      </c>
      <c r="V9" s="153">
        <f t="shared" si="5"/>
        <v>0</v>
      </c>
      <c r="W9" s="144" t="s">
        <v>0</v>
      </c>
      <c r="X9" s="145">
        <v>0</v>
      </c>
      <c r="Y9" s="145">
        <f t="shared" si="6"/>
        <v>0</v>
      </c>
      <c r="Z9" s="25" t="s">
        <v>0</v>
      </c>
      <c r="AA9" s="145">
        <v>0</v>
      </c>
      <c r="AB9" s="190">
        <f t="shared" si="7"/>
        <v>0</v>
      </c>
      <c r="AC9" s="184" t="s">
        <v>0</v>
      </c>
      <c r="AD9" s="145">
        <v>0</v>
      </c>
      <c r="AE9" s="153">
        <f t="shared" si="8"/>
        <v>0</v>
      </c>
    </row>
    <row r="10" spans="1:31">
      <c r="B10" s="31">
        <v>505</v>
      </c>
      <c r="C10" s="30" t="s">
        <v>92</v>
      </c>
      <c r="D10" s="111" t="s">
        <v>232</v>
      </c>
      <c r="E10" s="154" t="s">
        <v>0</v>
      </c>
      <c r="F10" s="22">
        <v>0</v>
      </c>
      <c r="G10" s="22">
        <f t="shared" si="0"/>
        <v>0</v>
      </c>
      <c r="H10" s="21" t="s">
        <v>0</v>
      </c>
      <c r="I10" s="22">
        <v>0</v>
      </c>
      <c r="J10" s="35">
        <f t="shared" si="1"/>
        <v>0</v>
      </c>
      <c r="K10" s="185" t="s">
        <v>0</v>
      </c>
      <c r="L10" s="22">
        <v>0</v>
      </c>
      <c r="M10" s="155">
        <f t="shared" si="2"/>
        <v>0</v>
      </c>
      <c r="N10" s="141">
        <v>11.81</v>
      </c>
      <c r="O10" s="142">
        <v>28887.33</v>
      </c>
      <c r="P10" s="142">
        <f t="shared" si="3"/>
        <v>1.2436511370366188</v>
      </c>
      <c r="Q10" s="131">
        <v>11.79</v>
      </c>
      <c r="R10" s="142">
        <v>24683.31</v>
      </c>
      <c r="S10" s="187">
        <f t="shared" si="4"/>
        <v>1.1371698211441799</v>
      </c>
      <c r="T10" s="183" t="s">
        <v>93</v>
      </c>
      <c r="U10" s="142">
        <v>30841.200000000001</v>
      </c>
      <c r="V10" s="143">
        <f t="shared" si="5"/>
        <v>1.2926069264026894</v>
      </c>
      <c r="W10" s="141">
        <v>11.6</v>
      </c>
      <c r="X10" s="142">
        <v>45515.33</v>
      </c>
      <c r="Y10" s="142">
        <f t="shared" si="6"/>
        <v>1.9736499714159972</v>
      </c>
      <c r="Z10" s="131">
        <v>11.47</v>
      </c>
      <c r="AA10" s="142">
        <v>37652.019999999997</v>
      </c>
      <c r="AB10" s="187">
        <f t="shared" si="7"/>
        <v>1.6048294822482791</v>
      </c>
      <c r="AC10" s="183">
        <v>11.5</v>
      </c>
      <c r="AD10" s="142">
        <v>41453.629999999997</v>
      </c>
      <c r="AE10" s="143">
        <f t="shared" si="8"/>
        <v>1.9043026677366761</v>
      </c>
    </row>
    <row r="11" spans="1:31">
      <c r="B11" s="29" t="s">
        <v>94</v>
      </c>
      <c r="C11" s="30" t="s">
        <v>95</v>
      </c>
      <c r="D11" s="111" t="s">
        <v>96</v>
      </c>
      <c r="E11" s="154" t="s">
        <v>101</v>
      </c>
      <c r="F11" s="22">
        <v>9543.1</v>
      </c>
      <c r="G11" s="22">
        <f t="shared" si="0"/>
        <v>0.2948795297955849</v>
      </c>
      <c r="H11" s="21" t="s">
        <v>103</v>
      </c>
      <c r="I11" s="22">
        <v>8405</v>
      </c>
      <c r="J11" s="35">
        <f t="shared" si="1"/>
        <v>0.26916602096444309</v>
      </c>
      <c r="K11" s="185">
        <v>10.6</v>
      </c>
      <c r="L11" s="22">
        <v>14942.94</v>
      </c>
      <c r="M11" s="155">
        <f t="shared" si="2"/>
        <v>0.6261969023658559</v>
      </c>
      <c r="N11" s="154" t="s">
        <v>97</v>
      </c>
      <c r="O11" s="22">
        <v>21602.2</v>
      </c>
      <c r="P11" s="22">
        <f t="shared" si="3"/>
        <v>0.93001328237993763</v>
      </c>
      <c r="Q11" s="21" t="s">
        <v>98</v>
      </c>
      <c r="R11" s="22">
        <v>22209.5</v>
      </c>
      <c r="S11" s="35">
        <f t="shared" si="4"/>
        <v>1.023200419340099</v>
      </c>
      <c r="T11" s="185" t="s">
        <v>99</v>
      </c>
      <c r="U11" s="22">
        <v>18010.099999999999</v>
      </c>
      <c r="V11" s="155">
        <f t="shared" si="5"/>
        <v>0.75483379392517391</v>
      </c>
      <c r="W11" s="154" t="s">
        <v>100</v>
      </c>
      <c r="X11" s="22">
        <v>14413.6</v>
      </c>
      <c r="Y11" s="22">
        <f t="shared" si="6"/>
        <v>0.62500703011494407</v>
      </c>
      <c r="Z11" s="21" t="s">
        <v>101</v>
      </c>
      <c r="AA11" s="22">
        <v>13871.8</v>
      </c>
      <c r="AB11" s="35">
        <f t="shared" si="7"/>
        <v>0.5912531017419963</v>
      </c>
      <c r="AC11" s="185" t="s">
        <v>102</v>
      </c>
      <c r="AD11" s="22">
        <v>13447.9</v>
      </c>
      <c r="AE11" s="155">
        <f t="shared" si="8"/>
        <v>0.61777151591925838</v>
      </c>
    </row>
    <row r="12" spans="1:31">
      <c r="B12" s="29" t="s">
        <v>104</v>
      </c>
      <c r="C12" s="30" t="s">
        <v>95</v>
      </c>
      <c r="D12" s="28" t="s">
        <v>233</v>
      </c>
      <c r="E12" s="154" t="s">
        <v>105</v>
      </c>
      <c r="F12" s="22">
        <v>9703.9</v>
      </c>
      <c r="G12" s="22">
        <f t="shared" si="0"/>
        <v>0.299848211711433</v>
      </c>
      <c r="H12" s="21" t="s">
        <v>106</v>
      </c>
      <c r="I12" s="22">
        <v>11663.1</v>
      </c>
      <c r="J12" s="35">
        <f t="shared" si="1"/>
        <v>0.3735050825830335</v>
      </c>
      <c r="K12" s="185">
        <v>12</v>
      </c>
      <c r="L12" s="22">
        <v>29209</v>
      </c>
      <c r="M12" s="155">
        <f t="shared" si="2"/>
        <v>1.2240285593868598</v>
      </c>
      <c r="N12" s="144" t="s">
        <v>0</v>
      </c>
      <c r="O12" s="145">
        <v>0</v>
      </c>
      <c r="P12" s="145">
        <f t="shared" si="3"/>
        <v>0</v>
      </c>
      <c r="Q12" s="25" t="s">
        <v>0</v>
      </c>
      <c r="R12" s="145">
        <v>0</v>
      </c>
      <c r="S12" s="190">
        <f t="shared" si="4"/>
        <v>0</v>
      </c>
      <c r="T12" s="184" t="s">
        <v>0</v>
      </c>
      <c r="U12" s="145">
        <v>0</v>
      </c>
      <c r="V12" s="153">
        <f t="shared" si="5"/>
        <v>0</v>
      </c>
      <c r="W12" s="144" t="s">
        <v>0</v>
      </c>
      <c r="X12" s="145">
        <v>0</v>
      </c>
      <c r="Y12" s="145">
        <f t="shared" si="6"/>
        <v>0</v>
      </c>
      <c r="Z12" s="25" t="s">
        <v>0</v>
      </c>
      <c r="AA12" s="145">
        <v>0</v>
      </c>
      <c r="AB12" s="190">
        <f t="shared" si="7"/>
        <v>0</v>
      </c>
      <c r="AC12" s="184" t="s">
        <v>0</v>
      </c>
      <c r="AD12" s="145">
        <v>0</v>
      </c>
      <c r="AE12" s="153">
        <f t="shared" si="8"/>
        <v>0</v>
      </c>
    </row>
    <row r="13" spans="1:31">
      <c r="B13" s="29">
        <v>628</v>
      </c>
      <c r="C13" s="30" t="s">
        <v>107</v>
      </c>
      <c r="D13" s="111" t="s">
        <v>234</v>
      </c>
      <c r="E13" s="154">
        <v>11.7</v>
      </c>
      <c r="F13" s="22">
        <v>17217.66</v>
      </c>
      <c r="G13" s="22">
        <f t="shared" si="0"/>
        <v>0.53202161613943588</v>
      </c>
      <c r="H13" s="21">
        <v>11.69</v>
      </c>
      <c r="I13" s="22">
        <v>14220.46</v>
      </c>
      <c r="J13" s="35">
        <f t="shared" si="1"/>
        <v>0.4554032878624657</v>
      </c>
      <c r="K13" s="185">
        <v>11.65</v>
      </c>
      <c r="L13" s="22">
        <v>10361.950000000001</v>
      </c>
      <c r="M13" s="155">
        <f t="shared" si="2"/>
        <v>0.43422653055355104</v>
      </c>
      <c r="N13" s="154">
        <v>11.92</v>
      </c>
      <c r="O13" s="22">
        <v>17014.64</v>
      </c>
      <c r="P13" s="22">
        <f t="shared" si="3"/>
        <v>0.73251063294076446</v>
      </c>
      <c r="Q13" s="21">
        <v>11.85</v>
      </c>
      <c r="R13" s="22">
        <v>13622.37</v>
      </c>
      <c r="S13" s="35">
        <f t="shared" si="4"/>
        <v>0.62758795544276025</v>
      </c>
      <c r="T13" s="185">
        <v>11.83</v>
      </c>
      <c r="U13" s="22">
        <v>14619.12</v>
      </c>
      <c r="V13" s="155">
        <f t="shared" si="5"/>
        <v>0.61271207896943336</v>
      </c>
      <c r="W13" s="144" t="s">
        <v>0</v>
      </c>
      <c r="X13" s="145">
        <v>0</v>
      </c>
      <c r="Y13" s="145">
        <f t="shared" si="6"/>
        <v>0</v>
      </c>
      <c r="Z13" s="25" t="s">
        <v>0</v>
      </c>
      <c r="AA13" s="145">
        <v>0</v>
      </c>
      <c r="AB13" s="190">
        <f t="shared" si="7"/>
        <v>0</v>
      </c>
      <c r="AC13" s="184" t="s">
        <v>0</v>
      </c>
      <c r="AD13" s="145">
        <v>0</v>
      </c>
      <c r="AE13" s="153">
        <f t="shared" si="8"/>
        <v>0</v>
      </c>
    </row>
    <row r="14" spans="1:31">
      <c r="B14" s="31" t="s">
        <v>108</v>
      </c>
      <c r="C14" s="30" t="s">
        <v>109</v>
      </c>
      <c r="D14" s="111" t="s">
        <v>110</v>
      </c>
      <c r="E14" s="154">
        <v>11.76</v>
      </c>
      <c r="F14" s="22">
        <v>96250.22</v>
      </c>
      <c r="G14" s="22">
        <f t="shared" si="0"/>
        <v>2.9741090019303584</v>
      </c>
      <c r="H14" s="21">
        <v>11.75</v>
      </c>
      <c r="I14" s="22">
        <v>86861.43</v>
      </c>
      <c r="J14" s="35">
        <f t="shared" si="1"/>
        <v>2.7816948826152892</v>
      </c>
      <c r="K14" s="185">
        <v>11.83</v>
      </c>
      <c r="L14" s="22">
        <v>72000.25</v>
      </c>
      <c r="M14" s="155">
        <f t="shared" si="2"/>
        <v>3.0172331227701652</v>
      </c>
      <c r="N14" s="154">
        <v>12.15</v>
      </c>
      <c r="O14" s="22">
        <v>342306.86</v>
      </c>
      <c r="P14" s="22">
        <f t="shared" si="3"/>
        <v>14.736921538073428</v>
      </c>
      <c r="Q14" s="21">
        <v>12.19</v>
      </c>
      <c r="R14" s="22">
        <v>312622.21000000002</v>
      </c>
      <c r="S14" s="35">
        <f t="shared" si="4"/>
        <v>14.402628441298926</v>
      </c>
      <c r="T14" s="185">
        <v>12</v>
      </c>
      <c r="U14" s="22">
        <v>353931.95</v>
      </c>
      <c r="V14" s="155">
        <f t="shared" si="5"/>
        <v>14.833887463691761</v>
      </c>
      <c r="W14" s="154">
        <v>11.94</v>
      </c>
      <c r="X14" s="22">
        <v>394132.82</v>
      </c>
      <c r="Y14" s="22">
        <f t="shared" si="6"/>
        <v>17.090510580217838</v>
      </c>
      <c r="Z14" s="21">
        <v>11.99</v>
      </c>
      <c r="AA14" s="22">
        <v>387360.75</v>
      </c>
      <c r="AB14" s="35">
        <f t="shared" si="7"/>
        <v>16.510347967142401</v>
      </c>
      <c r="AC14" s="185" t="s">
        <v>111</v>
      </c>
      <c r="AD14" s="22">
        <v>317202.90000000002</v>
      </c>
      <c r="AE14" s="155">
        <f t="shared" si="8"/>
        <v>14.571711299681359</v>
      </c>
    </row>
    <row r="15" spans="1:31">
      <c r="B15" s="111" t="s">
        <v>112</v>
      </c>
      <c r="C15" s="29" t="s">
        <v>109</v>
      </c>
      <c r="D15" s="28" t="s">
        <v>235</v>
      </c>
      <c r="E15" s="154" t="s">
        <v>114</v>
      </c>
      <c r="F15" s="22">
        <v>9946.2000000000007</v>
      </c>
      <c r="G15" s="22">
        <f t="shared" si="0"/>
        <v>0.30733522432467925</v>
      </c>
      <c r="H15" s="21">
        <v>13.24</v>
      </c>
      <c r="I15" s="22">
        <v>17580.68</v>
      </c>
      <c r="J15" s="35">
        <f t="shared" si="1"/>
        <v>0.56301269261739029</v>
      </c>
      <c r="K15" s="185">
        <v>13.32</v>
      </c>
      <c r="L15" s="22">
        <v>16655.830000000002</v>
      </c>
      <c r="M15" s="155">
        <f t="shared" si="2"/>
        <v>0.69797704818009665</v>
      </c>
      <c r="N15" s="154">
        <v>13.01</v>
      </c>
      <c r="O15" s="22">
        <v>301324.90000000002</v>
      </c>
      <c r="P15" s="22">
        <f t="shared" si="3"/>
        <v>12.972574983650114</v>
      </c>
      <c r="Q15" s="21">
        <v>13.19</v>
      </c>
      <c r="R15" s="22">
        <v>254785.19</v>
      </c>
      <c r="S15" s="35">
        <f t="shared" si="4"/>
        <v>11.738054132224804</v>
      </c>
      <c r="T15" s="185">
        <v>13.06</v>
      </c>
      <c r="U15" s="22">
        <v>295956.40999999997</v>
      </c>
      <c r="V15" s="155">
        <f t="shared" si="5"/>
        <v>12.404034391634378</v>
      </c>
      <c r="W15" s="154">
        <v>12.89</v>
      </c>
      <c r="X15" s="22">
        <v>329503.62</v>
      </c>
      <c r="Y15" s="22">
        <f t="shared" si="6"/>
        <v>14.288039001243483</v>
      </c>
      <c r="Z15" s="21">
        <v>12.92</v>
      </c>
      <c r="AA15" s="22">
        <v>304326.11</v>
      </c>
      <c r="AB15" s="35">
        <f t="shared" si="7"/>
        <v>12.971190218902805</v>
      </c>
      <c r="AC15" s="185" t="s">
        <v>113</v>
      </c>
      <c r="AD15" s="22">
        <v>195648.9</v>
      </c>
      <c r="AE15" s="155">
        <f t="shared" si="8"/>
        <v>8.9877466028848669</v>
      </c>
    </row>
    <row r="16" spans="1:31">
      <c r="B16" s="111" t="s">
        <v>115</v>
      </c>
      <c r="C16" s="29" t="s">
        <v>109</v>
      </c>
      <c r="D16" s="28" t="s">
        <v>116</v>
      </c>
      <c r="E16" s="154">
        <v>14.17</v>
      </c>
      <c r="F16" s="22">
        <v>24343.32</v>
      </c>
      <c r="G16" s="22">
        <f t="shared" si="0"/>
        <v>0.75220282248571824</v>
      </c>
      <c r="H16" s="21">
        <v>14.11</v>
      </c>
      <c r="I16" s="22">
        <v>24008.95</v>
      </c>
      <c r="J16" s="35">
        <f t="shared" si="1"/>
        <v>0.76887490053947249</v>
      </c>
      <c r="K16" s="185">
        <v>14.06</v>
      </c>
      <c r="L16" s="22">
        <v>17311.05</v>
      </c>
      <c r="M16" s="155">
        <f t="shared" si="2"/>
        <v>0.72543461237885243</v>
      </c>
      <c r="N16" s="144" t="s">
        <v>0</v>
      </c>
      <c r="O16" s="145">
        <v>0</v>
      </c>
      <c r="P16" s="145">
        <f t="shared" si="3"/>
        <v>0</v>
      </c>
      <c r="Q16" s="25" t="s">
        <v>0</v>
      </c>
      <c r="R16" s="145">
        <v>0</v>
      </c>
      <c r="S16" s="190">
        <f t="shared" si="4"/>
        <v>0</v>
      </c>
      <c r="T16" s="184" t="s">
        <v>0</v>
      </c>
      <c r="U16" s="145">
        <v>0</v>
      </c>
      <c r="V16" s="153">
        <f t="shared" si="5"/>
        <v>0</v>
      </c>
      <c r="W16" s="144" t="s">
        <v>0</v>
      </c>
      <c r="X16" s="145">
        <v>0</v>
      </c>
      <c r="Y16" s="145">
        <f t="shared" si="6"/>
        <v>0</v>
      </c>
      <c r="Z16" s="25" t="s">
        <v>0</v>
      </c>
      <c r="AA16" s="145">
        <v>0</v>
      </c>
      <c r="AB16" s="190">
        <f t="shared" si="7"/>
        <v>0</v>
      </c>
      <c r="AC16" s="184" t="s">
        <v>0</v>
      </c>
      <c r="AD16" s="145">
        <v>0</v>
      </c>
      <c r="AE16" s="153">
        <f t="shared" si="8"/>
        <v>0</v>
      </c>
    </row>
    <row r="17" spans="2:31">
      <c r="B17" s="111">
        <v>675</v>
      </c>
      <c r="C17" s="29" t="s">
        <v>117</v>
      </c>
      <c r="D17" s="28" t="s">
        <v>118</v>
      </c>
      <c r="E17" s="154">
        <v>12.34</v>
      </c>
      <c r="F17" s="22">
        <v>62785.3</v>
      </c>
      <c r="G17" s="22">
        <f t="shared" si="0"/>
        <v>1.9400508998202615</v>
      </c>
      <c r="H17" s="21">
        <v>12.34</v>
      </c>
      <c r="I17" s="22">
        <v>61027.97</v>
      </c>
      <c r="J17" s="35">
        <f t="shared" si="1"/>
        <v>1.9543909402067108</v>
      </c>
      <c r="K17" s="185">
        <v>12.36</v>
      </c>
      <c r="L17" s="22">
        <v>48356.14</v>
      </c>
      <c r="M17" s="155">
        <f t="shared" si="2"/>
        <v>2.0264061207747375</v>
      </c>
      <c r="N17" s="144" t="s">
        <v>0</v>
      </c>
      <c r="O17" s="145">
        <v>0</v>
      </c>
      <c r="P17" s="145">
        <f t="shared" si="3"/>
        <v>0</v>
      </c>
      <c r="Q17" s="25" t="s">
        <v>0</v>
      </c>
      <c r="R17" s="145">
        <v>0</v>
      </c>
      <c r="S17" s="190">
        <f t="shared" si="4"/>
        <v>0</v>
      </c>
      <c r="T17" s="184" t="s">
        <v>0</v>
      </c>
      <c r="U17" s="145">
        <v>0</v>
      </c>
      <c r="V17" s="153">
        <f t="shared" si="5"/>
        <v>0</v>
      </c>
      <c r="W17" s="144" t="s">
        <v>0</v>
      </c>
      <c r="X17" s="145">
        <v>0</v>
      </c>
      <c r="Y17" s="145">
        <f t="shared" si="6"/>
        <v>0</v>
      </c>
      <c r="Z17" s="25" t="s">
        <v>0</v>
      </c>
      <c r="AA17" s="145">
        <v>0</v>
      </c>
      <c r="AB17" s="190">
        <f t="shared" si="7"/>
        <v>0</v>
      </c>
      <c r="AC17" s="184" t="s">
        <v>0</v>
      </c>
      <c r="AD17" s="145">
        <v>0</v>
      </c>
      <c r="AE17" s="153">
        <f t="shared" si="8"/>
        <v>0</v>
      </c>
    </row>
    <row r="18" spans="2:31">
      <c r="B18" s="111">
        <v>691</v>
      </c>
      <c r="C18" s="29" t="s">
        <v>119</v>
      </c>
      <c r="D18" s="28" t="s">
        <v>236</v>
      </c>
      <c r="E18" s="154">
        <v>12.17</v>
      </c>
      <c r="F18" s="22">
        <v>56549.46</v>
      </c>
      <c r="G18" s="22">
        <f t="shared" si="0"/>
        <v>1.7473649207274615</v>
      </c>
      <c r="H18" s="21">
        <v>12.16</v>
      </c>
      <c r="I18" s="22">
        <v>53095.68</v>
      </c>
      <c r="J18" s="35">
        <f t="shared" si="1"/>
        <v>1.7003632261750581</v>
      </c>
      <c r="K18" s="185">
        <v>12.12</v>
      </c>
      <c r="L18" s="22">
        <v>44717.47</v>
      </c>
      <c r="M18" s="155">
        <f t="shared" si="2"/>
        <v>1.8739244884633206</v>
      </c>
      <c r="N18" s="144" t="s">
        <v>0</v>
      </c>
      <c r="O18" s="145">
        <v>0</v>
      </c>
      <c r="P18" s="145">
        <f t="shared" si="3"/>
        <v>0</v>
      </c>
      <c r="Q18" s="25" t="s">
        <v>0</v>
      </c>
      <c r="R18" s="145">
        <v>0</v>
      </c>
      <c r="S18" s="190">
        <f t="shared" si="4"/>
        <v>0</v>
      </c>
      <c r="T18" s="184" t="s">
        <v>0</v>
      </c>
      <c r="U18" s="145">
        <v>0</v>
      </c>
      <c r="V18" s="153">
        <f t="shared" si="5"/>
        <v>0</v>
      </c>
      <c r="W18" s="144" t="s">
        <v>0</v>
      </c>
      <c r="X18" s="145">
        <v>0</v>
      </c>
      <c r="Y18" s="145">
        <f t="shared" si="6"/>
        <v>0</v>
      </c>
      <c r="Z18" s="25" t="s">
        <v>0</v>
      </c>
      <c r="AA18" s="145">
        <v>0</v>
      </c>
      <c r="AB18" s="190">
        <f t="shared" si="7"/>
        <v>0</v>
      </c>
      <c r="AC18" s="184" t="s">
        <v>0</v>
      </c>
      <c r="AD18" s="145">
        <v>0</v>
      </c>
      <c r="AE18" s="153">
        <f t="shared" si="8"/>
        <v>0</v>
      </c>
    </row>
    <row r="19" spans="2:31">
      <c r="B19" s="111">
        <v>708</v>
      </c>
      <c r="C19" s="29" t="s">
        <v>121</v>
      </c>
      <c r="D19" s="28" t="s">
        <v>237</v>
      </c>
      <c r="E19" s="154">
        <v>12.82</v>
      </c>
      <c r="F19" s="22">
        <v>269668.88</v>
      </c>
      <c r="G19" s="22">
        <f t="shared" si="0"/>
        <v>8.3327045231530636</v>
      </c>
      <c r="H19" s="21">
        <v>12.76</v>
      </c>
      <c r="I19" s="22">
        <v>214805.41</v>
      </c>
      <c r="J19" s="35">
        <f t="shared" si="1"/>
        <v>6.8790383689870076</v>
      </c>
      <c r="K19" s="185">
        <v>12.78</v>
      </c>
      <c r="L19" s="22">
        <v>193437.38</v>
      </c>
      <c r="M19" s="155">
        <f t="shared" si="2"/>
        <v>8.1061617163534727</v>
      </c>
      <c r="N19" s="154">
        <v>13.21</v>
      </c>
      <c r="O19" s="22">
        <v>552609.53</v>
      </c>
      <c r="P19" s="22">
        <f t="shared" si="3"/>
        <v>23.790826993071757</v>
      </c>
      <c r="Q19" s="21">
        <v>13.19</v>
      </c>
      <c r="R19" s="22">
        <v>579879.14</v>
      </c>
      <c r="S19" s="35">
        <f t="shared" si="4"/>
        <v>26.715260551321553</v>
      </c>
      <c r="T19" s="185">
        <v>13.06</v>
      </c>
      <c r="U19" s="22">
        <v>623105.72</v>
      </c>
      <c r="V19" s="155">
        <f t="shared" si="5"/>
        <v>26.115416052330481</v>
      </c>
      <c r="W19" s="154">
        <v>12.89</v>
      </c>
      <c r="X19" s="22">
        <v>703470.46</v>
      </c>
      <c r="Y19" s="22">
        <f t="shared" si="6"/>
        <v>30.504106051104063</v>
      </c>
      <c r="Z19" s="21">
        <v>12.92</v>
      </c>
      <c r="AA19" s="22">
        <v>646621.39</v>
      </c>
      <c r="AB19" s="35">
        <f t="shared" si="7"/>
        <v>27.560727698656347</v>
      </c>
      <c r="AC19" s="185">
        <v>12.83</v>
      </c>
      <c r="AD19" s="22">
        <v>661426.23</v>
      </c>
      <c r="AE19" s="155">
        <f t="shared" si="8"/>
        <v>30.384690901617358</v>
      </c>
    </row>
    <row r="20" spans="2:31">
      <c r="B20" s="111" t="s">
        <v>122</v>
      </c>
      <c r="C20" s="29" t="s">
        <v>123</v>
      </c>
      <c r="D20" s="217" t="s">
        <v>124</v>
      </c>
      <c r="E20" s="154">
        <v>10.42</v>
      </c>
      <c r="F20" s="22">
        <v>12210.63</v>
      </c>
      <c r="G20" s="22">
        <f t="shared" si="0"/>
        <v>0.37730557501313644</v>
      </c>
      <c r="H20" s="21">
        <v>10.47</v>
      </c>
      <c r="I20" s="22">
        <v>10371.120000000001</v>
      </c>
      <c r="J20" s="35">
        <f t="shared" si="1"/>
        <v>0.33213005393750805</v>
      </c>
      <c r="K20" s="185">
        <v>10.43</v>
      </c>
      <c r="L20" s="22">
        <v>7015.02</v>
      </c>
      <c r="M20" s="155">
        <f t="shared" si="2"/>
        <v>0.29397051678147185</v>
      </c>
      <c r="N20" s="144" t="s">
        <v>0</v>
      </c>
      <c r="O20" s="145">
        <v>0</v>
      </c>
      <c r="P20" s="145">
        <f t="shared" si="3"/>
        <v>0</v>
      </c>
      <c r="Q20" s="25" t="s">
        <v>0</v>
      </c>
      <c r="R20" s="145">
        <v>0</v>
      </c>
      <c r="S20" s="190">
        <f t="shared" si="4"/>
        <v>0</v>
      </c>
      <c r="T20" s="184" t="s">
        <v>0</v>
      </c>
      <c r="U20" s="145">
        <v>0</v>
      </c>
      <c r="V20" s="153">
        <f t="shared" si="5"/>
        <v>0</v>
      </c>
      <c r="W20" s="144" t="s">
        <v>0</v>
      </c>
      <c r="X20" s="145">
        <v>0</v>
      </c>
      <c r="Y20" s="145">
        <f t="shared" si="6"/>
        <v>0</v>
      </c>
      <c r="Z20" s="25" t="s">
        <v>0</v>
      </c>
      <c r="AA20" s="145">
        <v>0</v>
      </c>
      <c r="AB20" s="190">
        <f t="shared" si="7"/>
        <v>0</v>
      </c>
      <c r="AC20" s="184" t="s">
        <v>0</v>
      </c>
      <c r="AD20" s="145">
        <v>0</v>
      </c>
      <c r="AE20" s="153">
        <f t="shared" si="8"/>
        <v>0</v>
      </c>
    </row>
    <row r="21" spans="2:31">
      <c r="B21" s="111" t="s">
        <v>125</v>
      </c>
      <c r="C21" s="29" t="s">
        <v>123</v>
      </c>
      <c r="D21" s="28" t="s">
        <v>238</v>
      </c>
      <c r="E21" s="154">
        <v>13.23</v>
      </c>
      <c r="F21" s="22">
        <v>56122.51</v>
      </c>
      <c r="G21" s="22">
        <f t="shared" si="0"/>
        <v>1.7341722668470425</v>
      </c>
      <c r="H21" s="21">
        <v>13.18</v>
      </c>
      <c r="I21" s="22">
        <v>53374.36</v>
      </c>
      <c r="J21" s="35">
        <f t="shared" si="1"/>
        <v>1.7092878170997898</v>
      </c>
      <c r="K21" s="185">
        <v>13.19</v>
      </c>
      <c r="L21" s="22">
        <v>42679.8</v>
      </c>
      <c r="M21" s="155">
        <f t="shared" si="2"/>
        <v>1.7885341541620496</v>
      </c>
      <c r="N21" s="144" t="s">
        <v>0</v>
      </c>
      <c r="O21" s="145">
        <v>0</v>
      </c>
      <c r="P21" s="145">
        <f t="shared" si="3"/>
        <v>0</v>
      </c>
      <c r="Q21" s="25" t="s">
        <v>0</v>
      </c>
      <c r="R21" s="145">
        <v>0</v>
      </c>
      <c r="S21" s="190">
        <f t="shared" si="4"/>
        <v>0</v>
      </c>
      <c r="T21" s="184" t="s">
        <v>0</v>
      </c>
      <c r="U21" s="145">
        <v>0</v>
      </c>
      <c r="V21" s="153">
        <f t="shared" si="5"/>
        <v>0</v>
      </c>
      <c r="W21" s="144" t="s">
        <v>0</v>
      </c>
      <c r="X21" s="145">
        <v>0</v>
      </c>
      <c r="Y21" s="145">
        <f t="shared" si="6"/>
        <v>0</v>
      </c>
      <c r="Z21" s="25" t="s">
        <v>0</v>
      </c>
      <c r="AA21" s="145">
        <v>0</v>
      </c>
      <c r="AB21" s="190">
        <f t="shared" si="7"/>
        <v>0</v>
      </c>
      <c r="AC21" s="184" t="s">
        <v>0</v>
      </c>
      <c r="AD21" s="145">
        <v>0</v>
      </c>
      <c r="AE21" s="153">
        <f t="shared" si="8"/>
        <v>0</v>
      </c>
    </row>
    <row r="22" spans="2:31">
      <c r="B22" s="111" t="s">
        <v>127</v>
      </c>
      <c r="C22" s="29" t="s">
        <v>128</v>
      </c>
      <c r="D22" s="28" t="s">
        <v>129</v>
      </c>
      <c r="E22" s="154">
        <v>10.3</v>
      </c>
      <c r="F22" s="22">
        <v>19374.84</v>
      </c>
      <c r="G22" s="22">
        <f t="shared" si="0"/>
        <v>0.59867796722916977</v>
      </c>
      <c r="H22" s="21">
        <v>10.35</v>
      </c>
      <c r="I22" s="22">
        <v>18077.77</v>
      </c>
      <c r="J22" s="35">
        <f t="shared" si="1"/>
        <v>0.57893175714579193</v>
      </c>
      <c r="K22" s="185">
        <v>10.37</v>
      </c>
      <c r="L22" s="22">
        <v>13964.65</v>
      </c>
      <c r="M22" s="155">
        <f t="shared" si="2"/>
        <v>0.58520080871791957</v>
      </c>
      <c r="N22" s="144" t="s">
        <v>0</v>
      </c>
      <c r="O22" s="145">
        <v>0</v>
      </c>
      <c r="P22" s="145">
        <f t="shared" si="3"/>
        <v>0</v>
      </c>
      <c r="Q22" s="25" t="s">
        <v>0</v>
      </c>
      <c r="R22" s="145">
        <v>0</v>
      </c>
      <c r="S22" s="190">
        <f t="shared" si="4"/>
        <v>0</v>
      </c>
      <c r="T22" s="184" t="s">
        <v>0</v>
      </c>
      <c r="U22" s="145">
        <v>0</v>
      </c>
      <c r="V22" s="153">
        <f t="shared" si="5"/>
        <v>0</v>
      </c>
      <c r="W22" s="144" t="s">
        <v>0</v>
      </c>
      <c r="X22" s="145">
        <v>0</v>
      </c>
      <c r="Y22" s="145">
        <f t="shared" si="6"/>
        <v>0</v>
      </c>
      <c r="Z22" s="25" t="s">
        <v>0</v>
      </c>
      <c r="AA22" s="145">
        <v>0</v>
      </c>
      <c r="AB22" s="190">
        <f t="shared" si="7"/>
        <v>0</v>
      </c>
      <c r="AC22" s="184" t="s">
        <v>0</v>
      </c>
      <c r="AD22" s="145">
        <v>0</v>
      </c>
      <c r="AE22" s="153">
        <f t="shared" si="8"/>
        <v>0</v>
      </c>
    </row>
    <row r="23" spans="2:31">
      <c r="B23" s="111" t="s">
        <v>130</v>
      </c>
      <c r="C23" s="29" t="s">
        <v>128</v>
      </c>
      <c r="D23" s="28" t="s">
        <v>131</v>
      </c>
      <c r="E23" s="154">
        <v>12.99</v>
      </c>
      <c r="F23" s="22">
        <v>132644.57999999999</v>
      </c>
      <c r="G23" s="22">
        <f t="shared" si="0"/>
        <v>4.0986861062267854</v>
      </c>
      <c r="H23" s="21">
        <v>13</v>
      </c>
      <c r="I23" s="22">
        <v>94322.77</v>
      </c>
      <c r="J23" s="35">
        <f t="shared" si="1"/>
        <v>3.0206406528547705</v>
      </c>
      <c r="K23" s="185">
        <v>13.07</v>
      </c>
      <c r="L23" s="22">
        <v>91141.88</v>
      </c>
      <c r="M23" s="155">
        <f t="shared" si="2"/>
        <v>3.8193797828138609</v>
      </c>
      <c r="N23" s="144" t="s">
        <v>0</v>
      </c>
      <c r="O23" s="145">
        <v>0</v>
      </c>
      <c r="P23" s="145">
        <f t="shared" si="3"/>
        <v>0</v>
      </c>
      <c r="Q23" s="25" t="s">
        <v>0</v>
      </c>
      <c r="R23" s="145">
        <v>0</v>
      </c>
      <c r="S23" s="190">
        <f t="shared" si="4"/>
        <v>0</v>
      </c>
      <c r="T23" s="184" t="s">
        <v>0</v>
      </c>
      <c r="U23" s="145">
        <v>0</v>
      </c>
      <c r="V23" s="153">
        <f t="shared" si="5"/>
        <v>0</v>
      </c>
      <c r="W23" s="144" t="s">
        <v>0</v>
      </c>
      <c r="X23" s="145">
        <v>0</v>
      </c>
      <c r="Y23" s="145">
        <f t="shared" si="6"/>
        <v>0</v>
      </c>
      <c r="Z23" s="25" t="s">
        <v>0</v>
      </c>
      <c r="AA23" s="145">
        <v>0</v>
      </c>
      <c r="AB23" s="190">
        <f t="shared" si="7"/>
        <v>0</v>
      </c>
      <c r="AC23" s="184" t="s">
        <v>0</v>
      </c>
      <c r="AD23" s="145">
        <v>0</v>
      </c>
      <c r="AE23" s="153">
        <f t="shared" si="8"/>
        <v>0</v>
      </c>
    </row>
    <row r="24" spans="2:31">
      <c r="B24" s="111" t="s">
        <v>132</v>
      </c>
      <c r="C24" s="29" t="s">
        <v>133</v>
      </c>
      <c r="D24" s="28" t="s">
        <v>134</v>
      </c>
      <c r="E24" s="154">
        <v>10.54</v>
      </c>
      <c r="F24" s="22">
        <v>13394.85</v>
      </c>
      <c r="G24" s="22">
        <f t="shared" si="0"/>
        <v>0.41389769254041042</v>
      </c>
      <c r="H24" s="21">
        <v>10.53</v>
      </c>
      <c r="I24" s="22">
        <v>12774.87</v>
      </c>
      <c r="J24" s="35">
        <f t="shared" si="1"/>
        <v>0.40910897397240154</v>
      </c>
      <c r="K24" s="185">
        <v>10.6</v>
      </c>
      <c r="L24" s="22">
        <v>5953.62</v>
      </c>
      <c r="M24" s="155">
        <f t="shared" si="2"/>
        <v>0.24949162627056032</v>
      </c>
      <c r="N24" s="144" t="s">
        <v>0</v>
      </c>
      <c r="O24" s="145">
        <v>0</v>
      </c>
      <c r="P24" s="145">
        <f t="shared" si="3"/>
        <v>0</v>
      </c>
      <c r="Q24" s="25" t="s">
        <v>0</v>
      </c>
      <c r="R24" s="145">
        <v>0</v>
      </c>
      <c r="S24" s="190">
        <f t="shared" si="4"/>
        <v>0</v>
      </c>
      <c r="T24" s="184" t="s">
        <v>0</v>
      </c>
      <c r="U24" s="145">
        <v>0</v>
      </c>
      <c r="V24" s="153">
        <f t="shared" si="5"/>
        <v>0</v>
      </c>
      <c r="W24" s="144" t="s">
        <v>0</v>
      </c>
      <c r="X24" s="145">
        <v>0</v>
      </c>
      <c r="Y24" s="145">
        <f t="shared" si="6"/>
        <v>0</v>
      </c>
      <c r="Z24" s="25" t="s">
        <v>0</v>
      </c>
      <c r="AA24" s="145">
        <v>0</v>
      </c>
      <c r="AB24" s="190">
        <f t="shared" si="7"/>
        <v>0</v>
      </c>
      <c r="AC24" s="184" t="s">
        <v>0</v>
      </c>
      <c r="AD24" s="145">
        <v>0</v>
      </c>
      <c r="AE24" s="153">
        <f t="shared" si="8"/>
        <v>0</v>
      </c>
    </row>
    <row r="25" spans="2:31">
      <c r="B25" s="111" t="s">
        <v>135</v>
      </c>
      <c r="C25" s="29" t="s">
        <v>133</v>
      </c>
      <c r="D25" s="28" t="s">
        <v>136</v>
      </c>
      <c r="E25" s="154">
        <v>22.39</v>
      </c>
      <c r="F25" s="22">
        <v>653218.26</v>
      </c>
      <c r="G25" s="22">
        <f t="shared" si="0"/>
        <v>20.184289524650286</v>
      </c>
      <c r="H25" s="21">
        <v>22.25</v>
      </c>
      <c r="I25" s="22">
        <v>640447.69999999995</v>
      </c>
      <c r="J25" s="35">
        <f t="shared" si="1"/>
        <v>20.510024871484752</v>
      </c>
      <c r="K25" s="185">
        <v>22.33</v>
      </c>
      <c r="L25" s="22">
        <v>494940.92</v>
      </c>
      <c r="M25" s="155">
        <f t="shared" si="2"/>
        <v>20.740929894525902</v>
      </c>
      <c r="N25" s="144" t="s">
        <v>0</v>
      </c>
      <c r="O25" s="145">
        <v>0</v>
      </c>
      <c r="P25" s="145">
        <f t="shared" si="3"/>
        <v>0</v>
      </c>
      <c r="Q25" s="25" t="s">
        <v>0</v>
      </c>
      <c r="R25" s="145">
        <v>0</v>
      </c>
      <c r="S25" s="190">
        <f t="shared" si="4"/>
        <v>0</v>
      </c>
      <c r="T25" s="184" t="s">
        <v>0</v>
      </c>
      <c r="U25" s="145">
        <v>0</v>
      </c>
      <c r="V25" s="153">
        <f t="shared" si="5"/>
        <v>0</v>
      </c>
      <c r="W25" s="144" t="s">
        <v>0</v>
      </c>
      <c r="X25" s="145">
        <v>0</v>
      </c>
      <c r="Y25" s="145">
        <f t="shared" si="6"/>
        <v>0</v>
      </c>
      <c r="Z25" s="25" t="s">
        <v>0</v>
      </c>
      <c r="AA25" s="145">
        <v>0</v>
      </c>
      <c r="AB25" s="190">
        <f t="shared" si="7"/>
        <v>0</v>
      </c>
      <c r="AC25" s="184" t="s">
        <v>0</v>
      </c>
      <c r="AD25" s="145">
        <v>0</v>
      </c>
      <c r="AE25" s="153">
        <f t="shared" si="8"/>
        <v>0</v>
      </c>
    </row>
    <row r="26" spans="2:31">
      <c r="B26" s="218" t="s">
        <v>137</v>
      </c>
      <c r="C26" s="29" t="s">
        <v>138</v>
      </c>
      <c r="D26" s="28" t="s">
        <v>139</v>
      </c>
      <c r="E26" s="154" t="s">
        <v>0</v>
      </c>
      <c r="F26" s="22">
        <v>0</v>
      </c>
      <c r="G26" s="22">
        <f t="shared" si="0"/>
        <v>0</v>
      </c>
      <c r="H26" s="21" t="s">
        <v>0</v>
      </c>
      <c r="I26" s="22">
        <v>0</v>
      </c>
      <c r="J26" s="35">
        <f t="shared" si="1"/>
        <v>0</v>
      </c>
      <c r="K26" s="185" t="s">
        <v>0</v>
      </c>
      <c r="L26" s="22">
        <v>0</v>
      </c>
      <c r="M26" s="155">
        <f t="shared" si="2"/>
        <v>0</v>
      </c>
      <c r="N26" s="141">
        <v>14.07</v>
      </c>
      <c r="O26" s="142">
        <v>37750.93</v>
      </c>
      <c r="P26" s="142">
        <f t="shared" si="3"/>
        <v>1.6252449436721845</v>
      </c>
      <c r="Q26" s="131">
        <v>13.93</v>
      </c>
      <c r="R26" s="142">
        <v>36734.15</v>
      </c>
      <c r="S26" s="187">
        <f t="shared" si="4"/>
        <v>1.6923567700354396</v>
      </c>
      <c r="T26" s="183">
        <v>13.9</v>
      </c>
      <c r="U26" s="142">
        <v>41895.040000000001</v>
      </c>
      <c r="V26" s="143">
        <f t="shared" si="5"/>
        <v>1.7558920822120321</v>
      </c>
      <c r="W26" s="141">
        <v>13.77</v>
      </c>
      <c r="X26" s="142">
        <v>39592.86</v>
      </c>
      <c r="Y26" s="142">
        <f t="shared" si="6"/>
        <v>1.716837975409111</v>
      </c>
      <c r="Z26" s="131">
        <v>13.7</v>
      </c>
      <c r="AA26" s="142">
        <v>37602.18</v>
      </c>
      <c r="AB26" s="187">
        <f t="shared" si="7"/>
        <v>1.6027051685621807</v>
      </c>
      <c r="AC26" s="183">
        <v>13.59</v>
      </c>
      <c r="AD26" s="142">
        <v>54082.720000000001</v>
      </c>
      <c r="AE26" s="143">
        <f t="shared" si="8"/>
        <v>2.4844595750590646</v>
      </c>
    </row>
    <row r="27" spans="2:31">
      <c r="B27" s="218" t="s">
        <v>140</v>
      </c>
      <c r="C27" s="29" t="s">
        <v>138</v>
      </c>
      <c r="D27" s="28" t="s">
        <v>141</v>
      </c>
      <c r="E27" s="154" t="s">
        <v>0</v>
      </c>
      <c r="F27" s="22">
        <v>0</v>
      </c>
      <c r="G27" s="22">
        <f t="shared" si="0"/>
        <v>0</v>
      </c>
      <c r="H27" s="21" t="s">
        <v>0</v>
      </c>
      <c r="I27" s="22">
        <v>0</v>
      </c>
      <c r="J27" s="35">
        <f t="shared" si="1"/>
        <v>0</v>
      </c>
      <c r="K27" s="185" t="s">
        <v>0</v>
      </c>
      <c r="L27" s="22">
        <v>0</v>
      </c>
      <c r="M27" s="155">
        <f t="shared" si="2"/>
        <v>0</v>
      </c>
      <c r="N27" s="141">
        <v>15.86</v>
      </c>
      <c r="O27" s="142">
        <v>32677.96</v>
      </c>
      <c r="P27" s="142">
        <f t="shared" si="3"/>
        <v>1.4068445269963388</v>
      </c>
      <c r="Q27" s="131">
        <v>15.72</v>
      </c>
      <c r="R27" s="142">
        <v>36184.480000000003</v>
      </c>
      <c r="S27" s="187">
        <f t="shared" si="4"/>
        <v>1.667033256471484</v>
      </c>
      <c r="T27" s="183">
        <v>15.69</v>
      </c>
      <c r="U27" s="142">
        <v>35819.9</v>
      </c>
      <c r="V27" s="143">
        <f t="shared" si="5"/>
        <v>1.5012726756109263</v>
      </c>
      <c r="W27" s="154" t="s">
        <v>0</v>
      </c>
      <c r="X27" s="22">
        <v>0</v>
      </c>
      <c r="Y27" s="22">
        <f t="shared" si="6"/>
        <v>0</v>
      </c>
      <c r="Z27" s="21" t="s">
        <v>0</v>
      </c>
      <c r="AA27" s="22">
        <v>0</v>
      </c>
      <c r="AB27" s="35">
        <f t="shared" si="7"/>
        <v>0</v>
      </c>
      <c r="AC27" s="185" t="s">
        <v>0</v>
      </c>
      <c r="AD27" s="22">
        <v>0</v>
      </c>
      <c r="AE27" s="155">
        <f t="shared" si="8"/>
        <v>0</v>
      </c>
    </row>
    <row r="28" spans="2:31">
      <c r="B28" s="218" t="s">
        <v>142</v>
      </c>
      <c r="C28" s="29" t="s">
        <v>138</v>
      </c>
      <c r="D28" s="17" t="s">
        <v>239</v>
      </c>
      <c r="E28" s="154" t="s">
        <v>0</v>
      </c>
      <c r="F28" s="22">
        <v>0</v>
      </c>
      <c r="G28" s="22">
        <f t="shared" si="0"/>
        <v>0</v>
      </c>
      <c r="H28" s="21" t="s">
        <v>0</v>
      </c>
      <c r="I28" s="22">
        <v>0</v>
      </c>
      <c r="J28" s="35">
        <f t="shared" si="1"/>
        <v>0</v>
      </c>
      <c r="K28" s="185" t="s">
        <v>0</v>
      </c>
      <c r="L28" s="22">
        <v>0</v>
      </c>
      <c r="M28" s="155">
        <f t="shared" si="2"/>
        <v>0</v>
      </c>
      <c r="N28" s="141">
        <v>18</v>
      </c>
      <c r="O28" s="142">
        <v>73313.740000000005</v>
      </c>
      <c r="P28" s="142">
        <f t="shared" si="3"/>
        <v>3.156287414288792</v>
      </c>
      <c r="Q28" s="131">
        <v>17.8</v>
      </c>
      <c r="R28" s="142">
        <v>47808.55</v>
      </c>
      <c r="S28" s="187">
        <f t="shared" si="4"/>
        <v>2.2025587432424003</v>
      </c>
      <c r="T28" s="183">
        <v>17.89</v>
      </c>
      <c r="U28" s="142">
        <v>50403.54</v>
      </c>
      <c r="V28" s="143">
        <f t="shared" si="5"/>
        <v>2.1124977276894223</v>
      </c>
      <c r="W28" s="141">
        <v>17.64</v>
      </c>
      <c r="X28" s="142">
        <v>45508.81</v>
      </c>
      <c r="Y28" s="142">
        <f t="shared" si="6"/>
        <v>1.9733672491372916</v>
      </c>
      <c r="Z28" s="131">
        <v>17.579999999999998</v>
      </c>
      <c r="AA28" s="142">
        <v>46506.89</v>
      </c>
      <c r="AB28" s="187">
        <f t="shared" si="7"/>
        <v>1.9822476509806823</v>
      </c>
      <c r="AC28" s="183">
        <v>17.52</v>
      </c>
      <c r="AD28" s="142">
        <v>52260.35</v>
      </c>
      <c r="AE28" s="143">
        <f t="shared" si="8"/>
        <v>2.4007432864589275</v>
      </c>
    </row>
    <row r="29" spans="2:31">
      <c r="B29" s="218" t="s">
        <v>143</v>
      </c>
      <c r="C29" s="29" t="s">
        <v>144</v>
      </c>
      <c r="D29" s="28" t="s">
        <v>145</v>
      </c>
      <c r="E29" s="154" t="s">
        <v>0</v>
      </c>
      <c r="F29" s="22">
        <v>0</v>
      </c>
      <c r="G29" s="22">
        <f t="shared" si="0"/>
        <v>0</v>
      </c>
      <c r="H29" s="21" t="s">
        <v>0</v>
      </c>
      <c r="I29" s="22">
        <v>0</v>
      </c>
      <c r="J29" s="35">
        <f t="shared" si="1"/>
        <v>0</v>
      </c>
      <c r="K29" s="185" t="s">
        <v>0</v>
      </c>
      <c r="L29" s="22">
        <v>0</v>
      </c>
      <c r="M29" s="155">
        <f t="shared" si="2"/>
        <v>0</v>
      </c>
      <c r="N29" s="141">
        <v>9.6300000000000008</v>
      </c>
      <c r="O29" s="142">
        <v>3806.16</v>
      </c>
      <c r="P29" s="142">
        <f t="shared" si="3"/>
        <v>0.1638619841897225</v>
      </c>
      <c r="Q29" s="131">
        <v>9.5399999999999991</v>
      </c>
      <c r="R29" s="142">
        <v>2702.99</v>
      </c>
      <c r="S29" s="187">
        <f t="shared" si="4"/>
        <v>0.12452781474018297</v>
      </c>
      <c r="T29" s="183" t="s">
        <v>146</v>
      </c>
      <c r="U29" s="142">
        <v>3041.9</v>
      </c>
      <c r="V29" s="143">
        <f t="shared" si="5"/>
        <v>0.12749118093408626</v>
      </c>
      <c r="W29" s="141" t="s">
        <v>147</v>
      </c>
      <c r="X29" s="142">
        <v>4172.2</v>
      </c>
      <c r="Y29" s="142">
        <f t="shared" si="6"/>
        <v>0.18091624098390197</v>
      </c>
      <c r="Z29" s="131">
        <v>9.26</v>
      </c>
      <c r="AA29" s="142">
        <v>3931.8</v>
      </c>
      <c r="AB29" s="187">
        <f t="shared" si="7"/>
        <v>0.16758379917740893</v>
      </c>
      <c r="AC29" s="183">
        <v>9.35</v>
      </c>
      <c r="AD29" s="142">
        <v>3820.33</v>
      </c>
      <c r="AE29" s="143">
        <f t="shared" si="8"/>
        <v>0.17549885524221778</v>
      </c>
    </row>
    <row r="30" spans="2:31">
      <c r="B30" s="218" t="s">
        <v>148</v>
      </c>
      <c r="C30" s="29" t="s">
        <v>144</v>
      </c>
      <c r="D30" s="28" t="s">
        <v>240</v>
      </c>
      <c r="E30" s="154">
        <v>14.58</v>
      </c>
      <c r="F30" s="22">
        <v>137902.04999999999</v>
      </c>
      <c r="G30" s="22">
        <f t="shared" si="0"/>
        <v>4.2611406840384403</v>
      </c>
      <c r="H30" s="21">
        <v>14.46</v>
      </c>
      <c r="I30" s="22">
        <v>142131.38</v>
      </c>
      <c r="J30" s="35">
        <f t="shared" si="1"/>
        <v>4.5516880438768865</v>
      </c>
      <c r="K30" s="185">
        <v>14.48</v>
      </c>
      <c r="L30" s="22">
        <v>105908.55</v>
      </c>
      <c r="M30" s="155">
        <f t="shared" si="2"/>
        <v>4.4381899374593869</v>
      </c>
      <c r="N30" s="144" t="s">
        <v>0</v>
      </c>
      <c r="O30" s="145">
        <v>0</v>
      </c>
      <c r="P30" s="145">
        <f t="shared" si="3"/>
        <v>0</v>
      </c>
      <c r="Q30" s="25" t="s">
        <v>0</v>
      </c>
      <c r="R30" s="145">
        <v>0</v>
      </c>
      <c r="S30" s="190">
        <f t="shared" si="4"/>
        <v>0</v>
      </c>
      <c r="T30" s="184" t="s">
        <v>0</v>
      </c>
      <c r="U30" s="145">
        <v>0</v>
      </c>
      <c r="V30" s="153">
        <f t="shared" si="5"/>
        <v>0</v>
      </c>
      <c r="W30" s="144" t="s">
        <v>0</v>
      </c>
      <c r="X30" s="145">
        <v>0</v>
      </c>
      <c r="Y30" s="145">
        <f t="shared" si="6"/>
        <v>0</v>
      </c>
      <c r="Z30" s="25" t="s">
        <v>0</v>
      </c>
      <c r="AA30" s="145">
        <v>0</v>
      </c>
      <c r="AB30" s="190">
        <f t="shared" si="7"/>
        <v>0</v>
      </c>
      <c r="AC30" s="184" t="s">
        <v>0</v>
      </c>
      <c r="AD30" s="145">
        <v>0</v>
      </c>
      <c r="AE30" s="153">
        <f t="shared" si="8"/>
        <v>0</v>
      </c>
    </row>
    <row r="31" spans="2:31">
      <c r="B31" s="218" t="s">
        <v>149</v>
      </c>
      <c r="C31" s="29" t="s">
        <v>150</v>
      </c>
      <c r="D31" s="28" t="s">
        <v>241</v>
      </c>
      <c r="E31" s="154">
        <v>17.7</v>
      </c>
      <c r="F31" s="22">
        <v>61416.52</v>
      </c>
      <c r="G31" s="22">
        <f t="shared" si="0"/>
        <v>1.8977559220044991</v>
      </c>
      <c r="H31" s="21">
        <v>17.52</v>
      </c>
      <c r="I31" s="22">
        <v>36550.46</v>
      </c>
      <c r="J31" s="35">
        <f t="shared" si="1"/>
        <v>1.1705106344580651</v>
      </c>
      <c r="K31" s="185">
        <v>17.690000000000001</v>
      </c>
      <c r="L31" s="22">
        <v>22772.84</v>
      </c>
      <c r="M31" s="155">
        <f t="shared" si="2"/>
        <v>0.9543156745642597</v>
      </c>
      <c r="N31" s="144" t="s">
        <v>0</v>
      </c>
      <c r="O31" s="145">
        <v>0</v>
      </c>
      <c r="P31" s="145">
        <f t="shared" si="3"/>
        <v>0</v>
      </c>
      <c r="Q31" s="25" t="s">
        <v>0</v>
      </c>
      <c r="R31" s="145">
        <v>0</v>
      </c>
      <c r="S31" s="190">
        <f t="shared" si="4"/>
        <v>0</v>
      </c>
      <c r="T31" s="184" t="s">
        <v>0</v>
      </c>
      <c r="U31" s="145">
        <v>0</v>
      </c>
      <c r="V31" s="153">
        <f t="shared" si="5"/>
        <v>0</v>
      </c>
      <c r="W31" s="144" t="s">
        <v>0</v>
      </c>
      <c r="X31" s="145">
        <v>0</v>
      </c>
      <c r="Y31" s="145">
        <f t="shared" si="6"/>
        <v>0</v>
      </c>
      <c r="Z31" s="25" t="s">
        <v>0</v>
      </c>
      <c r="AA31" s="145">
        <v>0</v>
      </c>
      <c r="AB31" s="190">
        <f t="shared" si="7"/>
        <v>0</v>
      </c>
      <c r="AC31" s="184" t="s">
        <v>0</v>
      </c>
      <c r="AD31" s="145">
        <v>0</v>
      </c>
      <c r="AE31" s="153">
        <f t="shared" si="8"/>
        <v>0</v>
      </c>
    </row>
    <row r="32" spans="2:31">
      <c r="B32" s="218" t="s">
        <v>151</v>
      </c>
      <c r="C32" s="29" t="s">
        <v>152</v>
      </c>
      <c r="D32" s="28" t="s">
        <v>153</v>
      </c>
      <c r="E32" s="154" t="s">
        <v>0</v>
      </c>
      <c r="F32" s="22">
        <v>0</v>
      </c>
      <c r="G32" s="22">
        <f t="shared" si="0"/>
        <v>0</v>
      </c>
      <c r="H32" s="21" t="s">
        <v>0</v>
      </c>
      <c r="I32" s="22">
        <v>0</v>
      </c>
      <c r="J32" s="35">
        <f t="shared" si="1"/>
        <v>0</v>
      </c>
      <c r="K32" s="185" t="s">
        <v>0</v>
      </c>
      <c r="L32" s="22">
        <v>0</v>
      </c>
      <c r="M32" s="155">
        <f t="shared" si="2"/>
        <v>0</v>
      </c>
      <c r="N32" s="141">
        <v>17.07</v>
      </c>
      <c r="O32" s="142">
        <v>31866.04</v>
      </c>
      <c r="P32" s="142">
        <f t="shared" si="3"/>
        <v>1.3718899212510944</v>
      </c>
      <c r="Q32" s="131">
        <v>16.93</v>
      </c>
      <c r="R32" s="142">
        <v>31769.07</v>
      </c>
      <c r="S32" s="187">
        <f t="shared" si="4"/>
        <v>1.4636135773450532</v>
      </c>
      <c r="T32" s="183">
        <v>16.96</v>
      </c>
      <c r="U32" s="142">
        <v>37653.410000000003</v>
      </c>
      <c r="V32" s="143">
        <f t="shared" si="5"/>
        <v>1.5781181850472841</v>
      </c>
      <c r="W32" s="141">
        <v>16.77</v>
      </c>
      <c r="X32" s="142">
        <v>32714.69</v>
      </c>
      <c r="Y32" s="142">
        <f t="shared" si="6"/>
        <v>1.4185846171692746</v>
      </c>
      <c r="Z32" s="131">
        <v>16.7</v>
      </c>
      <c r="AA32" s="142">
        <v>30906.53</v>
      </c>
      <c r="AB32" s="187">
        <f t="shared" si="7"/>
        <v>1.3173187132587019</v>
      </c>
      <c r="AC32" s="183">
        <v>16.64</v>
      </c>
      <c r="AD32" s="142">
        <v>30019.279999999999</v>
      </c>
      <c r="AE32" s="143">
        <f t="shared" si="8"/>
        <v>1.3790298940655918</v>
      </c>
    </row>
    <row r="33" spans="2:31">
      <c r="B33" s="218" t="s">
        <v>154</v>
      </c>
      <c r="C33" s="29" t="s">
        <v>152</v>
      </c>
      <c r="D33" s="28" t="s">
        <v>155</v>
      </c>
      <c r="E33" s="154" t="s">
        <v>0</v>
      </c>
      <c r="F33" s="22">
        <v>0</v>
      </c>
      <c r="G33" s="22">
        <f t="shared" si="0"/>
        <v>0</v>
      </c>
      <c r="H33" s="21" t="s">
        <v>0</v>
      </c>
      <c r="I33" s="22">
        <v>0</v>
      </c>
      <c r="J33" s="35">
        <f t="shared" si="1"/>
        <v>0</v>
      </c>
      <c r="K33" s="185" t="s">
        <v>0</v>
      </c>
      <c r="L33" s="22">
        <v>0</v>
      </c>
      <c r="M33" s="155">
        <f t="shared" si="2"/>
        <v>0</v>
      </c>
      <c r="N33" s="141">
        <v>18.8</v>
      </c>
      <c r="O33" s="142">
        <v>162731.79999999999</v>
      </c>
      <c r="P33" s="142">
        <f t="shared" si="3"/>
        <v>7.0058945600723792</v>
      </c>
      <c r="Q33" s="131">
        <v>18.71</v>
      </c>
      <c r="R33" s="142">
        <v>144323.97</v>
      </c>
      <c r="S33" s="187">
        <f t="shared" si="4"/>
        <v>6.6490621862188641</v>
      </c>
      <c r="T33" s="183">
        <v>18.739999999999998</v>
      </c>
      <c r="U33" s="142">
        <v>167460.35</v>
      </c>
      <c r="V33" s="143">
        <f t="shared" si="5"/>
        <v>7.0185468888311284</v>
      </c>
      <c r="W33" s="141">
        <v>18.5</v>
      </c>
      <c r="X33" s="142">
        <v>161816.82</v>
      </c>
      <c r="Y33" s="142">
        <f t="shared" si="6"/>
        <v>7.0167515465147146</v>
      </c>
      <c r="Z33" s="131">
        <v>19.63</v>
      </c>
      <c r="AA33" s="142">
        <v>113181.75999999999</v>
      </c>
      <c r="AB33" s="187">
        <f t="shared" si="7"/>
        <v>4.8241083825183617</v>
      </c>
      <c r="AC33" s="183">
        <v>18.3</v>
      </c>
      <c r="AD33" s="142">
        <v>166544.14000000001</v>
      </c>
      <c r="AE33" s="143">
        <f t="shared" si="8"/>
        <v>7.6507280568169893</v>
      </c>
    </row>
    <row r="34" spans="2:31">
      <c r="B34" s="218" t="s">
        <v>156</v>
      </c>
      <c r="C34" s="29" t="s">
        <v>152</v>
      </c>
      <c r="E34" s="154" t="s">
        <v>0</v>
      </c>
      <c r="F34" s="22">
        <v>0</v>
      </c>
      <c r="G34" s="22">
        <f t="shared" si="0"/>
        <v>0</v>
      </c>
      <c r="H34" s="21" t="s">
        <v>0</v>
      </c>
      <c r="I34" s="22">
        <v>0</v>
      </c>
      <c r="J34" s="35">
        <f t="shared" si="1"/>
        <v>0</v>
      </c>
      <c r="K34" s="185" t="s">
        <v>0</v>
      </c>
      <c r="L34" s="22">
        <v>0</v>
      </c>
      <c r="M34" s="155">
        <f t="shared" si="2"/>
        <v>0</v>
      </c>
      <c r="N34" s="141">
        <v>20.059999999999999</v>
      </c>
      <c r="O34" s="142">
        <v>84416.33</v>
      </c>
      <c r="P34" s="142">
        <f t="shared" si="3"/>
        <v>3.6342737383122095</v>
      </c>
      <c r="Q34" s="131">
        <v>20.03</v>
      </c>
      <c r="R34" s="142">
        <v>76098.679999999993</v>
      </c>
      <c r="S34" s="187">
        <f t="shared" si="4"/>
        <v>3.5058961834903077</v>
      </c>
      <c r="T34" s="183">
        <v>19.86</v>
      </c>
      <c r="U34" s="142">
        <v>91695.667000000001</v>
      </c>
      <c r="V34" s="143">
        <f t="shared" si="5"/>
        <v>3.8431207049438578</v>
      </c>
      <c r="W34" s="141">
        <v>19.809999999999999</v>
      </c>
      <c r="X34" s="142">
        <v>81284.86</v>
      </c>
      <c r="Y34" s="142">
        <f t="shared" si="6"/>
        <v>3.5246995158675838</v>
      </c>
      <c r="Z34" s="131">
        <v>18.43</v>
      </c>
      <c r="AA34" s="142">
        <v>167219.76</v>
      </c>
      <c r="AB34" s="187">
        <f t="shared" si="7"/>
        <v>7.1273520215510757</v>
      </c>
      <c r="AC34" s="183">
        <v>19.54</v>
      </c>
      <c r="AD34" s="142">
        <v>79955.399999999994</v>
      </c>
      <c r="AE34" s="143">
        <f t="shared" si="8"/>
        <v>3.6730023768715316</v>
      </c>
    </row>
    <row r="35" spans="2:31">
      <c r="B35" s="218" t="s">
        <v>157</v>
      </c>
      <c r="C35" s="29" t="s">
        <v>158</v>
      </c>
      <c r="D35" s="28" t="s">
        <v>159</v>
      </c>
      <c r="E35" s="199" t="s">
        <v>0</v>
      </c>
      <c r="F35" s="200">
        <v>0</v>
      </c>
      <c r="G35" s="201">
        <f t="shared" si="0"/>
        <v>0</v>
      </c>
      <c r="H35" s="210" t="s">
        <v>0</v>
      </c>
      <c r="I35" s="200">
        <v>0</v>
      </c>
      <c r="J35" s="212">
        <f t="shared" si="1"/>
        <v>0</v>
      </c>
      <c r="K35" s="202" t="s">
        <v>0</v>
      </c>
      <c r="L35" s="200">
        <v>0</v>
      </c>
      <c r="M35" s="203">
        <f t="shared" si="2"/>
        <v>0</v>
      </c>
      <c r="N35" s="175">
        <v>16.27</v>
      </c>
      <c r="O35" s="157">
        <v>41148.61</v>
      </c>
      <c r="P35" s="158">
        <f t="shared" si="3"/>
        <v>1.7715211344896322</v>
      </c>
      <c r="Q35" s="133">
        <v>16.13</v>
      </c>
      <c r="R35" s="157">
        <v>38929.08</v>
      </c>
      <c r="S35" s="191">
        <f t="shared" si="4"/>
        <v>1.7934780603131208</v>
      </c>
      <c r="T35" s="176">
        <v>16.399999999999999</v>
      </c>
      <c r="U35" s="157">
        <v>50414.39</v>
      </c>
      <c r="V35" s="160">
        <f t="shared" si="5"/>
        <v>2.1129524695655966</v>
      </c>
      <c r="W35" s="156">
        <v>15.73</v>
      </c>
      <c r="X35" s="157">
        <v>39754.14</v>
      </c>
      <c r="Y35" s="158">
        <f t="shared" si="6"/>
        <v>1.7238314491989302</v>
      </c>
      <c r="Z35" s="181">
        <v>15.79</v>
      </c>
      <c r="AA35" s="157">
        <v>38891.86</v>
      </c>
      <c r="AB35" s="191">
        <f t="shared" si="7"/>
        <v>1.6576747687766169</v>
      </c>
      <c r="AC35" s="159">
        <v>15.78</v>
      </c>
      <c r="AD35" s="157">
        <v>38113.22</v>
      </c>
      <c r="AE35" s="160">
        <f t="shared" si="8"/>
        <v>1.7508504447507935</v>
      </c>
    </row>
    <row r="36" spans="2:31">
      <c r="B36" s="218" t="s">
        <v>160</v>
      </c>
      <c r="C36" s="29" t="s">
        <v>158</v>
      </c>
      <c r="D36" s="28" t="s">
        <v>161</v>
      </c>
      <c r="E36" s="154" t="s">
        <v>0</v>
      </c>
      <c r="F36" s="22">
        <v>0</v>
      </c>
      <c r="G36" s="204">
        <f t="shared" si="0"/>
        <v>0</v>
      </c>
      <c r="H36" s="21" t="s">
        <v>0</v>
      </c>
      <c r="I36" s="22">
        <v>0</v>
      </c>
      <c r="J36" s="213">
        <f t="shared" si="1"/>
        <v>0</v>
      </c>
      <c r="K36" s="185" t="s">
        <v>0</v>
      </c>
      <c r="L36" s="22">
        <v>0</v>
      </c>
      <c r="M36" s="205">
        <f t="shared" si="2"/>
        <v>0</v>
      </c>
      <c r="N36" s="141">
        <v>18.739999999999998</v>
      </c>
      <c r="O36" s="142">
        <v>225465.03</v>
      </c>
      <c r="P36" s="161">
        <f t="shared" si="3"/>
        <v>9.7066721265515152</v>
      </c>
      <c r="Q36" s="131">
        <v>18.54</v>
      </c>
      <c r="R36" s="142">
        <v>206778.6</v>
      </c>
      <c r="S36" s="192">
        <f t="shared" si="4"/>
        <v>9.526371608120785</v>
      </c>
      <c r="T36" s="183">
        <v>18.68</v>
      </c>
      <c r="U36" s="142">
        <v>253724.24</v>
      </c>
      <c r="V36" s="162">
        <f t="shared" si="5"/>
        <v>10.634012620139888</v>
      </c>
      <c r="W36" s="141">
        <v>18.440000000000001</v>
      </c>
      <c r="X36" s="142">
        <v>215980.79</v>
      </c>
      <c r="Y36" s="161">
        <f t="shared" si="6"/>
        <v>9.3654265499097669</v>
      </c>
      <c r="Z36" s="131">
        <v>18.37</v>
      </c>
      <c r="AA36" s="142">
        <v>217462.01</v>
      </c>
      <c r="AB36" s="192">
        <f t="shared" si="7"/>
        <v>9.2688106751502346</v>
      </c>
      <c r="AC36" s="183">
        <v>18.18</v>
      </c>
      <c r="AD36" s="142">
        <v>208173.42</v>
      </c>
      <c r="AE36" s="162">
        <f t="shared" si="8"/>
        <v>9.5630997588840234</v>
      </c>
    </row>
    <row r="37" spans="2:31">
      <c r="B37" s="111" t="s">
        <v>162</v>
      </c>
      <c r="C37" s="29" t="s">
        <v>163</v>
      </c>
      <c r="D37" s="28" t="s">
        <v>164</v>
      </c>
      <c r="E37" s="154">
        <v>14.46</v>
      </c>
      <c r="F37" s="22">
        <v>49508.71</v>
      </c>
      <c r="G37" s="204">
        <f t="shared" si="0"/>
        <v>1.5298074132709469</v>
      </c>
      <c r="H37" s="21">
        <v>14.22</v>
      </c>
      <c r="I37" s="22">
        <v>45333.38</v>
      </c>
      <c r="J37" s="213">
        <f t="shared" si="1"/>
        <v>1.4517793588898351</v>
      </c>
      <c r="K37" s="185">
        <v>14.3</v>
      </c>
      <c r="L37" s="22">
        <v>27939.41</v>
      </c>
      <c r="M37" s="205">
        <f t="shared" si="2"/>
        <v>1.1708252857824242</v>
      </c>
      <c r="N37" s="144" t="s">
        <v>0</v>
      </c>
      <c r="O37" s="145">
        <v>0</v>
      </c>
      <c r="P37" s="163">
        <f t="shared" si="3"/>
        <v>0</v>
      </c>
      <c r="Q37" s="25" t="s">
        <v>0</v>
      </c>
      <c r="R37" s="145">
        <v>0</v>
      </c>
      <c r="S37" s="193">
        <f t="shared" si="4"/>
        <v>0</v>
      </c>
      <c r="T37" s="184" t="s">
        <v>0</v>
      </c>
      <c r="U37" s="145">
        <v>0</v>
      </c>
      <c r="V37" s="164">
        <f t="shared" si="5"/>
        <v>0</v>
      </c>
      <c r="W37" s="144" t="s">
        <v>0</v>
      </c>
      <c r="X37" s="145">
        <v>0</v>
      </c>
      <c r="Y37" s="163">
        <f t="shared" si="6"/>
        <v>0</v>
      </c>
      <c r="Z37" s="25" t="s">
        <v>0</v>
      </c>
      <c r="AA37" s="145">
        <v>0</v>
      </c>
      <c r="AB37" s="193">
        <f t="shared" si="7"/>
        <v>0</v>
      </c>
      <c r="AC37" s="184" t="s">
        <v>0</v>
      </c>
      <c r="AD37" s="145">
        <v>0</v>
      </c>
      <c r="AE37" s="164">
        <f t="shared" si="8"/>
        <v>0</v>
      </c>
    </row>
    <row r="38" spans="2:31">
      <c r="B38" s="111" t="s">
        <v>165</v>
      </c>
      <c r="C38" s="29" t="s">
        <v>163</v>
      </c>
      <c r="D38" s="28" t="s">
        <v>166</v>
      </c>
      <c r="E38" s="154">
        <v>15.54</v>
      </c>
      <c r="F38" s="22">
        <v>60512.76</v>
      </c>
      <c r="G38" s="204">
        <f t="shared" ref="G38:G65" si="9">F38/$F$66*100</f>
        <v>1.8698299520525909</v>
      </c>
      <c r="H38" s="21">
        <v>15.35</v>
      </c>
      <c r="I38" s="22">
        <v>59013.5</v>
      </c>
      <c r="J38" s="213">
        <f t="shared" ref="J38:J65" si="10">I38/$I$66*100</f>
        <v>1.8898785220922265</v>
      </c>
      <c r="K38" s="185">
        <v>15.4</v>
      </c>
      <c r="L38" s="22">
        <v>41929.019999999997</v>
      </c>
      <c r="M38" s="205">
        <f t="shared" ref="M38:M65" si="11">L38/$L$66*100</f>
        <v>1.7570720650177285</v>
      </c>
      <c r="N38" s="144" t="s">
        <v>0</v>
      </c>
      <c r="O38" s="145">
        <v>0</v>
      </c>
      <c r="P38" s="163">
        <f t="shared" si="3"/>
        <v>0</v>
      </c>
      <c r="Q38" s="25" t="s">
        <v>0</v>
      </c>
      <c r="R38" s="145">
        <v>0</v>
      </c>
      <c r="S38" s="193">
        <f t="shared" si="4"/>
        <v>0</v>
      </c>
      <c r="T38" s="184" t="s">
        <v>0</v>
      </c>
      <c r="U38" s="145">
        <v>0</v>
      </c>
      <c r="V38" s="164">
        <f t="shared" si="5"/>
        <v>0</v>
      </c>
      <c r="W38" s="144" t="s">
        <v>0</v>
      </c>
      <c r="X38" s="145">
        <v>0</v>
      </c>
      <c r="Y38" s="163">
        <f t="shared" si="6"/>
        <v>0</v>
      </c>
      <c r="Z38" s="25" t="s">
        <v>0</v>
      </c>
      <c r="AA38" s="145">
        <v>0</v>
      </c>
      <c r="AB38" s="193">
        <f t="shared" si="7"/>
        <v>0</v>
      </c>
      <c r="AC38" s="184" t="s">
        <v>0</v>
      </c>
      <c r="AD38" s="145">
        <v>0</v>
      </c>
      <c r="AE38" s="164">
        <f t="shared" si="8"/>
        <v>0</v>
      </c>
    </row>
    <row r="39" spans="2:31">
      <c r="B39" s="218">
        <v>1112</v>
      </c>
      <c r="C39" s="29" t="s">
        <v>167</v>
      </c>
      <c r="D39" s="28" t="s">
        <v>168</v>
      </c>
      <c r="E39" s="154">
        <v>18.690000000000001</v>
      </c>
      <c r="F39" s="22">
        <v>65766.19</v>
      </c>
      <c r="G39" s="22">
        <f t="shared" si="9"/>
        <v>2.0321596948210852</v>
      </c>
      <c r="H39" s="21" t="s">
        <v>169</v>
      </c>
      <c r="I39" s="22">
        <v>50016.9</v>
      </c>
      <c r="J39" s="35">
        <f t="shared" si="10"/>
        <v>1.6017667999971987</v>
      </c>
      <c r="K39" s="185">
        <v>18.77</v>
      </c>
      <c r="L39" s="22">
        <v>38533.54</v>
      </c>
      <c r="M39" s="155">
        <f t="shared" si="11"/>
        <v>1.6147815212528993</v>
      </c>
      <c r="N39" s="144" t="s">
        <v>0</v>
      </c>
      <c r="O39" s="145">
        <v>0</v>
      </c>
      <c r="P39" s="145">
        <f t="shared" si="3"/>
        <v>0</v>
      </c>
      <c r="Q39" s="25" t="s">
        <v>0</v>
      </c>
      <c r="R39" s="145">
        <v>0</v>
      </c>
      <c r="S39" s="190">
        <f t="shared" si="4"/>
        <v>0</v>
      </c>
      <c r="T39" s="184" t="s">
        <v>0</v>
      </c>
      <c r="U39" s="145">
        <v>0</v>
      </c>
      <c r="V39" s="153">
        <f t="shared" si="5"/>
        <v>0</v>
      </c>
      <c r="W39" s="144" t="s">
        <v>0</v>
      </c>
      <c r="X39" s="145">
        <v>0</v>
      </c>
      <c r="Y39" s="145">
        <f t="shared" si="6"/>
        <v>0</v>
      </c>
      <c r="Z39" s="25" t="s">
        <v>0</v>
      </c>
      <c r="AA39" s="145">
        <v>0</v>
      </c>
      <c r="AB39" s="190">
        <f t="shared" si="7"/>
        <v>0</v>
      </c>
      <c r="AC39" s="184" t="s">
        <v>0</v>
      </c>
      <c r="AD39" s="145">
        <v>0</v>
      </c>
      <c r="AE39" s="153">
        <f t="shared" si="8"/>
        <v>0</v>
      </c>
    </row>
    <row r="40" spans="2:31">
      <c r="B40" s="218">
        <v>1136</v>
      </c>
      <c r="C40" s="29" t="s">
        <v>170</v>
      </c>
      <c r="D40" s="28" t="s">
        <v>242</v>
      </c>
      <c r="E40" s="154">
        <v>17.09</v>
      </c>
      <c r="F40" s="22">
        <v>49352.639999999999</v>
      </c>
      <c r="G40" s="204">
        <f t="shared" si="9"/>
        <v>1.5249848872348373</v>
      </c>
      <c r="H40" s="21">
        <v>16.96</v>
      </c>
      <c r="I40" s="22">
        <v>67287.47</v>
      </c>
      <c r="J40" s="213">
        <f t="shared" si="10"/>
        <v>2.1548483712866551</v>
      </c>
      <c r="K40" s="185">
        <v>17.059999999999999</v>
      </c>
      <c r="L40" s="22">
        <v>38235.72</v>
      </c>
      <c r="M40" s="205">
        <f t="shared" si="11"/>
        <v>1.6023011150234294</v>
      </c>
      <c r="N40" s="144" t="s">
        <v>0</v>
      </c>
      <c r="O40" s="145">
        <v>0</v>
      </c>
      <c r="P40" s="163">
        <f t="shared" si="3"/>
        <v>0</v>
      </c>
      <c r="Q40" s="25" t="s">
        <v>0</v>
      </c>
      <c r="R40" s="145">
        <v>0</v>
      </c>
      <c r="S40" s="193">
        <f t="shared" si="4"/>
        <v>0</v>
      </c>
      <c r="T40" s="184" t="s">
        <v>0</v>
      </c>
      <c r="U40" s="145">
        <v>0</v>
      </c>
      <c r="V40" s="164">
        <f t="shared" si="5"/>
        <v>0</v>
      </c>
      <c r="W40" s="144" t="s">
        <v>0</v>
      </c>
      <c r="X40" s="145">
        <v>0</v>
      </c>
      <c r="Y40" s="163">
        <f t="shared" si="6"/>
        <v>0</v>
      </c>
      <c r="Z40" s="25" t="s">
        <v>0</v>
      </c>
      <c r="AA40" s="145">
        <v>0</v>
      </c>
      <c r="AB40" s="193">
        <f t="shared" si="7"/>
        <v>0</v>
      </c>
      <c r="AC40" s="184" t="s">
        <v>0</v>
      </c>
      <c r="AD40" s="145">
        <v>0</v>
      </c>
      <c r="AE40" s="164">
        <f t="shared" si="8"/>
        <v>0</v>
      </c>
    </row>
    <row r="41" spans="2:31">
      <c r="B41" s="218" t="s">
        <v>171</v>
      </c>
      <c r="C41" s="29" t="s">
        <v>172</v>
      </c>
      <c r="D41" s="28" t="s">
        <v>173</v>
      </c>
      <c r="E41" s="199" t="s">
        <v>0</v>
      </c>
      <c r="F41" s="200">
        <v>0</v>
      </c>
      <c r="G41" s="201">
        <f t="shared" si="9"/>
        <v>0</v>
      </c>
      <c r="H41" s="210" t="s">
        <v>0</v>
      </c>
      <c r="I41" s="200">
        <v>0</v>
      </c>
      <c r="J41" s="212">
        <f t="shared" si="10"/>
        <v>0</v>
      </c>
      <c r="K41" s="202" t="s">
        <v>0</v>
      </c>
      <c r="L41" s="200">
        <v>0</v>
      </c>
      <c r="M41" s="203">
        <f t="shared" si="11"/>
        <v>0</v>
      </c>
      <c r="N41" s="177">
        <v>19.809999999999999</v>
      </c>
      <c r="O41" s="157">
        <v>37496.730000000003</v>
      </c>
      <c r="P41" s="158">
        <f t="shared" si="3"/>
        <v>1.6143011797786468</v>
      </c>
      <c r="Q41" s="134">
        <v>19.600000000000001</v>
      </c>
      <c r="R41" s="157">
        <v>36049.040000000001</v>
      </c>
      <c r="S41" s="191">
        <f t="shared" si="4"/>
        <v>1.6607934822849681</v>
      </c>
      <c r="T41" s="178">
        <v>19.559999999999999</v>
      </c>
      <c r="U41" s="157">
        <v>33262.269999999997</v>
      </c>
      <c r="V41" s="160">
        <f t="shared" si="5"/>
        <v>1.3940780705639333</v>
      </c>
      <c r="W41" s="156">
        <v>19.27</v>
      </c>
      <c r="X41" s="157">
        <v>24865.25</v>
      </c>
      <c r="Y41" s="158">
        <f t="shared" si="6"/>
        <v>1.0782147454879845</v>
      </c>
      <c r="Z41" s="181">
        <v>19.079999999999998</v>
      </c>
      <c r="AA41" s="157">
        <v>26219.34</v>
      </c>
      <c r="AB41" s="191">
        <f t="shared" si="7"/>
        <v>1.1175381782196969</v>
      </c>
      <c r="AC41" s="159">
        <v>18.940000000000001</v>
      </c>
      <c r="AD41" s="157">
        <v>28702.42</v>
      </c>
      <c r="AE41" s="160">
        <f t="shared" si="8"/>
        <v>1.3185357947301242</v>
      </c>
    </row>
    <row r="42" spans="2:31">
      <c r="B42" s="218" t="s">
        <v>174</v>
      </c>
      <c r="C42" s="29" t="s">
        <v>172</v>
      </c>
      <c r="D42" s="28" t="s">
        <v>175</v>
      </c>
      <c r="E42" s="199" t="s">
        <v>0</v>
      </c>
      <c r="F42" s="200">
        <v>0</v>
      </c>
      <c r="G42" s="201">
        <f t="shared" si="9"/>
        <v>0</v>
      </c>
      <c r="H42" s="210" t="s">
        <v>0</v>
      </c>
      <c r="I42" s="200">
        <v>0</v>
      </c>
      <c r="J42" s="212">
        <f t="shared" si="10"/>
        <v>0</v>
      </c>
      <c r="K42" s="202" t="s">
        <v>0</v>
      </c>
      <c r="L42" s="200">
        <v>0</v>
      </c>
      <c r="M42" s="203">
        <f t="shared" si="11"/>
        <v>0</v>
      </c>
      <c r="N42" s="177">
        <v>20.66</v>
      </c>
      <c r="O42" s="157">
        <v>48422.36</v>
      </c>
      <c r="P42" s="158">
        <f t="shared" si="3"/>
        <v>2.084669059826453</v>
      </c>
      <c r="Q42" s="134">
        <v>20.39</v>
      </c>
      <c r="R42" s="157">
        <v>50743.71</v>
      </c>
      <c r="S42" s="191">
        <f t="shared" si="4"/>
        <v>2.3377827213972564</v>
      </c>
      <c r="T42" s="178">
        <v>20.58</v>
      </c>
      <c r="U42" s="157">
        <v>22739.43</v>
      </c>
      <c r="V42" s="160">
        <f t="shared" si="5"/>
        <v>0.95304802408625822</v>
      </c>
      <c r="W42" s="156">
        <v>20.18</v>
      </c>
      <c r="X42" s="157">
        <v>29864.58</v>
      </c>
      <c r="Y42" s="158">
        <f t="shared" si="6"/>
        <v>1.2949972561629404</v>
      </c>
      <c r="Z42" s="181">
        <v>20.170000000000002</v>
      </c>
      <c r="AA42" s="157">
        <v>56386.34</v>
      </c>
      <c r="AB42" s="191">
        <f t="shared" si="7"/>
        <v>2.4033361511035913</v>
      </c>
      <c r="AC42" s="159">
        <v>19.84</v>
      </c>
      <c r="AD42" s="157">
        <v>49956.86</v>
      </c>
      <c r="AE42" s="160">
        <f t="shared" si="8"/>
        <v>2.2949252398341868</v>
      </c>
    </row>
    <row r="43" spans="2:31">
      <c r="B43" s="111" t="s">
        <v>176</v>
      </c>
      <c r="C43" s="29" t="s">
        <v>177</v>
      </c>
      <c r="D43" s="28" t="s">
        <v>178</v>
      </c>
      <c r="E43" s="154">
        <v>16.72</v>
      </c>
      <c r="F43" s="22">
        <v>62500.39</v>
      </c>
      <c r="G43" s="22">
        <f t="shared" si="9"/>
        <v>1.9312472482988416</v>
      </c>
      <c r="H43" s="21">
        <v>16.600000000000001</v>
      </c>
      <c r="I43" s="22">
        <v>75584.94</v>
      </c>
      <c r="J43" s="35">
        <f t="shared" si="10"/>
        <v>2.4205707965063858</v>
      </c>
      <c r="K43" s="185">
        <v>16.559999999999999</v>
      </c>
      <c r="L43" s="22">
        <v>64925.19</v>
      </c>
      <c r="M43" s="155">
        <f t="shared" si="11"/>
        <v>2.7207465775486379</v>
      </c>
      <c r="N43" s="144" t="s">
        <v>0</v>
      </c>
      <c r="O43" s="145">
        <v>0</v>
      </c>
      <c r="P43" s="145">
        <f t="shared" si="3"/>
        <v>0</v>
      </c>
      <c r="Q43" s="25" t="s">
        <v>0</v>
      </c>
      <c r="R43" s="145">
        <v>0</v>
      </c>
      <c r="S43" s="190">
        <f t="shared" si="4"/>
        <v>0</v>
      </c>
      <c r="T43" s="184" t="s">
        <v>0</v>
      </c>
      <c r="U43" s="145">
        <v>0</v>
      </c>
      <c r="V43" s="153">
        <f t="shared" si="5"/>
        <v>0</v>
      </c>
      <c r="W43" s="144" t="s">
        <v>0</v>
      </c>
      <c r="X43" s="145">
        <v>0</v>
      </c>
      <c r="Y43" s="145">
        <f t="shared" si="6"/>
        <v>0</v>
      </c>
      <c r="Z43" s="25" t="s">
        <v>0</v>
      </c>
      <c r="AA43" s="145">
        <v>0</v>
      </c>
      <c r="AB43" s="190">
        <f t="shared" si="7"/>
        <v>0</v>
      </c>
      <c r="AC43" s="184" t="s">
        <v>0</v>
      </c>
      <c r="AD43" s="145">
        <v>0</v>
      </c>
      <c r="AE43" s="153">
        <f t="shared" si="8"/>
        <v>0</v>
      </c>
    </row>
    <row r="44" spans="2:31">
      <c r="B44" s="218">
        <v>1201</v>
      </c>
      <c r="C44" s="29" t="s">
        <v>179</v>
      </c>
      <c r="D44" s="28" t="s">
        <v>180</v>
      </c>
      <c r="E44" s="154">
        <v>23.93</v>
      </c>
      <c r="F44" s="22">
        <v>19661.14</v>
      </c>
      <c r="G44" s="206">
        <f t="shared" si="9"/>
        <v>0.60752456942137945</v>
      </c>
      <c r="H44" s="21">
        <v>23.67</v>
      </c>
      <c r="I44" s="22">
        <v>27207.15</v>
      </c>
      <c r="J44" s="214">
        <f t="shared" si="10"/>
        <v>0.87129569390633543</v>
      </c>
      <c r="K44" s="185">
        <v>23.87</v>
      </c>
      <c r="L44" s="22">
        <v>18643.75</v>
      </c>
      <c r="M44" s="207">
        <f t="shared" si="11"/>
        <v>0.78128256544451258</v>
      </c>
      <c r="N44" s="144" t="s">
        <v>0</v>
      </c>
      <c r="O44" s="145">
        <v>0</v>
      </c>
      <c r="P44" s="165">
        <f t="shared" si="3"/>
        <v>0</v>
      </c>
      <c r="Q44" s="25" t="s">
        <v>0</v>
      </c>
      <c r="R44" s="145">
        <v>0</v>
      </c>
      <c r="S44" s="194">
        <f t="shared" si="4"/>
        <v>0</v>
      </c>
      <c r="T44" s="184" t="s">
        <v>0</v>
      </c>
      <c r="U44" s="145">
        <v>0</v>
      </c>
      <c r="V44" s="166">
        <f t="shared" si="5"/>
        <v>0</v>
      </c>
      <c r="W44" s="144" t="s">
        <v>0</v>
      </c>
      <c r="X44" s="145">
        <v>0</v>
      </c>
      <c r="Y44" s="165">
        <f t="shared" si="6"/>
        <v>0</v>
      </c>
      <c r="Z44" s="25" t="s">
        <v>0</v>
      </c>
      <c r="AA44" s="145">
        <v>0</v>
      </c>
      <c r="AB44" s="194">
        <f t="shared" si="7"/>
        <v>0</v>
      </c>
      <c r="AC44" s="184" t="s">
        <v>0</v>
      </c>
      <c r="AD44" s="145">
        <v>0</v>
      </c>
      <c r="AE44" s="166">
        <f t="shared" si="8"/>
        <v>0</v>
      </c>
    </row>
    <row r="45" spans="2:31">
      <c r="B45" s="218" t="s">
        <v>181</v>
      </c>
      <c r="C45" s="29" t="s">
        <v>182</v>
      </c>
      <c r="E45" s="154" t="s">
        <v>0</v>
      </c>
      <c r="F45" s="22">
        <v>0</v>
      </c>
      <c r="G45" s="22">
        <f t="shared" si="9"/>
        <v>0</v>
      </c>
      <c r="H45" s="21" t="s">
        <v>0</v>
      </c>
      <c r="I45" s="22">
        <v>0</v>
      </c>
      <c r="J45" s="35">
        <f t="shared" si="10"/>
        <v>0</v>
      </c>
      <c r="K45" s="185" t="s">
        <v>0</v>
      </c>
      <c r="L45" s="22">
        <v>0</v>
      </c>
      <c r="M45" s="155">
        <f t="shared" si="11"/>
        <v>0</v>
      </c>
      <c r="N45" s="141">
        <v>17.38</v>
      </c>
      <c r="O45" s="142">
        <v>22546.31</v>
      </c>
      <c r="P45" s="142">
        <f t="shared" si="3"/>
        <v>0.9706589036605352</v>
      </c>
      <c r="Q45" s="131">
        <v>17.239999999999998</v>
      </c>
      <c r="R45" s="142">
        <v>20348.150000000001</v>
      </c>
      <c r="S45" s="187">
        <f t="shared" si="4"/>
        <v>0.93744729114996894</v>
      </c>
      <c r="T45" s="183">
        <v>17.329999999999998</v>
      </c>
      <c r="U45" s="142">
        <v>20862.740000000002</v>
      </c>
      <c r="V45" s="143">
        <f t="shared" si="5"/>
        <v>0.87439276771780761</v>
      </c>
      <c r="W45" s="141">
        <v>17.14</v>
      </c>
      <c r="X45" s="142">
        <v>22900.04</v>
      </c>
      <c r="Y45" s="142">
        <f t="shared" si="6"/>
        <v>0.99299869497650994</v>
      </c>
      <c r="Z45" s="131">
        <v>17.079999999999998</v>
      </c>
      <c r="AA45" s="142">
        <v>22255.64</v>
      </c>
      <c r="AB45" s="187">
        <f t="shared" si="7"/>
        <v>0.94859471598878597</v>
      </c>
      <c r="AC45" s="183">
        <v>16.96</v>
      </c>
      <c r="AD45" s="142">
        <v>20438.580000000002</v>
      </c>
      <c r="AE45" s="143">
        <f t="shared" si="8"/>
        <v>0.93891035402085354</v>
      </c>
    </row>
    <row r="46" spans="2:31">
      <c r="B46" s="218" t="s">
        <v>183</v>
      </c>
      <c r="C46" s="29" t="s">
        <v>184</v>
      </c>
      <c r="E46" s="154">
        <v>17.27</v>
      </c>
      <c r="F46" s="22">
        <v>124386.41</v>
      </c>
      <c r="G46" s="22">
        <f t="shared" si="9"/>
        <v>3.8435106091061439</v>
      </c>
      <c r="H46" s="21">
        <v>17.21</v>
      </c>
      <c r="I46" s="22">
        <v>93475.520000000004</v>
      </c>
      <c r="J46" s="35">
        <f t="shared" si="10"/>
        <v>2.9935078853042496</v>
      </c>
      <c r="K46" s="185">
        <v>17.440000000000001</v>
      </c>
      <c r="L46" s="22">
        <v>86537.93</v>
      </c>
      <c r="M46" s="155">
        <f t="shared" si="11"/>
        <v>3.6264472522243456</v>
      </c>
      <c r="N46" s="144" t="s">
        <v>0</v>
      </c>
      <c r="O46" s="145">
        <v>0</v>
      </c>
      <c r="P46" s="145">
        <f t="shared" si="3"/>
        <v>0</v>
      </c>
      <c r="Q46" s="25" t="s">
        <v>0</v>
      </c>
      <c r="R46" s="145">
        <v>0</v>
      </c>
      <c r="S46" s="190">
        <f t="shared" si="4"/>
        <v>0</v>
      </c>
      <c r="T46" s="184" t="s">
        <v>0</v>
      </c>
      <c r="U46" s="145">
        <v>0</v>
      </c>
      <c r="V46" s="153">
        <f t="shared" si="5"/>
        <v>0</v>
      </c>
      <c r="W46" s="144" t="s">
        <v>0</v>
      </c>
      <c r="X46" s="145">
        <v>0</v>
      </c>
      <c r="Y46" s="145">
        <f t="shared" si="6"/>
        <v>0</v>
      </c>
      <c r="Z46" s="25" t="s">
        <v>0</v>
      </c>
      <c r="AA46" s="145">
        <v>0</v>
      </c>
      <c r="AB46" s="190">
        <f t="shared" si="7"/>
        <v>0</v>
      </c>
      <c r="AC46" s="184" t="s">
        <v>0</v>
      </c>
      <c r="AD46" s="145">
        <v>0</v>
      </c>
      <c r="AE46" s="153">
        <f t="shared" si="8"/>
        <v>0</v>
      </c>
    </row>
    <row r="47" spans="2:31">
      <c r="B47" s="111">
        <v>1282</v>
      </c>
      <c r="C47" s="29" t="s">
        <v>185</v>
      </c>
      <c r="E47" s="154">
        <v>15.71</v>
      </c>
      <c r="F47" s="22">
        <v>49538.89</v>
      </c>
      <c r="G47" s="22">
        <f t="shared" si="9"/>
        <v>1.5307399681230631</v>
      </c>
      <c r="H47" s="21">
        <v>15.46</v>
      </c>
      <c r="I47" s="22">
        <v>50464.52</v>
      </c>
      <c r="J47" s="35">
        <f t="shared" si="10"/>
        <v>1.6161016119310596</v>
      </c>
      <c r="K47" s="185" t="s">
        <v>186</v>
      </c>
      <c r="L47" s="22">
        <v>17542.8</v>
      </c>
      <c r="M47" s="155">
        <f t="shared" si="11"/>
        <v>0.73514629777163898</v>
      </c>
      <c r="N47" s="144" t="s">
        <v>0</v>
      </c>
      <c r="O47" s="145">
        <v>0</v>
      </c>
      <c r="P47" s="145">
        <f t="shared" si="3"/>
        <v>0</v>
      </c>
      <c r="Q47" s="25" t="s">
        <v>0</v>
      </c>
      <c r="R47" s="145">
        <v>0</v>
      </c>
      <c r="S47" s="190">
        <f t="shared" si="4"/>
        <v>0</v>
      </c>
      <c r="T47" s="184" t="s">
        <v>0</v>
      </c>
      <c r="U47" s="145">
        <v>0</v>
      </c>
      <c r="V47" s="153">
        <f t="shared" si="5"/>
        <v>0</v>
      </c>
      <c r="W47" s="144" t="s">
        <v>0</v>
      </c>
      <c r="X47" s="145">
        <v>0</v>
      </c>
      <c r="Y47" s="145">
        <f t="shared" si="6"/>
        <v>0</v>
      </c>
      <c r="Z47" s="25" t="s">
        <v>0</v>
      </c>
      <c r="AA47" s="145">
        <v>0</v>
      </c>
      <c r="AB47" s="190">
        <f t="shared" si="7"/>
        <v>0</v>
      </c>
      <c r="AC47" s="184" t="s">
        <v>0</v>
      </c>
      <c r="AD47" s="145">
        <v>0</v>
      </c>
      <c r="AE47" s="153">
        <f t="shared" si="8"/>
        <v>0</v>
      </c>
    </row>
    <row r="48" spans="2:31">
      <c r="B48" s="218" t="s">
        <v>187</v>
      </c>
      <c r="C48" s="29" t="s">
        <v>188</v>
      </c>
      <c r="E48" s="154" t="s">
        <v>0</v>
      </c>
      <c r="F48" s="22">
        <v>0</v>
      </c>
      <c r="G48" s="22">
        <f t="shared" si="9"/>
        <v>0</v>
      </c>
      <c r="H48" s="21" t="s">
        <v>0</v>
      </c>
      <c r="I48" s="22">
        <v>0</v>
      </c>
      <c r="J48" s="35">
        <f t="shared" si="10"/>
        <v>0</v>
      </c>
      <c r="K48" s="185" t="s">
        <v>0</v>
      </c>
      <c r="L48" s="22">
        <v>0</v>
      </c>
      <c r="M48" s="155">
        <f t="shared" si="11"/>
        <v>0</v>
      </c>
      <c r="N48" s="154" t="s">
        <v>0</v>
      </c>
      <c r="O48" s="22">
        <v>0</v>
      </c>
      <c r="P48" s="22">
        <f t="shared" si="3"/>
        <v>0</v>
      </c>
      <c r="Q48" s="21" t="s">
        <v>0</v>
      </c>
      <c r="R48" s="22">
        <v>0</v>
      </c>
      <c r="S48" s="35">
        <f t="shared" si="4"/>
        <v>0</v>
      </c>
      <c r="T48" s="185" t="s">
        <v>0</v>
      </c>
      <c r="U48" s="22">
        <v>0</v>
      </c>
      <c r="V48" s="155">
        <f t="shared" si="5"/>
        <v>0</v>
      </c>
      <c r="W48" s="141">
        <v>20</v>
      </c>
      <c r="X48" s="142">
        <v>25714.21</v>
      </c>
      <c r="Y48" s="142">
        <f t="shared" si="6"/>
        <v>1.1150276144649494</v>
      </c>
      <c r="Z48" s="131">
        <v>20</v>
      </c>
      <c r="AA48" s="142">
        <v>20210.87</v>
      </c>
      <c r="AB48" s="187">
        <f t="shared" si="7"/>
        <v>0.86144116671262994</v>
      </c>
      <c r="AC48" s="183">
        <v>19.72</v>
      </c>
      <c r="AD48" s="142">
        <v>47539.72</v>
      </c>
      <c r="AE48" s="143">
        <f t="shared" si="8"/>
        <v>2.1838863235729806</v>
      </c>
    </row>
    <row r="49" spans="1:31">
      <c r="B49" s="218" t="s">
        <v>189</v>
      </c>
      <c r="C49" s="29" t="s">
        <v>188</v>
      </c>
      <c r="E49" s="154" t="s">
        <v>0</v>
      </c>
      <c r="F49" s="22">
        <v>0</v>
      </c>
      <c r="G49" s="22">
        <f t="shared" si="9"/>
        <v>0</v>
      </c>
      <c r="H49" s="21" t="s">
        <v>0</v>
      </c>
      <c r="I49" s="22">
        <v>0</v>
      </c>
      <c r="J49" s="35">
        <f t="shared" si="10"/>
        <v>0</v>
      </c>
      <c r="K49" s="185" t="s">
        <v>0</v>
      </c>
      <c r="L49" s="22">
        <v>0</v>
      </c>
      <c r="M49" s="155">
        <f t="shared" si="11"/>
        <v>0</v>
      </c>
      <c r="N49" s="141">
        <v>20.54</v>
      </c>
      <c r="O49" s="142">
        <v>110230</v>
      </c>
      <c r="P49" s="142">
        <f t="shared" si="3"/>
        <v>4.7455983240938675</v>
      </c>
      <c r="Q49" s="131">
        <v>20.21</v>
      </c>
      <c r="R49" s="142">
        <v>90722.66</v>
      </c>
      <c r="S49" s="187">
        <f t="shared" si="4"/>
        <v>4.1796287064386508</v>
      </c>
      <c r="T49" s="183">
        <v>21.18</v>
      </c>
      <c r="U49" s="142">
        <v>104628.44</v>
      </c>
      <c r="V49" s="143">
        <f t="shared" si="5"/>
        <v>4.3851551250505238</v>
      </c>
      <c r="W49" s="154" t="s">
        <v>0</v>
      </c>
      <c r="X49" s="22">
        <v>0</v>
      </c>
      <c r="Y49" s="22">
        <f t="shared" si="6"/>
        <v>0</v>
      </c>
      <c r="Z49" s="131">
        <v>20.52</v>
      </c>
      <c r="AA49" s="142">
        <v>60763.06</v>
      </c>
      <c r="AB49" s="187">
        <f t="shared" si="7"/>
        <v>2.5898836269507219</v>
      </c>
      <c r="AC49" s="183">
        <v>20.25</v>
      </c>
      <c r="AD49" s="142">
        <v>60361.36</v>
      </c>
      <c r="AE49" s="143">
        <f t="shared" si="8"/>
        <v>2.7728886197955136</v>
      </c>
    </row>
    <row r="50" spans="1:31">
      <c r="B50" s="218">
        <v>1338</v>
      </c>
      <c r="C50" s="29" t="s">
        <v>190</v>
      </c>
      <c r="D50" s="28" t="s">
        <v>191</v>
      </c>
      <c r="E50" s="154">
        <v>20.149999999999999</v>
      </c>
      <c r="F50" s="22">
        <v>15664.11</v>
      </c>
      <c r="G50" s="208">
        <f t="shared" si="9"/>
        <v>0.48401728908492203</v>
      </c>
      <c r="H50" s="21">
        <v>19.36</v>
      </c>
      <c r="I50" s="22">
        <v>40429.629999999997</v>
      </c>
      <c r="J50" s="215">
        <f t="shared" si="10"/>
        <v>1.2947391595674809</v>
      </c>
      <c r="K50" s="185">
        <v>20.02</v>
      </c>
      <c r="L50" s="22">
        <v>18685.27</v>
      </c>
      <c r="M50" s="209">
        <f t="shared" si="11"/>
        <v>0.78302249717054717</v>
      </c>
      <c r="N50" s="144" t="s">
        <v>0</v>
      </c>
      <c r="O50" s="145">
        <v>0</v>
      </c>
      <c r="P50" s="167">
        <f t="shared" si="3"/>
        <v>0</v>
      </c>
      <c r="Q50" s="25" t="s">
        <v>0</v>
      </c>
      <c r="R50" s="145">
        <v>0</v>
      </c>
      <c r="S50" s="195">
        <f t="shared" si="4"/>
        <v>0</v>
      </c>
      <c r="T50" s="184" t="s">
        <v>0</v>
      </c>
      <c r="U50" s="145">
        <v>0</v>
      </c>
      <c r="V50" s="168">
        <f t="shared" si="5"/>
        <v>0</v>
      </c>
      <c r="W50" s="144" t="s">
        <v>0</v>
      </c>
      <c r="X50" s="145">
        <v>0</v>
      </c>
      <c r="Y50" s="167">
        <f t="shared" si="6"/>
        <v>0</v>
      </c>
      <c r="Z50" s="25" t="s">
        <v>0</v>
      </c>
      <c r="AA50" s="145">
        <v>0</v>
      </c>
      <c r="AB50" s="195">
        <f t="shared" si="7"/>
        <v>0</v>
      </c>
      <c r="AC50" s="184" t="s">
        <v>0</v>
      </c>
      <c r="AD50" s="145">
        <v>0</v>
      </c>
      <c r="AE50" s="168">
        <f t="shared" si="8"/>
        <v>0</v>
      </c>
    </row>
    <row r="51" spans="1:31">
      <c r="B51" s="219" t="s">
        <v>192</v>
      </c>
      <c r="C51" s="29" t="s">
        <v>193</v>
      </c>
      <c r="D51" s="28" t="s">
        <v>194</v>
      </c>
      <c r="E51" s="154">
        <v>17.579999999999998</v>
      </c>
      <c r="F51" s="22">
        <v>99726.98</v>
      </c>
      <c r="G51" s="204">
        <f t="shared" si="9"/>
        <v>3.0815400624884677</v>
      </c>
      <c r="H51" s="21">
        <v>17.399999999999999</v>
      </c>
      <c r="I51" s="22">
        <v>96613.47</v>
      </c>
      <c r="J51" s="213">
        <f t="shared" si="10"/>
        <v>3.0939992018402847</v>
      </c>
      <c r="K51" s="185">
        <v>17.57</v>
      </c>
      <c r="L51" s="22">
        <v>85562.78</v>
      </c>
      <c r="M51" s="205">
        <f t="shared" si="11"/>
        <v>3.585582743008485</v>
      </c>
      <c r="N51" s="144" t="s">
        <v>0</v>
      </c>
      <c r="O51" s="145">
        <v>0</v>
      </c>
      <c r="P51" s="163">
        <f t="shared" si="3"/>
        <v>0</v>
      </c>
      <c r="Q51" s="25" t="s">
        <v>0</v>
      </c>
      <c r="R51" s="145">
        <v>0</v>
      </c>
      <c r="S51" s="193">
        <f t="shared" si="4"/>
        <v>0</v>
      </c>
      <c r="T51" s="184" t="s">
        <v>0</v>
      </c>
      <c r="U51" s="145">
        <v>0</v>
      </c>
      <c r="V51" s="164">
        <f t="shared" si="5"/>
        <v>0</v>
      </c>
      <c r="W51" s="144" t="s">
        <v>0</v>
      </c>
      <c r="X51" s="145">
        <v>0</v>
      </c>
      <c r="Y51" s="163">
        <f t="shared" si="6"/>
        <v>0</v>
      </c>
      <c r="Z51" s="25" t="s">
        <v>0</v>
      </c>
      <c r="AA51" s="145">
        <v>0</v>
      </c>
      <c r="AB51" s="193">
        <f t="shared" si="7"/>
        <v>0</v>
      </c>
      <c r="AC51" s="184" t="s">
        <v>0</v>
      </c>
      <c r="AD51" s="145">
        <v>0</v>
      </c>
      <c r="AE51" s="164">
        <f t="shared" si="8"/>
        <v>0</v>
      </c>
    </row>
    <row r="52" spans="1:31">
      <c r="B52" s="111" t="s">
        <v>195</v>
      </c>
      <c r="C52" s="29" t="s">
        <v>196</v>
      </c>
      <c r="D52" s="28" t="s">
        <v>197</v>
      </c>
      <c r="E52" s="154">
        <v>15.54</v>
      </c>
      <c r="F52" s="22">
        <v>76570.28</v>
      </c>
      <c r="G52" s="206">
        <f t="shared" si="9"/>
        <v>2.3660035169616034</v>
      </c>
      <c r="H52" s="21">
        <v>15.35</v>
      </c>
      <c r="I52" s="22">
        <v>77676.33</v>
      </c>
      <c r="J52" s="214">
        <f t="shared" si="10"/>
        <v>2.4875465400619872</v>
      </c>
      <c r="K52" s="185">
        <v>15.34</v>
      </c>
      <c r="L52" s="22">
        <v>48600.63</v>
      </c>
      <c r="M52" s="207">
        <f t="shared" si="11"/>
        <v>2.0366516869524394</v>
      </c>
      <c r="N52" s="144" t="s">
        <v>0</v>
      </c>
      <c r="O52" s="145">
        <v>0</v>
      </c>
      <c r="P52" s="165">
        <f t="shared" si="3"/>
        <v>0</v>
      </c>
      <c r="Q52" s="25" t="s">
        <v>0</v>
      </c>
      <c r="R52" s="145">
        <v>0</v>
      </c>
      <c r="S52" s="194">
        <f t="shared" si="4"/>
        <v>0</v>
      </c>
      <c r="T52" s="184" t="s">
        <v>0</v>
      </c>
      <c r="U52" s="145">
        <v>0</v>
      </c>
      <c r="V52" s="166">
        <f t="shared" si="5"/>
        <v>0</v>
      </c>
      <c r="W52" s="144" t="s">
        <v>0</v>
      </c>
      <c r="X52" s="145">
        <v>0</v>
      </c>
      <c r="Y52" s="165">
        <f t="shared" si="6"/>
        <v>0</v>
      </c>
      <c r="Z52" s="25" t="s">
        <v>0</v>
      </c>
      <c r="AA52" s="145">
        <v>0</v>
      </c>
      <c r="AB52" s="194">
        <f t="shared" si="7"/>
        <v>0</v>
      </c>
      <c r="AC52" s="184" t="s">
        <v>0</v>
      </c>
      <c r="AD52" s="145">
        <v>0</v>
      </c>
      <c r="AE52" s="166">
        <f t="shared" si="8"/>
        <v>0</v>
      </c>
    </row>
    <row r="53" spans="1:31">
      <c r="B53" s="111" t="s">
        <v>198</v>
      </c>
      <c r="C53" s="29" t="s">
        <v>196</v>
      </c>
      <c r="D53" s="28" t="s">
        <v>199</v>
      </c>
      <c r="E53" s="154">
        <v>16.97</v>
      </c>
      <c r="F53" s="22">
        <v>56984.67</v>
      </c>
      <c r="G53" s="22">
        <f t="shared" si="9"/>
        <v>1.7608128066515676</v>
      </c>
      <c r="H53" s="21">
        <v>16.78</v>
      </c>
      <c r="I53" s="22">
        <v>53104.95</v>
      </c>
      <c r="J53" s="35">
        <f t="shared" si="10"/>
        <v>1.7006600933986558</v>
      </c>
      <c r="K53" s="185">
        <v>16.88</v>
      </c>
      <c r="L53" s="22">
        <v>41181.279999999999</v>
      </c>
      <c r="M53" s="155">
        <f t="shared" si="11"/>
        <v>1.7257373697184739</v>
      </c>
      <c r="N53" s="144" t="s">
        <v>0</v>
      </c>
      <c r="O53" s="145">
        <v>0</v>
      </c>
      <c r="P53" s="145">
        <f t="shared" si="3"/>
        <v>0</v>
      </c>
      <c r="Q53" s="25" t="s">
        <v>0</v>
      </c>
      <c r="R53" s="145">
        <v>0</v>
      </c>
      <c r="S53" s="190">
        <f t="shared" si="4"/>
        <v>0</v>
      </c>
      <c r="T53" s="184" t="s">
        <v>0</v>
      </c>
      <c r="U53" s="145">
        <v>0</v>
      </c>
      <c r="V53" s="153">
        <f t="shared" si="5"/>
        <v>0</v>
      </c>
      <c r="W53" s="144" t="s">
        <v>0</v>
      </c>
      <c r="X53" s="145">
        <v>0</v>
      </c>
      <c r="Y53" s="145">
        <f t="shared" si="6"/>
        <v>0</v>
      </c>
      <c r="Z53" s="25" t="s">
        <v>0</v>
      </c>
      <c r="AA53" s="145">
        <v>0</v>
      </c>
      <c r="AB53" s="190">
        <f t="shared" si="7"/>
        <v>0</v>
      </c>
      <c r="AC53" s="184" t="s">
        <v>0</v>
      </c>
      <c r="AD53" s="145">
        <v>0</v>
      </c>
      <c r="AE53" s="153">
        <f t="shared" si="8"/>
        <v>0</v>
      </c>
    </row>
    <row r="54" spans="1:31">
      <c r="B54" s="111" t="s">
        <v>200</v>
      </c>
      <c r="C54" s="29" t="s">
        <v>196</v>
      </c>
      <c r="D54" s="28" t="s">
        <v>201</v>
      </c>
      <c r="E54" s="154">
        <v>17.579999999999998</v>
      </c>
      <c r="F54" s="22">
        <v>90024.83</v>
      </c>
      <c r="G54" s="204">
        <f t="shared" si="9"/>
        <v>2.781745925362562</v>
      </c>
      <c r="H54" s="21">
        <v>17.52</v>
      </c>
      <c r="I54" s="22">
        <v>93640.86</v>
      </c>
      <c r="J54" s="213">
        <f t="shared" si="10"/>
        <v>2.9988028180712054</v>
      </c>
      <c r="K54" s="185" t="s">
        <v>202</v>
      </c>
      <c r="L54" s="22">
        <v>36210.699999999997</v>
      </c>
      <c r="M54" s="205">
        <f t="shared" si="11"/>
        <v>1.5174408899787657</v>
      </c>
      <c r="N54" s="144" t="s">
        <v>0</v>
      </c>
      <c r="O54" s="145">
        <v>0</v>
      </c>
      <c r="P54" s="163">
        <f t="shared" si="3"/>
        <v>0</v>
      </c>
      <c r="Q54" s="25" t="s">
        <v>0</v>
      </c>
      <c r="R54" s="145">
        <v>0</v>
      </c>
      <c r="S54" s="193">
        <f t="shared" si="4"/>
        <v>0</v>
      </c>
      <c r="T54" s="184" t="s">
        <v>0</v>
      </c>
      <c r="U54" s="145">
        <v>0</v>
      </c>
      <c r="V54" s="164">
        <f t="shared" si="5"/>
        <v>0</v>
      </c>
      <c r="W54" s="144" t="s">
        <v>0</v>
      </c>
      <c r="X54" s="145">
        <v>0</v>
      </c>
      <c r="Y54" s="163">
        <f t="shared" si="6"/>
        <v>0</v>
      </c>
      <c r="Z54" s="25" t="s">
        <v>0</v>
      </c>
      <c r="AA54" s="145">
        <v>0</v>
      </c>
      <c r="AB54" s="193">
        <f t="shared" si="7"/>
        <v>0</v>
      </c>
      <c r="AC54" s="184" t="s">
        <v>0</v>
      </c>
      <c r="AD54" s="145">
        <v>0</v>
      </c>
      <c r="AE54" s="164">
        <f t="shared" si="8"/>
        <v>0</v>
      </c>
    </row>
    <row r="55" spans="1:31">
      <c r="B55" s="111">
        <v>1412</v>
      </c>
      <c r="C55" s="29" t="s">
        <v>203</v>
      </c>
      <c r="D55" s="28" t="s">
        <v>204</v>
      </c>
      <c r="E55" s="154">
        <v>15.54</v>
      </c>
      <c r="F55" s="22">
        <v>41176.43</v>
      </c>
      <c r="G55" s="201">
        <f t="shared" si="9"/>
        <v>1.2723419347026454</v>
      </c>
      <c r="H55" s="21">
        <v>15.29</v>
      </c>
      <c r="I55" s="22">
        <v>39609.49</v>
      </c>
      <c r="J55" s="212">
        <f t="shared" si="10"/>
        <v>1.2684745765295535</v>
      </c>
      <c r="K55" s="185">
        <v>15.4</v>
      </c>
      <c r="L55" s="22">
        <v>30284.95</v>
      </c>
      <c r="M55" s="203">
        <f t="shared" si="11"/>
        <v>1.2691171803075452</v>
      </c>
      <c r="N55" s="144" t="s">
        <v>0</v>
      </c>
      <c r="O55" s="145">
        <v>0</v>
      </c>
      <c r="P55" s="150">
        <f t="shared" si="3"/>
        <v>0</v>
      </c>
      <c r="Q55" s="25" t="s">
        <v>0</v>
      </c>
      <c r="R55" s="145">
        <v>0</v>
      </c>
      <c r="S55" s="189">
        <f t="shared" si="4"/>
        <v>0</v>
      </c>
      <c r="T55" s="184" t="s">
        <v>0</v>
      </c>
      <c r="U55" s="145">
        <v>0</v>
      </c>
      <c r="V55" s="152">
        <f t="shared" si="5"/>
        <v>0</v>
      </c>
      <c r="W55" s="144" t="s">
        <v>0</v>
      </c>
      <c r="X55" s="145">
        <v>0</v>
      </c>
      <c r="Y55" s="150">
        <f t="shared" si="6"/>
        <v>0</v>
      </c>
      <c r="Z55" s="25" t="s">
        <v>0</v>
      </c>
      <c r="AA55" s="145">
        <v>0</v>
      </c>
      <c r="AB55" s="189">
        <f t="shared" si="7"/>
        <v>0</v>
      </c>
      <c r="AC55" s="184" t="s">
        <v>0</v>
      </c>
      <c r="AD55" s="145">
        <v>0</v>
      </c>
      <c r="AE55" s="152">
        <f t="shared" si="8"/>
        <v>0</v>
      </c>
    </row>
    <row r="56" spans="1:31">
      <c r="B56" s="218" t="s">
        <v>205</v>
      </c>
      <c r="C56" s="29" t="s">
        <v>206</v>
      </c>
      <c r="D56" s="28" t="s">
        <v>207</v>
      </c>
      <c r="E56" s="154">
        <v>18.440000000000001</v>
      </c>
      <c r="F56" s="22">
        <v>81165.440000000002</v>
      </c>
      <c r="G56" s="201">
        <f t="shared" si="9"/>
        <v>2.5079928726359104</v>
      </c>
      <c r="H56" s="21">
        <v>17.829999999999998</v>
      </c>
      <c r="I56" s="22">
        <v>61156.95</v>
      </c>
      <c r="J56" s="212">
        <f t="shared" si="10"/>
        <v>1.9585214617277094</v>
      </c>
      <c r="K56" s="185">
        <v>18.39</v>
      </c>
      <c r="L56" s="22">
        <v>55928.95</v>
      </c>
      <c r="M56" s="203">
        <f t="shared" si="11"/>
        <v>2.3437513128323362</v>
      </c>
      <c r="N56" s="144" t="s">
        <v>0</v>
      </c>
      <c r="O56" s="145">
        <v>0</v>
      </c>
      <c r="P56" s="150">
        <f t="shared" si="3"/>
        <v>0</v>
      </c>
      <c r="Q56" s="25" t="s">
        <v>0</v>
      </c>
      <c r="R56" s="145">
        <v>0</v>
      </c>
      <c r="S56" s="189">
        <f t="shared" si="4"/>
        <v>0</v>
      </c>
      <c r="T56" s="184" t="s">
        <v>0</v>
      </c>
      <c r="U56" s="145">
        <v>0</v>
      </c>
      <c r="V56" s="152">
        <f t="shared" si="5"/>
        <v>0</v>
      </c>
      <c r="W56" s="144" t="s">
        <v>0</v>
      </c>
      <c r="X56" s="145">
        <v>0</v>
      </c>
      <c r="Y56" s="150">
        <f t="shared" si="6"/>
        <v>0</v>
      </c>
      <c r="Z56" s="25" t="s">
        <v>0</v>
      </c>
      <c r="AA56" s="145">
        <v>0</v>
      </c>
      <c r="AB56" s="189">
        <f t="shared" si="7"/>
        <v>0</v>
      </c>
      <c r="AC56" s="184" t="s">
        <v>0</v>
      </c>
      <c r="AD56" s="145">
        <v>0</v>
      </c>
      <c r="AE56" s="152">
        <f t="shared" si="8"/>
        <v>0</v>
      </c>
    </row>
    <row r="57" spans="1:31">
      <c r="B57" s="218" t="s">
        <v>208</v>
      </c>
      <c r="C57" s="29" t="s">
        <v>206</v>
      </c>
      <c r="D57" s="28" t="s">
        <v>209</v>
      </c>
      <c r="E57" s="154">
        <v>19.12</v>
      </c>
      <c r="F57" s="22">
        <v>37555.61</v>
      </c>
      <c r="G57" s="201">
        <f t="shared" si="9"/>
        <v>1.1604594542639568</v>
      </c>
      <c r="H57" s="21">
        <v>18.989999999999998</v>
      </c>
      <c r="I57" s="22">
        <v>56690.9</v>
      </c>
      <c r="J57" s="212">
        <f t="shared" si="10"/>
        <v>1.8154983911830038</v>
      </c>
      <c r="K57" s="185">
        <v>19.079999999999998</v>
      </c>
      <c r="L57" s="22">
        <v>25147.88</v>
      </c>
      <c r="M57" s="203">
        <f t="shared" si="11"/>
        <v>1.0538437922569628</v>
      </c>
      <c r="N57" s="144" t="s">
        <v>0</v>
      </c>
      <c r="O57" s="145">
        <v>0</v>
      </c>
      <c r="P57" s="150">
        <f t="shared" si="3"/>
        <v>0</v>
      </c>
      <c r="Q57" s="25" t="s">
        <v>0</v>
      </c>
      <c r="R57" s="145">
        <v>0</v>
      </c>
      <c r="S57" s="189">
        <f t="shared" si="4"/>
        <v>0</v>
      </c>
      <c r="T57" s="184" t="s">
        <v>0</v>
      </c>
      <c r="U57" s="145">
        <v>0</v>
      </c>
      <c r="V57" s="152">
        <f t="shared" si="5"/>
        <v>0</v>
      </c>
      <c r="W57" s="144" t="s">
        <v>0</v>
      </c>
      <c r="X57" s="145">
        <v>0</v>
      </c>
      <c r="Y57" s="150">
        <f t="shared" si="6"/>
        <v>0</v>
      </c>
      <c r="Z57" s="25" t="s">
        <v>0</v>
      </c>
      <c r="AA57" s="145">
        <v>0</v>
      </c>
      <c r="AB57" s="189">
        <f t="shared" si="7"/>
        <v>0</v>
      </c>
      <c r="AC57" s="184" t="s">
        <v>0</v>
      </c>
      <c r="AD57" s="145">
        <v>0</v>
      </c>
      <c r="AE57" s="152">
        <f t="shared" si="8"/>
        <v>0</v>
      </c>
    </row>
    <row r="58" spans="1:31">
      <c r="B58" s="218">
        <v>1428</v>
      </c>
      <c r="C58" s="29" t="s">
        <v>210</v>
      </c>
      <c r="D58" s="28" t="s">
        <v>211</v>
      </c>
      <c r="E58" s="154">
        <v>15.37</v>
      </c>
      <c r="F58" s="22">
        <v>171876.29</v>
      </c>
      <c r="G58" s="206">
        <f t="shared" si="9"/>
        <v>5.3109366535203018</v>
      </c>
      <c r="H58" s="21">
        <v>15.18</v>
      </c>
      <c r="I58" s="22">
        <v>146049.91</v>
      </c>
      <c r="J58" s="214">
        <f t="shared" si="10"/>
        <v>4.6771770537674033</v>
      </c>
      <c r="K58" s="185">
        <v>15.16</v>
      </c>
      <c r="L58" s="22">
        <v>101851.75</v>
      </c>
      <c r="M58" s="207">
        <f t="shared" si="11"/>
        <v>4.2681862036882681</v>
      </c>
      <c r="N58" s="144" t="s">
        <v>0</v>
      </c>
      <c r="O58" s="145">
        <v>0</v>
      </c>
      <c r="P58" s="165">
        <f t="shared" si="3"/>
        <v>0</v>
      </c>
      <c r="Q58" s="25" t="s">
        <v>0</v>
      </c>
      <c r="R58" s="145">
        <v>0</v>
      </c>
      <c r="S58" s="194">
        <f t="shared" si="4"/>
        <v>0</v>
      </c>
      <c r="T58" s="184" t="s">
        <v>0</v>
      </c>
      <c r="U58" s="145">
        <v>0</v>
      </c>
      <c r="V58" s="166">
        <f t="shared" si="5"/>
        <v>0</v>
      </c>
      <c r="W58" s="144" t="s">
        <v>0</v>
      </c>
      <c r="X58" s="145">
        <v>0</v>
      </c>
      <c r="Y58" s="165">
        <f t="shared" si="6"/>
        <v>0</v>
      </c>
      <c r="Z58" s="25" t="s">
        <v>0</v>
      </c>
      <c r="AA58" s="145">
        <v>0</v>
      </c>
      <c r="AB58" s="194">
        <f t="shared" si="7"/>
        <v>0</v>
      </c>
      <c r="AC58" s="184" t="s">
        <v>0</v>
      </c>
      <c r="AD58" s="145">
        <v>0</v>
      </c>
      <c r="AE58" s="166">
        <f t="shared" si="8"/>
        <v>0</v>
      </c>
    </row>
    <row r="59" spans="1:31">
      <c r="B59" s="111">
        <v>1470</v>
      </c>
      <c r="C59" s="29" t="s">
        <v>212</v>
      </c>
      <c r="D59" s="28" t="s">
        <v>213</v>
      </c>
      <c r="E59" s="154">
        <v>19.86</v>
      </c>
      <c r="F59" s="22">
        <v>153553.42000000001</v>
      </c>
      <c r="G59" s="206">
        <f t="shared" si="9"/>
        <v>4.7447643101407264</v>
      </c>
      <c r="H59" s="21">
        <v>19.899999999999999</v>
      </c>
      <c r="I59" s="22">
        <v>159066.32</v>
      </c>
      <c r="J59" s="214">
        <f t="shared" si="10"/>
        <v>5.0940212282994421</v>
      </c>
      <c r="K59" s="185">
        <v>19.96</v>
      </c>
      <c r="L59" s="22">
        <v>112552.64</v>
      </c>
      <c r="M59" s="207">
        <f t="shared" si="11"/>
        <v>4.7166163098492886</v>
      </c>
      <c r="N59" s="144" t="s">
        <v>0</v>
      </c>
      <c r="O59" s="145">
        <v>0</v>
      </c>
      <c r="P59" s="165">
        <f t="shared" si="3"/>
        <v>0</v>
      </c>
      <c r="Q59" s="25" t="s">
        <v>0</v>
      </c>
      <c r="R59" s="145">
        <v>0</v>
      </c>
      <c r="S59" s="194">
        <f t="shared" si="4"/>
        <v>0</v>
      </c>
      <c r="T59" s="184" t="s">
        <v>0</v>
      </c>
      <c r="U59" s="145">
        <v>0</v>
      </c>
      <c r="V59" s="166">
        <f t="shared" si="5"/>
        <v>0</v>
      </c>
      <c r="W59" s="144" t="s">
        <v>0</v>
      </c>
      <c r="X59" s="145">
        <v>0</v>
      </c>
      <c r="Y59" s="165">
        <f t="shared" si="6"/>
        <v>0</v>
      </c>
      <c r="Z59" s="25" t="s">
        <v>0</v>
      </c>
      <c r="AA59" s="145">
        <v>0</v>
      </c>
      <c r="AB59" s="194">
        <f t="shared" si="7"/>
        <v>0</v>
      </c>
      <c r="AC59" s="184" t="s">
        <v>0</v>
      </c>
      <c r="AD59" s="145">
        <v>0</v>
      </c>
      <c r="AE59" s="166">
        <f t="shared" si="8"/>
        <v>0</v>
      </c>
    </row>
    <row r="60" spans="1:31" ht="15" customHeight="1">
      <c r="B60" s="218" t="s">
        <v>214</v>
      </c>
      <c r="C60" s="29" t="s">
        <v>215</v>
      </c>
      <c r="E60" s="154" t="s">
        <v>0</v>
      </c>
      <c r="F60" s="22">
        <v>0</v>
      </c>
      <c r="G60" s="22">
        <f t="shared" si="9"/>
        <v>0</v>
      </c>
      <c r="H60" s="21" t="s">
        <v>0</v>
      </c>
      <c r="I60" s="22">
        <v>0</v>
      </c>
      <c r="J60" s="35">
        <f t="shared" si="10"/>
        <v>0</v>
      </c>
      <c r="K60" s="185" t="s">
        <v>0</v>
      </c>
      <c r="L60" s="22">
        <v>0</v>
      </c>
      <c r="M60" s="155">
        <f t="shared" si="11"/>
        <v>0</v>
      </c>
      <c r="N60" s="141">
        <v>24.38</v>
      </c>
      <c r="O60" s="142">
        <v>60460.62</v>
      </c>
      <c r="P60" s="142">
        <f>O60/$O$66*100</f>
        <v>2.6029376480602027</v>
      </c>
      <c r="Q60" s="131">
        <v>24.49</v>
      </c>
      <c r="R60" s="142">
        <v>62404.54</v>
      </c>
      <c r="S60" s="187">
        <f>R60/$R$66*100</f>
        <v>2.8750017558578977</v>
      </c>
      <c r="T60" s="183">
        <v>24.4</v>
      </c>
      <c r="U60" s="142">
        <v>61539</v>
      </c>
      <c r="V60" s="143">
        <f t="shared" si="5"/>
        <v>2.579203715935019</v>
      </c>
      <c r="W60" s="141">
        <v>24.16</v>
      </c>
      <c r="X60" s="142">
        <v>29534.61</v>
      </c>
      <c r="Y60" s="142">
        <f t="shared" si="6"/>
        <v>1.2806889938463069</v>
      </c>
      <c r="Z60" s="131">
        <v>23.6</v>
      </c>
      <c r="AA60" s="142">
        <v>54785.45</v>
      </c>
      <c r="AB60" s="187">
        <f>AA60/$AA$66*100</f>
        <v>2.3351019509242525</v>
      </c>
      <c r="AC60" s="183">
        <v>23.44</v>
      </c>
      <c r="AD60" s="142">
        <v>53416.85</v>
      </c>
      <c r="AE60" s="143">
        <f t="shared" si="8"/>
        <v>2.4538707456280635</v>
      </c>
    </row>
    <row r="61" spans="1:31">
      <c r="B61" s="218">
        <v>1485</v>
      </c>
      <c r="C61" s="29" t="s">
        <v>216</v>
      </c>
      <c r="D61" s="28" t="s">
        <v>217</v>
      </c>
      <c r="E61" s="154">
        <v>15.31</v>
      </c>
      <c r="F61" s="22">
        <v>99317.86</v>
      </c>
      <c r="G61" s="201">
        <f t="shared" si="9"/>
        <v>3.0688983513851609</v>
      </c>
      <c r="H61" s="21">
        <v>14.94</v>
      </c>
      <c r="I61" s="22">
        <v>119139.54</v>
      </c>
      <c r="J61" s="212">
        <f t="shared" si="10"/>
        <v>3.8153855944478412</v>
      </c>
      <c r="K61" s="185">
        <v>15.04</v>
      </c>
      <c r="L61" s="22">
        <v>88805.89</v>
      </c>
      <c r="M61" s="203">
        <f t="shared" si="11"/>
        <v>3.721488089348076</v>
      </c>
      <c r="N61" s="144" t="s">
        <v>0</v>
      </c>
      <c r="O61" s="145">
        <v>0</v>
      </c>
      <c r="P61" s="150">
        <f t="shared" si="3"/>
        <v>0</v>
      </c>
      <c r="Q61" s="25" t="s">
        <v>0</v>
      </c>
      <c r="R61" s="145">
        <v>0</v>
      </c>
      <c r="S61" s="189">
        <f t="shared" si="4"/>
        <v>0</v>
      </c>
      <c r="T61" s="184" t="s">
        <v>0</v>
      </c>
      <c r="U61" s="145">
        <v>0</v>
      </c>
      <c r="V61" s="152">
        <f t="shared" si="5"/>
        <v>0</v>
      </c>
      <c r="W61" s="144" t="s">
        <v>0</v>
      </c>
      <c r="X61" s="145">
        <v>0</v>
      </c>
      <c r="Y61" s="150">
        <f t="shared" si="6"/>
        <v>0</v>
      </c>
      <c r="Z61" s="25" t="s">
        <v>0</v>
      </c>
      <c r="AA61" s="145">
        <v>0</v>
      </c>
      <c r="AB61" s="189">
        <f t="shared" si="7"/>
        <v>0</v>
      </c>
      <c r="AC61" s="184" t="s">
        <v>0</v>
      </c>
      <c r="AD61" s="145">
        <v>0</v>
      </c>
      <c r="AE61" s="152">
        <f t="shared" si="8"/>
        <v>0</v>
      </c>
    </row>
    <row r="62" spans="1:31" ht="13.85" customHeight="1">
      <c r="B62" s="218">
        <v>1518</v>
      </c>
      <c r="C62" s="29" t="s">
        <v>218</v>
      </c>
      <c r="E62" s="154" t="s">
        <v>0</v>
      </c>
      <c r="F62" s="22">
        <v>0</v>
      </c>
      <c r="G62" s="201">
        <f t="shared" si="9"/>
        <v>0</v>
      </c>
      <c r="H62" s="21" t="s">
        <v>0</v>
      </c>
      <c r="I62" s="22">
        <v>0</v>
      </c>
      <c r="J62" s="212">
        <f t="shared" si="10"/>
        <v>0</v>
      </c>
      <c r="K62" s="185" t="s">
        <v>0</v>
      </c>
      <c r="L62" s="22">
        <v>0</v>
      </c>
      <c r="M62" s="203">
        <f t="shared" si="11"/>
        <v>0</v>
      </c>
      <c r="N62" s="141">
        <v>24.63</v>
      </c>
      <c r="O62" s="142">
        <v>53914</v>
      </c>
      <c r="P62" s="158">
        <f t="shared" si="3"/>
        <v>2.3210939675695976</v>
      </c>
      <c r="Q62" s="131">
        <v>25</v>
      </c>
      <c r="R62" s="142">
        <v>41918.660000000003</v>
      </c>
      <c r="S62" s="191">
        <f t="shared" si="4"/>
        <v>1.9312091893187617</v>
      </c>
      <c r="T62" s="183">
        <v>24.65</v>
      </c>
      <c r="U62" s="142">
        <v>51562.65</v>
      </c>
      <c r="V62" s="160">
        <f>U62/$U$66*100</f>
        <v>2.1610779909237525</v>
      </c>
      <c r="W62" s="141">
        <v>24.42</v>
      </c>
      <c r="X62" s="142">
        <v>43845.18</v>
      </c>
      <c r="Y62" s="158">
        <f t="shared" si="6"/>
        <v>1.9012284048853265</v>
      </c>
      <c r="Z62" s="131">
        <v>23.98</v>
      </c>
      <c r="AA62" s="142">
        <v>41804.58</v>
      </c>
      <c r="AB62" s="191">
        <f t="shared" si="7"/>
        <v>1.7818226612279175</v>
      </c>
      <c r="AC62" s="183">
        <v>23.82</v>
      </c>
      <c r="AD62" s="142">
        <v>35449.54</v>
      </c>
      <c r="AE62" s="160">
        <f>AD62/$AD$66*100</f>
        <v>1.6284859393987452</v>
      </c>
    </row>
    <row r="63" spans="1:31">
      <c r="A63" s="26"/>
      <c r="B63" s="218">
        <v>1527</v>
      </c>
      <c r="C63" s="29" t="s">
        <v>219</v>
      </c>
      <c r="D63" s="28" t="s">
        <v>220</v>
      </c>
      <c r="E63" s="154">
        <v>15.71</v>
      </c>
      <c r="F63" s="22">
        <v>41272.61</v>
      </c>
      <c r="G63" s="201">
        <f t="shared" si="9"/>
        <v>1.2753138739232068</v>
      </c>
      <c r="H63" s="21">
        <v>15.64</v>
      </c>
      <c r="I63" s="22">
        <v>55071.83</v>
      </c>
      <c r="J63" s="212">
        <f t="shared" si="10"/>
        <v>1.7636484650006241</v>
      </c>
      <c r="K63" s="185">
        <v>15.64</v>
      </c>
      <c r="L63" s="22">
        <v>44969.38</v>
      </c>
      <c r="M63" s="203">
        <f t="shared" si="11"/>
        <v>1.8844809961970714</v>
      </c>
      <c r="N63" s="144" t="s">
        <v>0</v>
      </c>
      <c r="O63" s="145">
        <v>0</v>
      </c>
      <c r="P63" s="150">
        <f t="shared" si="3"/>
        <v>0</v>
      </c>
      <c r="Q63" s="25" t="s">
        <v>0</v>
      </c>
      <c r="R63" s="145">
        <v>0</v>
      </c>
      <c r="S63" s="189">
        <f t="shared" si="4"/>
        <v>0</v>
      </c>
      <c r="T63" s="184" t="s">
        <v>0</v>
      </c>
      <c r="U63" s="145">
        <v>0</v>
      </c>
      <c r="V63" s="152">
        <f t="shared" si="5"/>
        <v>0</v>
      </c>
      <c r="W63" s="144" t="s">
        <v>0</v>
      </c>
      <c r="X63" s="145">
        <v>0</v>
      </c>
      <c r="Y63" s="150">
        <f t="shared" si="6"/>
        <v>0</v>
      </c>
      <c r="Z63" s="25" t="s">
        <v>0</v>
      </c>
      <c r="AA63" s="145">
        <v>0</v>
      </c>
      <c r="AB63" s="189">
        <f t="shared" si="7"/>
        <v>0</v>
      </c>
      <c r="AC63" s="184" t="s">
        <v>0</v>
      </c>
      <c r="AD63" s="145">
        <v>0</v>
      </c>
      <c r="AE63" s="152">
        <f t="shared" si="8"/>
        <v>0</v>
      </c>
    </row>
    <row r="64" spans="1:31">
      <c r="B64" s="111" t="s">
        <v>221</v>
      </c>
      <c r="C64" s="29" t="s">
        <v>222</v>
      </c>
      <c r="E64" s="154">
        <v>18.14</v>
      </c>
      <c r="F64" s="22">
        <v>62167.5</v>
      </c>
      <c r="G64" s="204">
        <f t="shared" si="9"/>
        <v>1.9209610261410888</v>
      </c>
      <c r="H64" s="21">
        <v>18</v>
      </c>
      <c r="I64" s="22">
        <v>69850.960000000006</v>
      </c>
      <c r="J64" s="213">
        <f t="shared" si="10"/>
        <v>2.2369428868229004</v>
      </c>
      <c r="K64" s="185">
        <v>18.2</v>
      </c>
      <c r="L64" s="22">
        <v>68189.52</v>
      </c>
      <c r="M64" s="205">
        <f t="shared" si="11"/>
        <v>2.8575411664514867</v>
      </c>
      <c r="N64" s="144" t="s">
        <v>0</v>
      </c>
      <c r="O64" s="145">
        <v>0</v>
      </c>
      <c r="P64" s="163">
        <f t="shared" si="3"/>
        <v>0</v>
      </c>
      <c r="Q64" s="25" t="s">
        <v>0</v>
      </c>
      <c r="R64" s="145">
        <v>0</v>
      </c>
      <c r="S64" s="193">
        <f t="shared" si="4"/>
        <v>0</v>
      </c>
      <c r="T64" s="184" t="s">
        <v>0</v>
      </c>
      <c r="U64" s="145">
        <v>0</v>
      </c>
      <c r="V64" s="164">
        <f t="shared" si="5"/>
        <v>0</v>
      </c>
      <c r="W64" s="144" t="s">
        <v>0</v>
      </c>
      <c r="X64" s="145">
        <v>0</v>
      </c>
      <c r="Y64" s="163">
        <f t="shared" si="6"/>
        <v>0</v>
      </c>
      <c r="Z64" s="25" t="s">
        <v>0</v>
      </c>
      <c r="AA64" s="145">
        <v>0</v>
      </c>
      <c r="AB64" s="193">
        <f t="shared" si="7"/>
        <v>0</v>
      </c>
      <c r="AC64" s="184" t="s">
        <v>0</v>
      </c>
      <c r="AD64" s="145">
        <v>0</v>
      </c>
      <c r="AE64" s="164">
        <f t="shared" si="8"/>
        <v>0</v>
      </c>
    </row>
    <row r="65" spans="1:31">
      <c r="B65" s="218">
        <v>1869</v>
      </c>
      <c r="C65" s="29" t="s">
        <v>223</v>
      </c>
      <c r="E65" s="199" t="s">
        <v>0</v>
      </c>
      <c r="F65" s="200">
        <v>0</v>
      </c>
      <c r="G65" s="201">
        <f t="shared" si="9"/>
        <v>0</v>
      </c>
      <c r="H65" s="210" t="s">
        <v>0</v>
      </c>
      <c r="I65" s="200">
        <v>0</v>
      </c>
      <c r="J65" s="212">
        <f t="shared" si="10"/>
        <v>0</v>
      </c>
      <c r="K65" s="202" t="s">
        <v>0</v>
      </c>
      <c r="L65" s="200">
        <v>0</v>
      </c>
      <c r="M65" s="203">
        <f t="shared" si="11"/>
        <v>0</v>
      </c>
      <c r="N65" s="177">
        <v>16.940000000000001</v>
      </c>
      <c r="O65" s="157">
        <v>13255.79</v>
      </c>
      <c r="P65" s="158">
        <f t="shared" si="3"/>
        <v>0.57068542872666472</v>
      </c>
      <c r="Q65" s="134">
        <v>16.8</v>
      </c>
      <c r="R65" s="157">
        <v>11623.82</v>
      </c>
      <c r="S65" s="191">
        <f t="shared" si="4"/>
        <v>0.53551396917237348</v>
      </c>
      <c r="T65" s="178" t="s">
        <v>224</v>
      </c>
      <c r="U65" s="157">
        <v>8038.9</v>
      </c>
      <c r="V65" s="160">
        <f t="shared" si="5"/>
        <v>0.33692391413623918</v>
      </c>
      <c r="W65" s="156" t="s">
        <v>0</v>
      </c>
      <c r="X65" s="157">
        <v>0</v>
      </c>
      <c r="Y65" s="158">
        <f t="shared" si="6"/>
        <v>0</v>
      </c>
      <c r="Z65" s="181" t="s">
        <v>0</v>
      </c>
      <c r="AA65" s="157">
        <v>0</v>
      </c>
      <c r="AB65" s="191">
        <f t="shared" si="7"/>
        <v>0</v>
      </c>
      <c r="AC65" s="159" t="s">
        <v>0</v>
      </c>
      <c r="AD65" s="157">
        <v>0</v>
      </c>
      <c r="AE65" s="160">
        <f t="shared" si="8"/>
        <v>0</v>
      </c>
    </row>
    <row r="66" spans="1:31" ht="14.7" thickBot="1">
      <c r="B66" s="220"/>
      <c r="C66" s="221"/>
      <c r="E66" s="169"/>
      <c r="F66" s="170">
        <f>SUM(F6:F65)</f>
        <v>3236270.7599999993</v>
      </c>
      <c r="G66" s="170"/>
      <c r="H66" s="182"/>
      <c r="I66" s="170">
        <f>SUM(I6:I65)</f>
        <v>3122608.11</v>
      </c>
      <c r="J66" s="196"/>
      <c r="K66" s="171"/>
      <c r="L66" s="170">
        <f>SUM(L6:L65)</f>
        <v>2386300.5299999998</v>
      </c>
      <c r="M66" s="172"/>
      <c r="N66" s="169"/>
      <c r="O66" s="170">
        <f>SUM(O6:O65)</f>
        <v>2322784.0300000003</v>
      </c>
      <c r="P66" s="170"/>
      <c r="Q66" s="182"/>
      <c r="R66" s="170">
        <f>SUM(R6:R65)</f>
        <v>2170591.37</v>
      </c>
      <c r="S66" s="196"/>
      <c r="T66" s="171"/>
      <c r="U66" s="170">
        <f>SUM(U6:U65)</f>
        <v>2385968.9569999995</v>
      </c>
      <c r="V66" s="172"/>
      <c r="W66" s="169"/>
      <c r="X66" s="170">
        <f>SUM(X6:X65)</f>
        <v>2306150.06</v>
      </c>
      <c r="Y66" s="170"/>
      <c r="Z66" s="182"/>
      <c r="AA66" s="170">
        <f>SUM(AA6:AA65)</f>
        <v>2346169.5100000007</v>
      </c>
      <c r="AB66" s="196"/>
      <c r="AC66" s="171"/>
      <c r="AD66" s="170">
        <f>SUM(AD6:AD65)</f>
        <v>2176840.41</v>
      </c>
      <c r="AE66" s="172"/>
    </row>
    <row r="67" spans="1:31">
      <c r="D67" t="s">
        <v>445</v>
      </c>
    </row>
    <row r="68" spans="1:31">
      <c r="D68" t="s">
        <v>446</v>
      </c>
    </row>
    <row r="70" spans="1:31" ht="20.7">
      <c r="A70"/>
      <c r="B70" s="216" t="s">
        <v>426</v>
      </c>
      <c r="C70"/>
      <c r="D70" s="4"/>
      <c r="F70" s="4"/>
      <c r="H70" s="4"/>
      <c r="I70" s="4"/>
      <c r="K70" s="4"/>
      <c r="L70" s="4"/>
      <c r="N70" s="4"/>
      <c r="P70"/>
      <c r="S70"/>
      <c r="V70"/>
      <c r="Y70"/>
      <c r="AB70"/>
      <c r="AE70"/>
    </row>
    <row r="71" spans="1:31">
      <c r="A71"/>
      <c r="B71" s="4" t="s">
        <v>225</v>
      </c>
      <c r="C71" t="s">
        <v>427</v>
      </c>
      <c r="D71" s="4"/>
      <c r="F71" s="4"/>
      <c r="H71" s="4"/>
      <c r="I71" s="4"/>
      <c r="K71" s="4"/>
      <c r="L71" s="4"/>
      <c r="N71" s="4"/>
      <c r="P71"/>
      <c r="S71"/>
      <c r="V71"/>
      <c r="Y71"/>
      <c r="AB71"/>
      <c r="AE71"/>
    </row>
    <row r="72" spans="1:31">
      <c r="A72"/>
      <c r="B72" s="4" t="s">
        <v>226</v>
      </c>
      <c r="C72" t="s">
        <v>447</v>
      </c>
      <c r="D72" s="4"/>
      <c r="F72" s="4"/>
      <c r="H72" s="4"/>
      <c r="I72" s="4"/>
      <c r="K72" s="4"/>
      <c r="L72" s="4"/>
      <c r="N72" s="4"/>
      <c r="P72"/>
      <c r="S72"/>
      <c r="V72"/>
      <c r="Y72"/>
      <c r="AB72"/>
      <c r="AE72"/>
    </row>
    <row r="73" spans="1:31">
      <c r="A73"/>
      <c r="B73" s="4" t="s">
        <v>227</v>
      </c>
      <c r="C73" t="s">
        <v>429</v>
      </c>
      <c r="D73" s="4"/>
      <c r="F73" s="4"/>
      <c r="H73" s="4"/>
      <c r="I73" s="4"/>
      <c r="K73" s="4"/>
      <c r="L73" s="4"/>
      <c r="N73" s="4"/>
      <c r="P73"/>
      <c r="S73"/>
      <c r="V73"/>
      <c r="Y73"/>
      <c r="AB73"/>
      <c r="AE73"/>
    </row>
    <row r="74" spans="1:31" s="4" customFormat="1">
      <c r="B74"/>
      <c r="C74" t="s">
        <v>430</v>
      </c>
      <c r="E74"/>
      <c r="R74"/>
      <c r="S74"/>
    </row>
    <row r="75" spans="1:31">
      <c r="A75"/>
      <c r="B75" s="4" t="s">
        <v>431</v>
      </c>
      <c r="C75" t="s">
        <v>228</v>
      </c>
      <c r="D75" s="4"/>
      <c r="F75" s="4"/>
      <c r="H75" s="4"/>
      <c r="I75" s="4"/>
      <c r="K75" s="4"/>
      <c r="L75" s="4"/>
      <c r="N75" s="4"/>
      <c r="P75"/>
      <c r="S75"/>
      <c r="V75"/>
      <c r="Y75"/>
      <c r="AB75"/>
      <c r="AE75"/>
    </row>
    <row r="76" spans="1:31">
      <c r="A76"/>
      <c r="B76" s="4" t="s">
        <v>432</v>
      </c>
      <c r="C76" t="s">
        <v>229</v>
      </c>
      <c r="D76" s="4"/>
      <c r="F76" s="4"/>
      <c r="H76" s="4"/>
      <c r="I76" s="4"/>
      <c r="K76" s="4"/>
      <c r="L76" s="4"/>
      <c r="N76" s="4"/>
      <c r="P76"/>
      <c r="S76"/>
      <c r="V76"/>
      <c r="Y76"/>
      <c r="AB76"/>
      <c r="AE76"/>
    </row>
    <row r="77" spans="1:31">
      <c r="A77"/>
      <c r="B77" s="4"/>
      <c r="C77"/>
      <c r="D77" s="4"/>
      <c r="F77" s="4"/>
      <c r="H77" s="4"/>
      <c r="I77" s="4"/>
      <c r="K77" s="4"/>
      <c r="L77" s="4"/>
      <c r="N77" s="4"/>
      <c r="P77"/>
      <c r="S77"/>
      <c r="V77"/>
      <c r="Y77"/>
      <c r="AB77"/>
      <c r="AE77"/>
    </row>
    <row r="78" spans="1:31" s="4" customFormat="1">
      <c r="B78" s="104"/>
      <c r="C78" s="351" t="s">
        <v>449</v>
      </c>
      <c r="D78" s="352"/>
      <c r="E78"/>
      <c r="R78"/>
      <c r="S78"/>
    </row>
    <row r="79" spans="1:31" s="4" customFormat="1">
      <c r="B79" s="107"/>
      <c r="C79" s="351" t="s">
        <v>448</v>
      </c>
      <c r="D79" s="352"/>
      <c r="E79"/>
      <c r="R79"/>
      <c r="S79"/>
    </row>
  </sheetData>
  <mergeCells count="15">
    <mergeCell ref="A1:I1"/>
    <mergeCell ref="C78:D78"/>
    <mergeCell ref="C79:D79"/>
    <mergeCell ref="N3:V3"/>
    <mergeCell ref="W3:AE3"/>
    <mergeCell ref="E3:M3"/>
    <mergeCell ref="E4:G4"/>
    <mergeCell ref="H4:J4"/>
    <mergeCell ref="K4:M4"/>
    <mergeCell ref="N4:P4"/>
    <mergeCell ref="Q4:S4"/>
    <mergeCell ref="T4:V4"/>
    <mergeCell ref="W4:Y4"/>
    <mergeCell ref="Z4:AB4"/>
    <mergeCell ref="AC4:AE4"/>
  </mergeCells>
  <phoneticPr fontId="13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DEDA-568E-45DB-97AA-22E7D392E5AB}">
  <dimension ref="A1:AE115"/>
  <sheetViews>
    <sheetView zoomScale="70" zoomScaleNormal="70" workbookViewId="0">
      <pane xSplit="4" ySplit="7" topLeftCell="E8" activePane="bottomRight" state="frozen"/>
      <selection pane="topRight" activeCell="E1" sqref="E1"/>
      <selection pane="bottomLeft" activeCell="A4" sqref="A4"/>
      <selection pane="bottomRight" sqref="A1:I1"/>
    </sheetView>
  </sheetViews>
  <sheetFormatPr defaultRowHeight="14.35"/>
  <cols>
    <col min="2" max="2" width="7" customWidth="1"/>
    <col min="3" max="3" width="22" customWidth="1"/>
    <col min="4" max="4" width="68" style="4" customWidth="1"/>
    <col min="5" max="5" width="7.52734375" customWidth="1"/>
    <col min="6" max="6" width="9.64453125" customWidth="1"/>
    <col min="7" max="7" width="7.52734375" style="12" customWidth="1"/>
    <col min="8" max="8" width="7.52734375" customWidth="1"/>
    <col min="9" max="9" width="9" customWidth="1"/>
    <col min="10" max="10" width="7.52734375" style="12" customWidth="1"/>
    <col min="11" max="11" width="7.52734375" customWidth="1"/>
    <col min="12" max="12" width="9.87890625" customWidth="1"/>
    <col min="13" max="13" width="7.52734375" style="12" customWidth="1"/>
    <col min="14" max="24" width="8.76171875" customWidth="1"/>
    <col min="25" max="25" width="6.64453125" customWidth="1"/>
    <col min="26" max="27" width="8.76171875" customWidth="1"/>
    <col min="28" max="28" width="7.234375" customWidth="1"/>
    <col min="29" max="30" width="8.52734375" customWidth="1"/>
    <col min="31" max="31" width="6.41015625" customWidth="1"/>
  </cols>
  <sheetData>
    <row r="1" spans="1:31" ht="25.35" customHeight="1">
      <c r="A1" s="379" t="s">
        <v>456</v>
      </c>
      <c r="B1" s="379"/>
      <c r="C1" s="379"/>
      <c r="D1" s="379"/>
      <c r="E1" s="379"/>
      <c r="F1" s="379"/>
      <c r="G1" s="379"/>
      <c r="H1" s="379"/>
      <c r="I1" s="379"/>
    </row>
    <row r="2" spans="1:31" ht="20.7">
      <c r="A2" s="27"/>
      <c r="B2" s="98"/>
    </row>
    <row r="3" spans="1:31" ht="32.700000000000003" customHeight="1">
      <c r="A3" s="377" t="s">
        <v>453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</row>
    <row r="4" spans="1:31" ht="14.7" thickBot="1"/>
    <row r="5" spans="1:31" ht="63" customHeight="1">
      <c r="E5" s="359" t="s">
        <v>444</v>
      </c>
      <c r="F5" s="360"/>
      <c r="G5" s="360"/>
      <c r="H5" s="360"/>
      <c r="I5" s="360"/>
      <c r="J5" s="360"/>
      <c r="K5" s="360"/>
      <c r="L5" s="360"/>
      <c r="M5" s="361"/>
      <c r="N5" s="353" t="s">
        <v>450</v>
      </c>
      <c r="O5" s="354"/>
      <c r="P5" s="354"/>
      <c r="Q5" s="354"/>
      <c r="R5" s="354"/>
      <c r="S5" s="354"/>
      <c r="T5" s="354"/>
      <c r="U5" s="354"/>
      <c r="V5" s="355"/>
      <c r="W5" s="356" t="s">
        <v>451</v>
      </c>
      <c r="X5" s="357"/>
      <c r="Y5" s="357"/>
      <c r="Z5" s="357"/>
      <c r="AA5" s="357"/>
      <c r="AB5" s="357"/>
      <c r="AC5" s="357"/>
      <c r="AD5" s="357"/>
      <c r="AE5" s="358"/>
    </row>
    <row r="6" spans="1:31" ht="14.7" thickBot="1">
      <c r="E6" s="362" t="s">
        <v>435</v>
      </c>
      <c r="F6" s="363"/>
      <c r="G6" s="363"/>
      <c r="H6" s="364" t="s">
        <v>440</v>
      </c>
      <c r="I6" s="363"/>
      <c r="J6" s="365"/>
      <c r="K6" s="363" t="s">
        <v>441</v>
      </c>
      <c r="L6" s="363"/>
      <c r="M6" s="366"/>
      <c r="N6" s="367" t="s">
        <v>435</v>
      </c>
      <c r="O6" s="368"/>
      <c r="P6" s="368"/>
      <c r="Q6" s="369" t="s">
        <v>440</v>
      </c>
      <c r="R6" s="368"/>
      <c r="S6" s="370"/>
      <c r="T6" s="368" t="s">
        <v>441</v>
      </c>
      <c r="U6" s="368"/>
      <c r="V6" s="371"/>
      <c r="W6" s="372" t="s">
        <v>435</v>
      </c>
      <c r="X6" s="373"/>
      <c r="Y6" s="373"/>
      <c r="Z6" s="374" t="s">
        <v>440</v>
      </c>
      <c r="AA6" s="373"/>
      <c r="AB6" s="375"/>
      <c r="AC6" s="373" t="s">
        <v>441</v>
      </c>
      <c r="AD6" s="373"/>
      <c r="AE6" s="376"/>
    </row>
    <row r="7" spans="1:31" ht="16.7" thickBot="1">
      <c r="B7" s="244" t="s">
        <v>11</v>
      </c>
      <c r="C7" s="245" t="s">
        <v>10</v>
      </c>
      <c r="D7" s="246" t="s">
        <v>9</v>
      </c>
      <c r="E7" s="247" t="s">
        <v>251</v>
      </c>
      <c r="F7" s="248" t="s">
        <v>252</v>
      </c>
      <c r="G7" s="249" t="s">
        <v>253</v>
      </c>
      <c r="H7" s="248" t="s">
        <v>254</v>
      </c>
      <c r="I7" s="248" t="s">
        <v>255</v>
      </c>
      <c r="J7" s="249" t="s">
        <v>256</v>
      </c>
      <c r="K7" s="248" t="s">
        <v>257</v>
      </c>
      <c r="L7" s="248" t="s">
        <v>258</v>
      </c>
      <c r="M7" s="250" t="s">
        <v>259</v>
      </c>
      <c r="N7" s="247" t="s">
        <v>243</v>
      </c>
      <c r="O7" s="248" t="s">
        <v>244</v>
      </c>
      <c r="P7" s="262" t="s">
        <v>14</v>
      </c>
      <c r="Q7" s="248" t="s">
        <v>2</v>
      </c>
      <c r="R7" s="248" t="s">
        <v>1</v>
      </c>
      <c r="S7" s="248" t="s">
        <v>245</v>
      </c>
      <c r="T7" s="261" t="s">
        <v>12</v>
      </c>
      <c r="U7" s="248" t="s">
        <v>20</v>
      </c>
      <c r="V7" s="251" t="s">
        <v>246</v>
      </c>
      <c r="W7" s="247" t="s">
        <v>19</v>
      </c>
      <c r="X7" s="248" t="s">
        <v>13</v>
      </c>
      <c r="Y7" s="248" t="s">
        <v>17</v>
      </c>
      <c r="Z7" s="248" t="s">
        <v>15</v>
      </c>
      <c r="AA7" s="248" t="s">
        <v>16</v>
      </c>
      <c r="AB7" s="248" t="s">
        <v>247</v>
      </c>
      <c r="AC7" s="248" t="s">
        <v>248</v>
      </c>
      <c r="AD7" s="248" t="s">
        <v>249</v>
      </c>
      <c r="AE7" s="251" t="s">
        <v>250</v>
      </c>
    </row>
    <row r="8" spans="1:31">
      <c r="B8" s="252">
        <v>384</v>
      </c>
      <c r="C8" s="222" t="s">
        <v>260</v>
      </c>
      <c r="D8" s="223" t="s">
        <v>261</v>
      </c>
      <c r="E8" s="235" t="s">
        <v>0</v>
      </c>
      <c r="F8" s="223">
        <v>0</v>
      </c>
      <c r="G8" s="225">
        <f t="shared" ref="G8:G39" si="0">F8/$F$75*100</f>
        <v>0</v>
      </c>
      <c r="H8" s="224" t="s">
        <v>0</v>
      </c>
      <c r="I8" s="223">
        <v>0</v>
      </c>
      <c r="J8" s="225">
        <f t="shared" ref="J8:J39" si="1">I8/$I$75*100</f>
        <v>0</v>
      </c>
      <c r="K8" s="224" t="s">
        <v>0</v>
      </c>
      <c r="L8" s="223">
        <v>0</v>
      </c>
      <c r="M8" s="236">
        <f t="shared" ref="M8:M39" si="2">L8/$L$75*100</f>
        <v>0</v>
      </c>
      <c r="N8" s="297" t="s">
        <v>262</v>
      </c>
      <c r="O8" s="298">
        <v>2710.1</v>
      </c>
      <c r="P8" s="142">
        <f t="shared" ref="P8:P39" si="3">O8/$O$75*100</f>
        <v>1.7462334457861879</v>
      </c>
      <c r="Q8" s="299" t="s">
        <v>263</v>
      </c>
      <c r="R8" s="142">
        <v>7513.9</v>
      </c>
      <c r="S8" s="187">
        <f t="shared" ref="S8:S39" si="4">R8/$R$75*100</f>
        <v>3.7035067312894632</v>
      </c>
      <c r="T8" s="298" t="s">
        <v>264</v>
      </c>
      <c r="U8" s="142">
        <v>4067.7</v>
      </c>
      <c r="V8" s="143">
        <f t="shared" ref="V8:V39" si="5">U8/$U$75*100</f>
        <v>2.0935528946738615</v>
      </c>
      <c r="W8" s="297" t="s">
        <v>265</v>
      </c>
      <c r="X8" s="142">
        <v>2546.5</v>
      </c>
      <c r="Y8" s="142">
        <f t="shared" ref="Y8:Y39" si="6">X8/$X$75*100</f>
        <v>30.070615464550563</v>
      </c>
      <c r="Z8" s="300" t="s">
        <v>266</v>
      </c>
      <c r="AA8" s="301">
        <v>5185.3999999999996</v>
      </c>
      <c r="AB8" s="302">
        <f t="shared" ref="AB8:AB39" si="7">AA8/$AA$75*100</f>
        <v>29.705392215553424</v>
      </c>
      <c r="AC8" s="298" t="s">
        <v>267</v>
      </c>
      <c r="AD8" s="142">
        <v>3074</v>
      </c>
      <c r="AE8" s="143">
        <f t="shared" ref="AE8:AE39" si="8">AD8/$AD$75*100</f>
        <v>27.71017001099753</v>
      </c>
    </row>
    <row r="9" spans="1:31">
      <c r="B9" s="253" t="s">
        <v>84</v>
      </c>
      <c r="C9" s="23" t="s">
        <v>85</v>
      </c>
      <c r="D9" s="24" t="s">
        <v>268</v>
      </c>
      <c r="E9" s="237" t="s">
        <v>0</v>
      </c>
      <c r="F9" s="24">
        <v>0</v>
      </c>
      <c r="G9" s="35">
        <f t="shared" si="0"/>
        <v>0</v>
      </c>
      <c r="H9" s="36" t="s">
        <v>0</v>
      </c>
      <c r="I9" s="24">
        <v>0</v>
      </c>
      <c r="J9" s="35">
        <f t="shared" si="1"/>
        <v>0</v>
      </c>
      <c r="K9" s="36" t="s">
        <v>0</v>
      </c>
      <c r="L9" s="24">
        <v>0</v>
      </c>
      <c r="M9" s="155">
        <f t="shared" si="2"/>
        <v>0</v>
      </c>
      <c r="N9" s="297">
        <v>5.78</v>
      </c>
      <c r="O9" s="298">
        <v>8119.22</v>
      </c>
      <c r="P9" s="142">
        <f t="shared" si="3"/>
        <v>5.2315610190384607</v>
      </c>
      <c r="Q9" s="299">
        <v>5.63</v>
      </c>
      <c r="R9" s="142">
        <v>19887.04</v>
      </c>
      <c r="S9" s="187">
        <f t="shared" si="4"/>
        <v>9.8020716945158721</v>
      </c>
      <c r="T9" s="298">
        <v>5.86</v>
      </c>
      <c r="U9" s="142">
        <v>12402.35</v>
      </c>
      <c r="V9" s="143">
        <f t="shared" si="5"/>
        <v>6.3832081380776282</v>
      </c>
      <c r="W9" s="297" t="s">
        <v>269</v>
      </c>
      <c r="X9" s="142">
        <v>5921.9</v>
      </c>
      <c r="Y9" s="142">
        <f t="shared" si="6"/>
        <v>69.929384535449429</v>
      </c>
      <c r="Z9" s="299">
        <v>6.07</v>
      </c>
      <c r="AA9" s="142">
        <v>12270.69</v>
      </c>
      <c r="AB9" s="187">
        <f t="shared" si="7"/>
        <v>70.294607784446569</v>
      </c>
      <c r="AC9" s="298" t="s">
        <v>270</v>
      </c>
      <c r="AD9" s="142">
        <v>8019.4</v>
      </c>
      <c r="AE9" s="143">
        <f t="shared" si="8"/>
        <v>72.28982998900247</v>
      </c>
    </row>
    <row r="10" spans="1:31">
      <c r="B10" s="253" t="s">
        <v>86</v>
      </c>
      <c r="C10" s="23" t="s">
        <v>85</v>
      </c>
      <c r="D10" s="254" t="s">
        <v>271</v>
      </c>
      <c r="E10" s="237" t="s">
        <v>0</v>
      </c>
      <c r="F10" s="24">
        <v>0</v>
      </c>
      <c r="G10" s="35">
        <f t="shared" si="0"/>
        <v>0</v>
      </c>
      <c r="H10" s="36" t="s">
        <v>0</v>
      </c>
      <c r="I10" s="24">
        <v>0</v>
      </c>
      <c r="J10" s="35">
        <f t="shared" si="1"/>
        <v>0</v>
      </c>
      <c r="K10" s="36" t="s">
        <v>0</v>
      </c>
      <c r="L10" s="24">
        <v>0</v>
      </c>
      <c r="M10" s="155">
        <f t="shared" si="2"/>
        <v>0</v>
      </c>
      <c r="N10" s="297">
        <v>15.13</v>
      </c>
      <c r="O10" s="298">
        <v>27122.43</v>
      </c>
      <c r="P10" s="142">
        <f t="shared" si="3"/>
        <v>17.476142724251751</v>
      </c>
      <c r="Q10" s="299">
        <v>14.62</v>
      </c>
      <c r="R10" s="142">
        <v>30188.32</v>
      </c>
      <c r="S10" s="187">
        <f t="shared" si="4"/>
        <v>14.879442942589113</v>
      </c>
      <c r="T10" s="298">
        <v>14.27</v>
      </c>
      <c r="U10" s="142">
        <v>31958.31</v>
      </c>
      <c r="V10" s="143">
        <f t="shared" si="5"/>
        <v>16.448217029128163</v>
      </c>
      <c r="W10" s="237" t="s">
        <v>0</v>
      </c>
      <c r="X10" s="22">
        <v>0</v>
      </c>
      <c r="Y10" s="22">
        <f t="shared" si="6"/>
        <v>0</v>
      </c>
      <c r="Z10" s="36" t="s">
        <v>0</v>
      </c>
      <c r="AA10" s="22">
        <v>0</v>
      </c>
      <c r="AB10" s="35">
        <f t="shared" si="7"/>
        <v>0</v>
      </c>
      <c r="AC10" s="24" t="s">
        <v>0</v>
      </c>
      <c r="AD10" s="22">
        <v>0</v>
      </c>
      <c r="AE10" s="155">
        <f t="shared" si="8"/>
        <v>0</v>
      </c>
    </row>
    <row r="11" spans="1:31">
      <c r="B11" s="253">
        <v>587</v>
      </c>
      <c r="C11" s="23" t="s">
        <v>95</v>
      </c>
      <c r="D11" s="24" t="s">
        <v>96</v>
      </c>
      <c r="E11" s="237" t="s">
        <v>272</v>
      </c>
      <c r="F11" s="24">
        <v>593.70000000000005</v>
      </c>
      <c r="G11" s="35">
        <f t="shared" si="0"/>
        <v>7.5171240579838802E-2</v>
      </c>
      <c r="H11" s="36" t="s">
        <v>273</v>
      </c>
      <c r="I11" s="24">
        <v>698.2</v>
      </c>
      <c r="J11" s="35">
        <f t="shared" si="1"/>
        <v>0.10013687141291247</v>
      </c>
      <c r="K11" s="36" t="s">
        <v>0</v>
      </c>
      <c r="L11" s="24">
        <v>0</v>
      </c>
      <c r="M11" s="155">
        <f t="shared" si="2"/>
        <v>0</v>
      </c>
      <c r="N11" s="237">
        <v>12.69</v>
      </c>
      <c r="O11" s="22">
        <v>6584.05</v>
      </c>
      <c r="P11" s="22">
        <f t="shared" si="3"/>
        <v>4.2423852694470874</v>
      </c>
      <c r="Q11" s="36">
        <v>12.36</v>
      </c>
      <c r="R11" s="22">
        <v>10880.65</v>
      </c>
      <c r="S11" s="35">
        <f t="shared" si="4"/>
        <v>5.3629354284465727</v>
      </c>
      <c r="T11" s="24">
        <v>12.02</v>
      </c>
      <c r="U11" s="22">
        <v>10991.8</v>
      </c>
      <c r="V11" s="155">
        <f t="shared" si="5"/>
        <v>5.65723005818427</v>
      </c>
      <c r="W11" s="237" t="s">
        <v>0</v>
      </c>
      <c r="X11" s="22">
        <v>0</v>
      </c>
      <c r="Y11" s="22">
        <f t="shared" si="6"/>
        <v>0</v>
      </c>
      <c r="Z11" s="36" t="s">
        <v>0</v>
      </c>
      <c r="AA11" s="22">
        <v>0</v>
      </c>
      <c r="AB11" s="35">
        <f t="shared" si="7"/>
        <v>0</v>
      </c>
      <c r="AC11" s="24" t="s">
        <v>0</v>
      </c>
      <c r="AD11" s="22">
        <v>0</v>
      </c>
      <c r="AE11" s="155">
        <f t="shared" si="8"/>
        <v>0</v>
      </c>
    </row>
    <row r="12" spans="1:31">
      <c r="B12" s="253">
        <v>628</v>
      </c>
      <c r="C12" s="23" t="s">
        <v>107</v>
      </c>
      <c r="D12" s="255" t="s">
        <v>274</v>
      </c>
      <c r="E12" s="237" t="s">
        <v>0</v>
      </c>
      <c r="F12" s="24">
        <v>0</v>
      </c>
      <c r="G12" s="35">
        <f t="shared" si="0"/>
        <v>0</v>
      </c>
      <c r="H12" s="36" t="s">
        <v>0</v>
      </c>
      <c r="I12" s="24">
        <v>0</v>
      </c>
      <c r="J12" s="35">
        <f t="shared" si="1"/>
        <v>0</v>
      </c>
      <c r="K12" s="36" t="s">
        <v>0</v>
      </c>
      <c r="L12" s="24">
        <v>0</v>
      </c>
      <c r="M12" s="155">
        <f t="shared" si="2"/>
        <v>0</v>
      </c>
      <c r="N12" s="141">
        <v>14.54</v>
      </c>
      <c r="O12" s="142">
        <v>68707.47</v>
      </c>
      <c r="P12" s="142">
        <f t="shared" si="3"/>
        <v>44.271164196653679</v>
      </c>
      <c r="Q12" s="299">
        <v>14.03</v>
      </c>
      <c r="R12" s="142">
        <v>80060.100000000006</v>
      </c>
      <c r="S12" s="187">
        <f t="shared" si="4"/>
        <v>39.46061556018946</v>
      </c>
      <c r="T12" s="298">
        <v>13.63</v>
      </c>
      <c r="U12" s="142">
        <v>81861.429999999993</v>
      </c>
      <c r="V12" s="143">
        <f t="shared" si="5"/>
        <v>42.132220600988688</v>
      </c>
      <c r="W12" s="237" t="s">
        <v>0</v>
      </c>
      <c r="X12" s="22">
        <v>0</v>
      </c>
      <c r="Y12" s="22">
        <f t="shared" si="6"/>
        <v>0</v>
      </c>
      <c r="Z12" s="36" t="s">
        <v>0</v>
      </c>
      <c r="AA12" s="22">
        <v>0</v>
      </c>
      <c r="AB12" s="35">
        <f t="shared" si="7"/>
        <v>0</v>
      </c>
      <c r="AC12" s="24" t="s">
        <v>0</v>
      </c>
      <c r="AD12" s="22">
        <v>0</v>
      </c>
      <c r="AE12" s="155">
        <f t="shared" si="8"/>
        <v>0</v>
      </c>
    </row>
    <row r="13" spans="1:31">
      <c r="B13" s="253">
        <v>667</v>
      </c>
      <c r="C13" s="23" t="s">
        <v>109</v>
      </c>
      <c r="D13" s="255" t="s">
        <v>110</v>
      </c>
      <c r="E13" s="237">
        <v>11.99</v>
      </c>
      <c r="F13" s="24">
        <v>6787.94</v>
      </c>
      <c r="G13" s="35">
        <f t="shared" si="0"/>
        <v>0.85945405218378124</v>
      </c>
      <c r="H13" s="36" t="s">
        <v>275</v>
      </c>
      <c r="I13" s="24">
        <v>4052.7</v>
      </c>
      <c r="J13" s="35">
        <f t="shared" si="1"/>
        <v>0.58124419761545454</v>
      </c>
      <c r="K13" s="36" t="s">
        <v>276</v>
      </c>
      <c r="L13" s="24">
        <v>4420.3999999999996</v>
      </c>
      <c r="M13" s="155">
        <f t="shared" si="2"/>
        <v>0.62998894155914797</v>
      </c>
      <c r="N13" s="303" t="s">
        <v>0</v>
      </c>
      <c r="O13" s="145">
        <v>0</v>
      </c>
      <c r="P13" s="145">
        <f t="shared" si="3"/>
        <v>0</v>
      </c>
      <c r="Q13" s="25" t="s">
        <v>0</v>
      </c>
      <c r="R13" s="145">
        <v>0</v>
      </c>
      <c r="S13" s="190">
        <f t="shared" si="4"/>
        <v>0</v>
      </c>
      <c r="T13" s="304" t="s">
        <v>0</v>
      </c>
      <c r="U13" s="145">
        <v>0</v>
      </c>
      <c r="V13" s="153">
        <f t="shared" si="5"/>
        <v>0</v>
      </c>
      <c r="W13" s="303" t="s">
        <v>0</v>
      </c>
      <c r="X13" s="145">
        <v>0</v>
      </c>
      <c r="Y13" s="145">
        <f t="shared" si="6"/>
        <v>0</v>
      </c>
      <c r="Z13" s="305" t="s">
        <v>0</v>
      </c>
      <c r="AA13" s="145">
        <v>0</v>
      </c>
      <c r="AB13" s="190">
        <f t="shared" si="7"/>
        <v>0</v>
      </c>
      <c r="AC13" s="304" t="s">
        <v>0</v>
      </c>
      <c r="AD13" s="304">
        <v>0</v>
      </c>
      <c r="AE13" s="153">
        <f t="shared" si="8"/>
        <v>0</v>
      </c>
    </row>
    <row r="14" spans="1:31">
      <c r="B14" s="253" t="s">
        <v>277</v>
      </c>
      <c r="C14" s="23" t="s">
        <v>117</v>
      </c>
      <c r="D14" s="4" t="s">
        <v>278</v>
      </c>
      <c r="E14" s="237" t="s">
        <v>279</v>
      </c>
      <c r="F14" s="24">
        <v>369</v>
      </c>
      <c r="G14" s="35">
        <f t="shared" si="0"/>
        <v>4.6720882219909908E-2</v>
      </c>
      <c r="H14" s="36" t="s">
        <v>280</v>
      </c>
      <c r="I14" s="24">
        <v>273.39999999999998</v>
      </c>
      <c r="J14" s="35">
        <f t="shared" si="1"/>
        <v>3.9211430312647184E-2</v>
      </c>
      <c r="K14" s="36" t="s">
        <v>281</v>
      </c>
      <c r="L14" s="24">
        <v>390.7</v>
      </c>
      <c r="M14" s="155">
        <f t="shared" si="2"/>
        <v>5.568199245931571E-2</v>
      </c>
      <c r="N14" s="303" t="s">
        <v>0</v>
      </c>
      <c r="O14" s="145">
        <v>0</v>
      </c>
      <c r="P14" s="145">
        <f t="shared" si="3"/>
        <v>0</v>
      </c>
      <c r="Q14" s="25" t="s">
        <v>0</v>
      </c>
      <c r="R14" s="145">
        <v>0</v>
      </c>
      <c r="S14" s="190">
        <f t="shared" si="4"/>
        <v>0</v>
      </c>
      <c r="T14" s="304" t="s">
        <v>0</v>
      </c>
      <c r="U14" s="145">
        <v>0</v>
      </c>
      <c r="V14" s="153">
        <f t="shared" si="5"/>
        <v>0</v>
      </c>
      <c r="W14" s="303" t="s">
        <v>0</v>
      </c>
      <c r="X14" s="145">
        <v>0</v>
      </c>
      <c r="Y14" s="145">
        <f t="shared" si="6"/>
        <v>0</v>
      </c>
      <c r="Z14" s="305" t="s">
        <v>0</v>
      </c>
      <c r="AA14" s="145">
        <v>0</v>
      </c>
      <c r="AB14" s="190">
        <f t="shared" si="7"/>
        <v>0</v>
      </c>
      <c r="AC14" s="304" t="s">
        <v>0</v>
      </c>
      <c r="AD14" s="304">
        <v>0</v>
      </c>
      <c r="AE14" s="153">
        <f t="shared" si="8"/>
        <v>0</v>
      </c>
    </row>
    <row r="15" spans="1:31">
      <c r="B15" s="253" t="s">
        <v>282</v>
      </c>
      <c r="C15" s="23" t="s">
        <v>117</v>
      </c>
      <c r="D15" s="4" t="s">
        <v>118</v>
      </c>
      <c r="E15" s="237">
        <v>12.43</v>
      </c>
      <c r="F15" s="24">
        <v>5935.03</v>
      </c>
      <c r="G15" s="35">
        <f t="shared" si="0"/>
        <v>0.75146297453016786</v>
      </c>
      <c r="H15" s="36">
        <v>12.34</v>
      </c>
      <c r="I15" s="24">
        <v>5996.24</v>
      </c>
      <c r="J15" s="35">
        <f t="shared" si="1"/>
        <v>0.85998956436688945</v>
      </c>
      <c r="K15" s="36">
        <v>12.12</v>
      </c>
      <c r="L15" s="24">
        <v>4294.5</v>
      </c>
      <c r="M15" s="155">
        <f t="shared" si="2"/>
        <v>0.61204585773363529</v>
      </c>
      <c r="N15" s="303" t="s">
        <v>0</v>
      </c>
      <c r="O15" s="145">
        <v>0</v>
      </c>
      <c r="P15" s="145">
        <f t="shared" si="3"/>
        <v>0</v>
      </c>
      <c r="Q15" s="25" t="s">
        <v>0</v>
      </c>
      <c r="R15" s="145">
        <v>0</v>
      </c>
      <c r="S15" s="190">
        <f t="shared" si="4"/>
        <v>0</v>
      </c>
      <c r="T15" s="304" t="s">
        <v>0</v>
      </c>
      <c r="U15" s="145">
        <v>0</v>
      </c>
      <c r="V15" s="153">
        <f t="shared" si="5"/>
        <v>0</v>
      </c>
      <c r="W15" s="303" t="s">
        <v>0</v>
      </c>
      <c r="X15" s="145">
        <v>0</v>
      </c>
      <c r="Y15" s="145">
        <f t="shared" si="6"/>
        <v>0</v>
      </c>
      <c r="Z15" s="305" t="s">
        <v>0</v>
      </c>
      <c r="AA15" s="145">
        <v>0</v>
      </c>
      <c r="AB15" s="190">
        <f t="shared" si="7"/>
        <v>0</v>
      </c>
      <c r="AC15" s="304" t="s">
        <v>0</v>
      </c>
      <c r="AD15" s="304">
        <v>0</v>
      </c>
      <c r="AE15" s="153">
        <f t="shared" si="8"/>
        <v>0</v>
      </c>
    </row>
    <row r="16" spans="1:31">
      <c r="B16" s="253">
        <v>691</v>
      </c>
      <c r="C16" s="23" t="s">
        <v>119</v>
      </c>
      <c r="D16" s="4" t="s">
        <v>120</v>
      </c>
      <c r="E16" s="237">
        <v>12.3</v>
      </c>
      <c r="F16" s="24">
        <v>4379.92</v>
      </c>
      <c r="G16" s="35">
        <f t="shared" si="0"/>
        <v>0.55456294431606457</v>
      </c>
      <c r="H16" s="36">
        <v>12.09</v>
      </c>
      <c r="I16" s="24">
        <v>4701.8599999999997</v>
      </c>
      <c r="J16" s="35">
        <f t="shared" si="1"/>
        <v>0.6743476800651913</v>
      </c>
      <c r="K16" s="36">
        <v>11.94</v>
      </c>
      <c r="L16" s="24">
        <v>3913.53</v>
      </c>
      <c r="M16" s="155">
        <f t="shared" si="2"/>
        <v>0.55775057064065992</v>
      </c>
      <c r="N16" s="303" t="s">
        <v>0</v>
      </c>
      <c r="O16" s="145">
        <v>0</v>
      </c>
      <c r="P16" s="145">
        <f t="shared" si="3"/>
        <v>0</v>
      </c>
      <c r="Q16" s="25" t="s">
        <v>0</v>
      </c>
      <c r="R16" s="145">
        <v>0</v>
      </c>
      <c r="S16" s="190">
        <f t="shared" si="4"/>
        <v>0</v>
      </c>
      <c r="T16" s="304" t="s">
        <v>0</v>
      </c>
      <c r="U16" s="145">
        <v>0</v>
      </c>
      <c r="V16" s="153">
        <f t="shared" si="5"/>
        <v>0</v>
      </c>
      <c r="W16" s="303" t="s">
        <v>0</v>
      </c>
      <c r="X16" s="145">
        <v>0</v>
      </c>
      <c r="Y16" s="145">
        <f t="shared" si="6"/>
        <v>0</v>
      </c>
      <c r="Z16" s="305" t="s">
        <v>0</v>
      </c>
      <c r="AA16" s="145">
        <v>0</v>
      </c>
      <c r="AB16" s="190">
        <f t="shared" si="7"/>
        <v>0</v>
      </c>
      <c r="AC16" s="304" t="s">
        <v>0</v>
      </c>
      <c r="AD16" s="304">
        <v>0</v>
      </c>
      <c r="AE16" s="153">
        <f t="shared" si="8"/>
        <v>0</v>
      </c>
    </row>
    <row r="17" spans="2:31">
      <c r="B17" s="253">
        <v>708</v>
      </c>
      <c r="C17" s="23" t="s">
        <v>121</v>
      </c>
      <c r="D17" s="4" t="s">
        <v>283</v>
      </c>
      <c r="E17" s="237">
        <v>13.12</v>
      </c>
      <c r="F17" s="24">
        <v>13692.81</v>
      </c>
      <c r="G17" s="35">
        <f t="shared" si="0"/>
        <v>1.7337131795924245</v>
      </c>
      <c r="H17" s="36" t="s">
        <v>284</v>
      </c>
      <c r="I17" s="24">
        <v>10730.8</v>
      </c>
      <c r="J17" s="35">
        <f t="shared" si="1"/>
        <v>1.5390271265506745</v>
      </c>
      <c r="K17" s="36" t="s">
        <v>285</v>
      </c>
      <c r="L17" s="24">
        <v>9646</v>
      </c>
      <c r="M17" s="155">
        <f t="shared" si="2"/>
        <v>1.3747338092207815</v>
      </c>
      <c r="N17" s="303" t="s">
        <v>0</v>
      </c>
      <c r="O17" s="145">
        <v>0</v>
      </c>
      <c r="P17" s="145">
        <f t="shared" si="3"/>
        <v>0</v>
      </c>
      <c r="Q17" s="25" t="s">
        <v>0</v>
      </c>
      <c r="R17" s="145">
        <v>0</v>
      </c>
      <c r="S17" s="190">
        <f t="shared" si="4"/>
        <v>0</v>
      </c>
      <c r="T17" s="304" t="s">
        <v>0</v>
      </c>
      <c r="U17" s="145">
        <v>0</v>
      </c>
      <c r="V17" s="153">
        <f t="shared" si="5"/>
        <v>0</v>
      </c>
      <c r="W17" s="303" t="s">
        <v>0</v>
      </c>
      <c r="X17" s="145">
        <v>0</v>
      </c>
      <c r="Y17" s="145">
        <f t="shared" si="6"/>
        <v>0</v>
      </c>
      <c r="Z17" s="305" t="s">
        <v>0</v>
      </c>
      <c r="AA17" s="145">
        <v>0</v>
      </c>
      <c r="AB17" s="190">
        <f t="shared" si="7"/>
        <v>0</v>
      </c>
      <c r="AC17" s="304" t="s">
        <v>0</v>
      </c>
      <c r="AD17" s="304">
        <v>0</v>
      </c>
      <c r="AE17" s="153">
        <f t="shared" si="8"/>
        <v>0</v>
      </c>
    </row>
    <row r="18" spans="2:31">
      <c r="B18" s="253" t="s">
        <v>122</v>
      </c>
      <c r="C18" s="23" t="s">
        <v>123</v>
      </c>
      <c r="D18" s="256" t="s">
        <v>124</v>
      </c>
      <c r="E18" s="237">
        <v>10.32</v>
      </c>
      <c r="F18" s="24">
        <v>820.99</v>
      </c>
      <c r="G18" s="35">
        <f t="shared" si="0"/>
        <v>0.1039495314193058</v>
      </c>
      <c r="H18" s="36">
        <v>10.119999999999999</v>
      </c>
      <c r="I18" s="24">
        <v>606.74</v>
      </c>
      <c r="J18" s="35">
        <f t="shared" si="1"/>
        <v>8.7019543628001308E-2</v>
      </c>
      <c r="K18" s="36">
        <v>10.210000000000001</v>
      </c>
      <c r="L18" s="24">
        <v>773.13</v>
      </c>
      <c r="M18" s="155">
        <f t="shared" si="2"/>
        <v>0.11018535661651074</v>
      </c>
      <c r="N18" s="303" t="s">
        <v>0</v>
      </c>
      <c r="O18" s="145">
        <v>0</v>
      </c>
      <c r="P18" s="145">
        <f t="shared" si="3"/>
        <v>0</v>
      </c>
      <c r="Q18" s="25" t="s">
        <v>0</v>
      </c>
      <c r="R18" s="145">
        <v>0</v>
      </c>
      <c r="S18" s="190">
        <f t="shared" si="4"/>
        <v>0</v>
      </c>
      <c r="T18" s="304" t="s">
        <v>0</v>
      </c>
      <c r="U18" s="145">
        <v>0</v>
      </c>
      <c r="V18" s="153">
        <f t="shared" si="5"/>
        <v>0</v>
      </c>
      <c r="W18" s="303" t="s">
        <v>0</v>
      </c>
      <c r="X18" s="145">
        <v>0</v>
      </c>
      <c r="Y18" s="145">
        <f t="shared" si="6"/>
        <v>0</v>
      </c>
      <c r="Z18" s="305" t="s">
        <v>0</v>
      </c>
      <c r="AA18" s="145">
        <v>0</v>
      </c>
      <c r="AB18" s="190">
        <f t="shared" si="7"/>
        <v>0</v>
      </c>
      <c r="AC18" s="304" t="s">
        <v>0</v>
      </c>
      <c r="AD18" s="304">
        <v>0</v>
      </c>
      <c r="AE18" s="153">
        <f t="shared" si="8"/>
        <v>0</v>
      </c>
    </row>
    <row r="19" spans="2:31">
      <c r="B19" s="253" t="s">
        <v>125</v>
      </c>
      <c r="C19" s="23" t="s">
        <v>123</v>
      </c>
      <c r="D19" s="4" t="s">
        <v>126</v>
      </c>
      <c r="E19" s="237">
        <v>13.43</v>
      </c>
      <c r="F19" s="24">
        <v>5522.8</v>
      </c>
      <c r="G19" s="35">
        <f t="shared" si="0"/>
        <v>0.69926853204368156</v>
      </c>
      <c r="H19" s="36">
        <v>13.22</v>
      </c>
      <c r="I19" s="24">
        <v>4521.62</v>
      </c>
      <c r="J19" s="35">
        <f t="shared" si="1"/>
        <v>0.64849739403903361</v>
      </c>
      <c r="K19" s="36">
        <v>13.2</v>
      </c>
      <c r="L19" s="24">
        <v>4781.33</v>
      </c>
      <c r="M19" s="155">
        <f t="shared" si="2"/>
        <v>0.68142815716790373</v>
      </c>
      <c r="N19" s="303" t="s">
        <v>0</v>
      </c>
      <c r="O19" s="145">
        <v>0</v>
      </c>
      <c r="P19" s="145">
        <f t="shared" si="3"/>
        <v>0</v>
      </c>
      <c r="Q19" s="25" t="s">
        <v>0</v>
      </c>
      <c r="R19" s="145">
        <v>0</v>
      </c>
      <c r="S19" s="190">
        <f t="shared" si="4"/>
        <v>0</v>
      </c>
      <c r="T19" s="304" t="s">
        <v>0</v>
      </c>
      <c r="U19" s="145">
        <v>0</v>
      </c>
      <c r="V19" s="153">
        <f t="shared" si="5"/>
        <v>0</v>
      </c>
      <c r="W19" s="303" t="s">
        <v>0</v>
      </c>
      <c r="X19" s="145">
        <v>0</v>
      </c>
      <c r="Y19" s="145">
        <f t="shared" si="6"/>
        <v>0</v>
      </c>
      <c r="Z19" s="305" t="s">
        <v>0</v>
      </c>
      <c r="AA19" s="145">
        <v>0</v>
      </c>
      <c r="AB19" s="190">
        <f t="shared" si="7"/>
        <v>0</v>
      </c>
      <c r="AC19" s="304" t="s">
        <v>0</v>
      </c>
      <c r="AD19" s="304">
        <v>0</v>
      </c>
      <c r="AE19" s="153">
        <f t="shared" si="8"/>
        <v>0</v>
      </c>
    </row>
    <row r="20" spans="2:31">
      <c r="B20" s="253" t="s">
        <v>127</v>
      </c>
      <c r="C20" s="23" t="s">
        <v>128</v>
      </c>
      <c r="D20" s="256" t="s">
        <v>129</v>
      </c>
      <c r="E20" s="237">
        <v>10.210000000000001</v>
      </c>
      <c r="F20" s="24">
        <v>1569.17</v>
      </c>
      <c r="G20" s="35">
        <f t="shared" si="0"/>
        <v>0.19868023510302449</v>
      </c>
      <c r="H20" s="36">
        <v>10</v>
      </c>
      <c r="I20" s="24">
        <v>1204.4100000000001</v>
      </c>
      <c r="J20" s="35">
        <f t="shared" si="1"/>
        <v>0.17273825450934674</v>
      </c>
      <c r="K20" s="36">
        <v>10.050000000000001</v>
      </c>
      <c r="L20" s="24">
        <v>1294.77</v>
      </c>
      <c r="M20" s="155">
        <f t="shared" si="2"/>
        <v>0.18452872632850831</v>
      </c>
      <c r="N20" s="303" t="s">
        <v>0</v>
      </c>
      <c r="O20" s="145">
        <v>0</v>
      </c>
      <c r="P20" s="145">
        <f t="shared" si="3"/>
        <v>0</v>
      </c>
      <c r="Q20" s="25" t="s">
        <v>0</v>
      </c>
      <c r="R20" s="145">
        <v>0</v>
      </c>
      <c r="S20" s="190">
        <f t="shared" si="4"/>
        <v>0</v>
      </c>
      <c r="T20" s="304" t="s">
        <v>0</v>
      </c>
      <c r="U20" s="145">
        <v>0</v>
      </c>
      <c r="V20" s="153">
        <f t="shared" si="5"/>
        <v>0</v>
      </c>
      <c r="W20" s="303" t="s">
        <v>0</v>
      </c>
      <c r="X20" s="145">
        <v>0</v>
      </c>
      <c r="Y20" s="145">
        <f t="shared" si="6"/>
        <v>0</v>
      </c>
      <c r="Z20" s="305" t="s">
        <v>0</v>
      </c>
      <c r="AA20" s="145">
        <v>0</v>
      </c>
      <c r="AB20" s="190">
        <f t="shared" si="7"/>
        <v>0</v>
      </c>
      <c r="AC20" s="304" t="s">
        <v>0</v>
      </c>
      <c r="AD20" s="304">
        <v>0</v>
      </c>
      <c r="AE20" s="153">
        <f t="shared" si="8"/>
        <v>0</v>
      </c>
    </row>
    <row r="21" spans="2:31">
      <c r="B21" s="253" t="s">
        <v>130</v>
      </c>
      <c r="C21" s="23" t="s">
        <v>128</v>
      </c>
      <c r="D21" s="4" t="s">
        <v>286</v>
      </c>
      <c r="E21" s="237">
        <v>13.24</v>
      </c>
      <c r="F21" s="24">
        <v>6347.44</v>
      </c>
      <c r="G21" s="35">
        <f t="shared" si="0"/>
        <v>0.80368020769090776</v>
      </c>
      <c r="H21" s="36">
        <v>13.04</v>
      </c>
      <c r="I21" s="24">
        <v>6612.63</v>
      </c>
      <c r="J21" s="35">
        <f t="shared" si="1"/>
        <v>0.94839312519502617</v>
      </c>
      <c r="K21" s="36">
        <v>12.89</v>
      </c>
      <c r="L21" s="24">
        <v>5771.59</v>
      </c>
      <c r="M21" s="155">
        <f t="shared" si="2"/>
        <v>0.82255856375290992</v>
      </c>
      <c r="N21" s="303" t="s">
        <v>0</v>
      </c>
      <c r="O21" s="145">
        <v>0</v>
      </c>
      <c r="P21" s="145">
        <f t="shared" si="3"/>
        <v>0</v>
      </c>
      <c r="Q21" s="25" t="s">
        <v>0</v>
      </c>
      <c r="R21" s="145">
        <v>0</v>
      </c>
      <c r="S21" s="190">
        <f t="shared" si="4"/>
        <v>0</v>
      </c>
      <c r="T21" s="304" t="s">
        <v>0</v>
      </c>
      <c r="U21" s="145">
        <v>0</v>
      </c>
      <c r="V21" s="153">
        <f t="shared" si="5"/>
        <v>0</v>
      </c>
      <c r="W21" s="303" t="s">
        <v>0</v>
      </c>
      <c r="X21" s="145">
        <v>0</v>
      </c>
      <c r="Y21" s="145">
        <f t="shared" si="6"/>
        <v>0</v>
      </c>
      <c r="Z21" s="305" t="s">
        <v>0</v>
      </c>
      <c r="AA21" s="145">
        <v>0</v>
      </c>
      <c r="AB21" s="190">
        <f t="shared" si="7"/>
        <v>0</v>
      </c>
      <c r="AC21" s="304" t="s">
        <v>0</v>
      </c>
      <c r="AD21" s="304">
        <v>0</v>
      </c>
      <c r="AE21" s="153">
        <f t="shared" si="8"/>
        <v>0</v>
      </c>
    </row>
    <row r="22" spans="2:31">
      <c r="B22" s="253" t="s">
        <v>287</v>
      </c>
      <c r="C22" s="23" t="s">
        <v>288</v>
      </c>
      <c r="D22" s="4" t="s">
        <v>289</v>
      </c>
      <c r="E22" s="237">
        <v>15.51</v>
      </c>
      <c r="F22" s="24">
        <v>7466.7</v>
      </c>
      <c r="G22" s="35">
        <f t="shared" si="0"/>
        <v>0.94539515249702255</v>
      </c>
      <c r="H22" s="36">
        <v>15.19</v>
      </c>
      <c r="I22" s="24">
        <v>6035.99</v>
      </c>
      <c r="J22" s="35">
        <f t="shared" si="1"/>
        <v>0.86569056785967546</v>
      </c>
      <c r="K22" s="36">
        <v>15.05</v>
      </c>
      <c r="L22" s="24">
        <v>5550.96</v>
      </c>
      <c r="M22" s="155">
        <f t="shared" si="2"/>
        <v>0.79111469890443598</v>
      </c>
      <c r="N22" s="303" t="s">
        <v>0</v>
      </c>
      <c r="O22" s="145">
        <v>0</v>
      </c>
      <c r="P22" s="145">
        <f t="shared" si="3"/>
        <v>0</v>
      </c>
      <c r="Q22" s="25" t="s">
        <v>0</v>
      </c>
      <c r="R22" s="145">
        <v>0</v>
      </c>
      <c r="S22" s="190">
        <f t="shared" si="4"/>
        <v>0</v>
      </c>
      <c r="T22" s="304" t="s">
        <v>0</v>
      </c>
      <c r="U22" s="145">
        <v>0</v>
      </c>
      <c r="V22" s="153">
        <f t="shared" si="5"/>
        <v>0</v>
      </c>
      <c r="W22" s="303" t="s">
        <v>0</v>
      </c>
      <c r="X22" s="145">
        <v>0</v>
      </c>
      <c r="Y22" s="145">
        <f t="shared" si="6"/>
        <v>0</v>
      </c>
      <c r="Z22" s="305" t="s">
        <v>0</v>
      </c>
      <c r="AA22" s="145">
        <v>0</v>
      </c>
      <c r="AB22" s="190">
        <f t="shared" si="7"/>
        <v>0</v>
      </c>
      <c r="AC22" s="304" t="s">
        <v>0</v>
      </c>
      <c r="AD22" s="304">
        <v>0</v>
      </c>
      <c r="AE22" s="153">
        <f t="shared" si="8"/>
        <v>0</v>
      </c>
    </row>
    <row r="23" spans="2:31">
      <c r="B23" s="253" t="s">
        <v>290</v>
      </c>
      <c r="C23" s="23" t="s">
        <v>288</v>
      </c>
      <c r="D23" s="24" t="s">
        <v>291</v>
      </c>
      <c r="E23" s="237" t="s">
        <v>0</v>
      </c>
      <c r="F23" s="24">
        <v>0</v>
      </c>
      <c r="G23" s="35">
        <f t="shared" si="0"/>
        <v>0</v>
      </c>
      <c r="H23" s="36" t="s">
        <v>0</v>
      </c>
      <c r="I23" s="24">
        <v>0</v>
      </c>
      <c r="J23" s="35">
        <f t="shared" si="1"/>
        <v>0</v>
      </c>
      <c r="K23" s="36" t="s">
        <v>0</v>
      </c>
      <c r="L23" s="24">
        <v>0</v>
      </c>
      <c r="M23" s="155">
        <f t="shared" si="2"/>
        <v>0</v>
      </c>
      <c r="N23" s="297">
        <v>16.059999999999999</v>
      </c>
      <c r="O23" s="142">
        <v>18499.060000000001</v>
      </c>
      <c r="P23" s="142">
        <f t="shared" si="3"/>
        <v>11.919736278220523</v>
      </c>
      <c r="Q23" s="299">
        <v>15.47</v>
      </c>
      <c r="R23" s="142">
        <v>24327.64</v>
      </c>
      <c r="S23" s="187">
        <f t="shared" si="4"/>
        <v>11.990787539944209</v>
      </c>
      <c r="T23" s="298">
        <v>14.96</v>
      </c>
      <c r="U23" s="142">
        <v>24850.55</v>
      </c>
      <c r="V23" s="143">
        <f t="shared" si="5"/>
        <v>12.790014230827627</v>
      </c>
      <c r="W23" s="237" t="s">
        <v>0</v>
      </c>
      <c r="X23" s="22">
        <v>0</v>
      </c>
      <c r="Y23" s="22">
        <f t="shared" si="6"/>
        <v>0</v>
      </c>
      <c r="Z23" s="36" t="s">
        <v>0</v>
      </c>
      <c r="AA23" s="22">
        <v>0</v>
      </c>
      <c r="AB23" s="35">
        <f t="shared" si="7"/>
        <v>0</v>
      </c>
      <c r="AC23" s="24" t="s">
        <v>0</v>
      </c>
      <c r="AD23" s="22">
        <v>0</v>
      </c>
      <c r="AE23" s="155">
        <f t="shared" si="8"/>
        <v>0</v>
      </c>
    </row>
    <row r="24" spans="2:31">
      <c r="B24" s="253">
        <v>813</v>
      </c>
      <c r="C24" s="23" t="s">
        <v>133</v>
      </c>
      <c r="D24" s="24" t="s">
        <v>292</v>
      </c>
      <c r="E24" s="237">
        <v>22.78</v>
      </c>
      <c r="F24" s="24">
        <v>25058.19</v>
      </c>
      <c r="G24" s="35">
        <f t="shared" si="0"/>
        <v>3.1727391426399034</v>
      </c>
      <c r="H24" s="36">
        <v>22.34</v>
      </c>
      <c r="I24" s="24">
        <v>23487.11</v>
      </c>
      <c r="J24" s="35">
        <f t="shared" si="1"/>
        <v>3.3685558778730029</v>
      </c>
      <c r="K24" s="36">
        <v>22.18</v>
      </c>
      <c r="L24" s="24">
        <v>16502.03</v>
      </c>
      <c r="M24" s="155">
        <f t="shared" si="2"/>
        <v>2.3518451753862335</v>
      </c>
      <c r="N24" s="303" t="s">
        <v>0</v>
      </c>
      <c r="O24" s="145">
        <v>0</v>
      </c>
      <c r="P24" s="145">
        <f t="shared" si="3"/>
        <v>0</v>
      </c>
      <c r="Q24" s="25" t="s">
        <v>0</v>
      </c>
      <c r="R24" s="145">
        <v>0</v>
      </c>
      <c r="S24" s="190">
        <f t="shared" si="4"/>
        <v>0</v>
      </c>
      <c r="T24" s="304" t="s">
        <v>0</v>
      </c>
      <c r="U24" s="145">
        <v>0</v>
      </c>
      <c r="V24" s="153">
        <f t="shared" si="5"/>
        <v>0</v>
      </c>
      <c r="W24" s="303" t="s">
        <v>0</v>
      </c>
      <c r="X24" s="145">
        <v>0</v>
      </c>
      <c r="Y24" s="145">
        <f t="shared" si="6"/>
        <v>0</v>
      </c>
      <c r="Z24" s="305" t="s">
        <v>0</v>
      </c>
      <c r="AA24" s="145">
        <v>0</v>
      </c>
      <c r="AB24" s="190">
        <f t="shared" si="7"/>
        <v>0</v>
      </c>
      <c r="AC24" s="304" t="s">
        <v>0</v>
      </c>
      <c r="AD24" s="304">
        <v>0</v>
      </c>
      <c r="AE24" s="153">
        <f t="shared" si="8"/>
        <v>0</v>
      </c>
    </row>
    <row r="25" spans="2:31">
      <c r="B25" s="253">
        <v>829</v>
      </c>
      <c r="C25" s="23" t="s">
        <v>293</v>
      </c>
      <c r="D25" s="24" t="s">
        <v>294</v>
      </c>
      <c r="E25" s="237">
        <v>14.88</v>
      </c>
      <c r="F25" s="24">
        <v>3176.76</v>
      </c>
      <c r="G25" s="35">
        <f t="shared" si="0"/>
        <v>0.40222501301062608</v>
      </c>
      <c r="H25" s="36" t="s">
        <v>295</v>
      </c>
      <c r="I25" s="24">
        <v>2482.8000000000002</v>
      </c>
      <c r="J25" s="35">
        <f t="shared" si="1"/>
        <v>0.35608682948149395</v>
      </c>
      <c r="K25" s="36" t="s">
        <v>296</v>
      </c>
      <c r="L25" s="24">
        <v>2362.4</v>
      </c>
      <c r="M25" s="155">
        <f t="shared" si="2"/>
        <v>0.33668579213178251</v>
      </c>
      <c r="N25" s="303" t="s">
        <v>0</v>
      </c>
      <c r="O25" s="145">
        <v>0</v>
      </c>
      <c r="P25" s="145">
        <f t="shared" si="3"/>
        <v>0</v>
      </c>
      <c r="Q25" s="25" t="s">
        <v>0</v>
      </c>
      <c r="R25" s="145">
        <v>0</v>
      </c>
      <c r="S25" s="190">
        <f t="shared" si="4"/>
        <v>0</v>
      </c>
      <c r="T25" s="304" t="s">
        <v>0</v>
      </c>
      <c r="U25" s="145">
        <v>0</v>
      </c>
      <c r="V25" s="153">
        <f t="shared" si="5"/>
        <v>0</v>
      </c>
      <c r="W25" s="303" t="s">
        <v>0</v>
      </c>
      <c r="X25" s="145">
        <v>0</v>
      </c>
      <c r="Y25" s="145">
        <f t="shared" si="6"/>
        <v>0</v>
      </c>
      <c r="Z25" s="305" t="s">
        <v>0</v>
      </c>
      <c r="AA25" s="145">
        <v>0</v>
      </c>
      <c r="AB25" s="190">
        <f t="shared" si="7"/>
        <v>0</v>
      </c>
      <c r="AC25" s="304" t="s">
        <v>0</v>
      </c>
      <c r="AD25" s="304">
        <v>0</v>
      </c>
      <c r="AE25" s="153">
        <f t="shared" si="8"/>
        <v>0</v>
      </c>
    </row>
    <row r="26" spans="2:31">
      <c r="B26" s="253">
        <v>831</v>
      </c>
      <c r="C26" s="23" t="s">
        <v>297</v>
      </c>
      <c r="D26" s="4" t="s">
        <v>298</v>
      </c>
      <c r="E26" s="237" t="s">
        <v>0</v>
      </c>
      <c r="F26" s="24">
        <v>0</v>
      </c>
      <c r="G26" s="35">
        <f t="shared" si="0"/>
        <v>0</v>
      </c>
      <c r="H26" s="36" t="s">
        <v>0</v>
      </c>
      <c r="I26" s="24">
        <v>0</v>
      </c>
      <c r="J26" s="35">
        <f t="shared" si="1"/>
        <v>0</v>
      </c>
      <c r="K26" s="36" t="s">
        <v>0</v>
      </c>
      <c r="L26" s="24">
        <v>0</v>
      </c>
      <c r="M26" s="155">
        <f t="shared" si="2"/>
        <v>0</v>
      </c>
      <c r="N26" s="297">
        <v>17.760000000000002</v>
      </c>
      <c r="O26" s="142">
        <v>7856.83</v>
      </c>
      <c r="P26" s="142">
        <f t="shared" si="3"/>
        <v>5.0624919094706078</v>
      </c>
      <c r="Q26" s="299">
        <v>16.97</v>
      </c>
      <c r="R26" s="142">
        <v>10036.879999999999</v>
      </c>
      <c r="S26" s="187">
        <f t="shared" si="4"/>
        <v>4.9470518161200694</v>
      </c>
      <c r="T26" s="298">
        <v>16.329999999999998</v>
      </c>
      <c r="U26" s="142">
        <v>7966.5</v>
      </c>
      <c r="V26" s="143">
        <f t="shared" si="5"/>
        <v>4.1001767916560521</v>
      </c>
      <c r="W26" s="237" t="s">
        <v>0</v>
      </c>
      <c r="X26" s="22">
        <v>0</v>
      </c>
      <c r="Y26" s="22">
        <f t="shared" si="6"/>
        <v>0</v>
      </c>
      <c r="Z26" s="36" t="s">
        <v>0</v>
      </c>
      <c r="AA26" s="22">
        <v>0</v>
      </c>
      <c r="AB26" s="35">
        <f t="shared" si="7"/>
        <v>0</v>
      </c>
      <c r="AC26" s="24" t="s">
        <v>0</v>
      </c>
      <c r="AD26" s="22">
        <v>0</v>
      </c>
      <c r="AE26" s="155">
        <f t="shared" si="8"/>
        <v>0</v>
      </c>
    </row>
    <row r="27" spans="2:31">
      <c r="B27" s="253" t="s">
        <v>137</v>
      </c>
      <c r="C27" s="23" t="s">
        <v>138</v>
      </c>
      <c r="D27" s="4" t="s">
        <v>141</v>
      </c>
      <c r="E27" s="237">
        <v>15.51</v>
      </c>
      <c r="F27" s="24">
        <v>9751.36</v>
      </c>
      <c r="G27" s="35">
        <f t="shared" si="0"/>
        <v>1.2346670516095954</v>
      </c>
      <c r="H27" s="36">
        <v>15.19</v>
      </c>
      <c r="I27" s="24">
        <v>8928.36</v>
      </c>
      <c r="J27" s="35">
        <f t="shared" si="1"/>
        <v>1.2805185294302366</v>
      </c>
      <c r="K27" s="36">
        <v>14.98</v>
      </c>
      <c r="L27" s="24">
        <v>6663.53</v>
      </c>
      <c r="M27" s="155">
        <f t="shared" si="2"/>
        <v>0.94967654776663413</v>
      </c>
      <c r="N27" s="303" t="s">
        <v>0</v>
      </c>
      <c r="O27" s="145">
        <v>0</v>
      </c>
      <c r="P27" s="145">
        <f t="shared" si="3"/>
        <v>0</v>
      </c>
      <c r="Q27" s="25" t="s">
        <v>0</v>
      </c>
      <c r="R27" s="145">
        <v>0</v>
      </c>
      <c r="S27" s="190">
        <f t="shared" si="4"/>
        <v>0</v>
      </c>
      <c r="T27" s="304" t="s">
        <v>0</v>
      </c>
      <c r="U27" s="145">
        <v>0</v>
      </c>
      <c r="V27" s="153">
        <f t="shared" si="5"/>
        <v>0</v>
      </c>
      <c r="W27" s="303" t="s">
        <v>0</v>
      </c>
      <c r="X27" s="145">
        <v>0</v>
      </c>
      <c r="Y27" s="145">
        <f t="shared" si="6"/>
        <v>0</v>
      </c>
      <c r="Z27" s="305" t="s">
        <v>0</v>
      </c>
      <c r="AA27" s="145">
        <v>0</v>
      </c>
      <c r="AB27" s="190">
        <f t="shared" si="7"/>
        <v>0</v>
      </c>
      <c r="AC27" s="304" t="s">
        <v>0</v>
      </c>
      <c r="AD27" s="304">
        <v>0</v>
      </c>
      <c r="AE27" s="153">
        <f t="shared" si="8"/>
        <v>0</v>
      </c>
    </row>
    <row r="28" spans="2:31">
      <c r="B28" s="253" t="s">
        <v>140</v>
      </c>
      <c r="C28" s="23" t="s">
        <v>138</v>
      </c>
      <c r="D28" s="4" t="s">
        <v>299</v>
      </c>
      <c r="E28" s="237">
        <v>16.48</v>
      </c>
      <c r="F28" s="24">
        <v>16192.3</v>
      </c>
      <c r="G28" s="35">
        <f t="shared" si="0"/>
        <v>2.0501857484266863</v>
      </c>
      <c r="H28" s="36">
        <v>16.16</v>
      </c>
      <c r="I28" s="24">
        <v>14842.43</v>
      </c>
      <c r="J28" s="35">
        <f t="shared" si="1"/>
        <v>2.1287231514826042</v>
      </c>
      <c r="K28" s="36">
        <v>15.89</v>
      </c>
      <c r="L28" s="24">
        <v>12475.3</v>
      </c>
      <c r="M28" s="155">
        <f t="shared" si="2"/>
        <v>1.7779615063416976</v>
      </c>
      <c r="N28" s="303" t="s">
        <v>0</v>
      </c>
      <c r="O28" s="145">
        <v>0</v>
      </c>
      <c r="P28" s="145">
        <f t="shared" si="3"/>
        <v>0</v>
      </c>
      <c r="Q28" s="25" t="s">
        <v>0</v>
      </c>
      <c r="R28" s="145">
        <v>0</v>
      </c>
      <c r="S28" s="190">
        <f t="shared" si="4"/>
        <v>0</v>
      </c>
      <c r="T28" s="304" t="s">
        <v>0</v>
      </c>
      <c r="U28" s="145">
        <v>0</v>
      </c>
      <c r="V28" s="153">
        <f t="shared" si="5"/>
        <v>0</v>
      </c>
      <c r="W28" s="303" t="s">
        <v>0</v>
      </c>
      <c r="X28" s="145">
        <v>0</v>
      </c>
      <c r="Y28" s="145">
        <f t="shared" si="6"/>
        <v>0</v>
      </c>
      <c r="Z28" s="305" t="s">
        <v>0</v>
      </c>
      <c r="AA28" s="145">
        <v>0</v>
      </c>
      <c r="AB28" s="190">
        <f t="shared" si="7"/>
        <v>0</v>
      </c>
      <c r="AC28" s="304" t="s">
        <v>0</v>
      </c>
      <c r="AD28" s="304">
        <v>0</v>
      </c>
      <c r="AE28" s="153">
        <f t="shared" si="8"/>
        <v>0</v>
      </c>
    </row>
    <row r="29" spans="2:31">
      <c r="B29" s="253" t="s">
        <v>142</v>
      </c>
      <c r="C29" s="23" t="s">
        <v>138</v>
      </c>
      <c r="D29" s="4" t="s">
        <v>300</v>
      </c>
      <c r="E29" s="237">
        <v>17.12</v>
      </c>
      <c r="F29" s="24">
        <v>22425.3</v>
      </c>
      <c r="G29" s="35">
        <f t="shared" si="0"/>
        <v>2.8393761518865737</v>
      </c>
      <c r="H29" s="36">
        <v>16.87</v>
      </c>
      <c r="I29" s="24">
        <v>18015.34</v>
      </c>
      <c r="J29" s="35">
        <f t="shared" si="1"/>
        <v>2.5837865726724409</v>
      </c>
      <c r="K29" s="36">
        <v>16.59</v>
      </c>
      <c r="L29" s="24">
        <v>22016.7</v>
      </c>
      <c r="M29" s="155">
        <f t="shared" si="2"/>
        <v>3.1377878765779785</v>
      </c>
      <c r="N29" s="303" t="s">
        <v>0</v>
      </c>
      <c r="O29" s="145">
        <v>0</v>
      </c>
      <c r="P29" s="145">
        <f t="shared" si="3"/>
        <v>0</v>
      </c>
      <c r="Q29" s="25" t="s">
        <v>0</v>
      </c>
      <c r="R29" s="145">
        <v>0</v>
      </c>
      <c r="S29" s="190">
        <f t="shared" si="4"/>
        <v>0</v>
      </c>
      <c r="T29" s="304" t="s">
        <v>0</v>
      </c>
      <c r="U29" s="145">
        <v>0</v>
      </c>
      <c r="V29" s="153">
        <f t="shared" si="5"/>
        <v>0</v>
      </c>
      <c r="W29" s="303" t="s">
        <v>0</v>
      </c>
      <c r="X29" s="145">
        <v>0</v>
      </c>
      <c r="Y29" s="145">
        <f t="shared" si="6"/>
        <v>0</v>
      </c>
      <c r="Z29" s="305" t="s">
        <v>0</v>
      </c>
      <c r="AA29" s="145">
        <v>0</v>
      </c>
      <c r="AB29" s="190">
        <f t="shared" si="7"/>
        <v>0</v>
      </c>
      <c r="AC29" s="304" t="s">
        <v>0</v>
      </c>
      <c r="AD29" s="304">
        <v>0</v>
      </c>
      <c r="AE29" s="153">
        <f t="shared" si="8"/>
        <v>0</v>
      </c>
    </row>
    <row r="30" spans="2:31">
      <c r="B30" s="253">
        <v>878</v>
      </c>
      <c r="C30" s="23" t="s">
        <v>301</v>
      </c>
      <c r="D30" s="4" t="s">
        <v>302</v>
      </c>
      <c r="E30" s="237">
        <v>15.39</v>
      </c>
      <c r="F30" s="24">
        <v>5171.79</v>
      </c>
      <c r="G30" s="35">
        <f t="shared" si="0"/>
        <v>0.65482545110056334</v>
      </c>
      <c r="H30" s="36">
        <v>15.13</v>
      </c>
      <c r="I30" s="24">
        <v>6032.12</v>
      </c>
      <c r="J30" s="35">
        <f t="shared" si="1"/>
        <v>0.86513552676490624</v>
      </c>
      <c r="K30" s="36">
        <v>14.92</v>
      </c>
      <c r="L30" s="24">
        <v>4272.84</v>
      </c>
      <c r="M30" s="155">
        <f t="shared" si="2"/>
        <v>0.60895890621925397</v>
      </c>
      <c r="N30" s="303" t="s">
        <v>0</v>
      </c>
      <c r="O30" s="145">
        <v>0</v>
      </c>
      <c r="P30" s="145">
        <f t="shared" si="3"/>
        <v>0</v>
      </c>
      <c r="Q30" s="25" t="s">
        <v>0</v>
      </c>
      <c r="R30" s="145">
        <v>0</v>
      </c>
      <c r="S30" s="190">
        <f t="shared" si="4"/>
        <v>0</v>
      </c>
      <c r="T30" s="304" t="s">
        <v>0</v>
      </c>
      <c r="U30" s="145">
        <v>0</v>
      </c>
      <c r="V30" s="153">
        <f t="shared" si="5"/>
        <v>0</v>
      </c>
      <c r="W30" s="303" t="s">
        <v>0</v>
      </c>
      <c r="X30" s="145">
        <v>0</v>
      </c>
      <c r="Y30" s="145">
        <f t="shared" si="6"/>
        <v>0</v>
      </c>
      <c r="Z30" s="305" t="s">
        <v>0</v>
      </c>
      <c r="AA30" s="145">
        <v>0</v>
      </c>
      <c r="AB30" s="190">
        <f t="shared" si="7"/>
        <v>0</v>
      </c>
      <c r="AC30" s="304" t="s">
        <v>0</v>
      </c>
      <c r="AD30" s="304">
        <v>0</v>
      </c>
      <c r="AE30" s="153">
        <f t="shared" si="8"/>
        <v>0</v>
      </c>
    </row>
    <row r="31" spans="2:31">
      <c r="B31" s="253">
        <v>894</v>
      </c>
      <c r="C31" s="23" t="s">
        <v>144</v>
      </c>
      <c r="D31" s="4" t="s">
        <v>303</v>
      </c>
      <c r="E31" s="237">
        <v>15.26</v>
      </c>
      <c r="F31" s="24">
        <v>10168.59</v>
      </c>
      <c r="G31" s="35">
        <f t="shared" si="0"/>
        <v>1.2874945683809045</v>
      </c>
      <c r="H31" s="36">
        <v>14.94</v>
      </c>
      <c r="I31" s="24">
        <v>9847.6</v>
      </c>
      <c r="J31" s="35">
        <f t="shared" si="1"/>
        <v>1.4123572829071853</v>
      </c>
      <c r="K31" s="36">
        <v>14.73</v>
      </c>
      <c r="L31" s="24">
        <v>9230.99</v>
      </c>
      <c r="M31" s="155">
        <f t="shared" si="2"/>
        <v>1.3155871911236721</v>
      </c>
      <c r="N31" s="303" t="s">
        <v>0</v>
      </c>
      <c r="O31" s="145">
        <v>0</v>
      </c>
      <c r="P31" s="145">
        <f t="shared" si="3"/>
        <v>0</v>
      </c>
      <c r="Q31" s="25" t="s">
        <v>0</v>
      </c>
      <c r="R31" s="145">
        <v>0</v>
      </c>
      <c r="S31" s="190">
        <f t="shared" si="4"/>
        <v>0</v>
      </c>
      <c r="T31" s="304" t="s">
        <v>0</v>
      </c>
      <c r="U31" s="145">
        <v>0</v>
      </c>
      <c r="V31" s="153">
        <f t="shared" si="5"/>
        <v>0</v>
      </c>
      <c r="W31" s="303" t="s">
        <v>0</v>
      </c>
      <c r="X31" s="145">
        <v>0</v>
      </c>
      <c r="Y31" s="145">
        <f t="shared" si="6"/>
        <v>0</v>
      </c>
      <c r="Z31" s="305" t="s">
        <v>0</v>
      </c>
      <c r="AA31" s="145">
        <v>0</v>
      </c>
      <c r="AB31" s="190">
        <f t="shared" si="7"/>
        <v>0</v>
      </c>
      <c r="AC31" s="304" t="s">
        <v>0</v>
      </c>
      <c r="AD31" s="304">
        <v>0</v>
      </c>
      <c r="AE31" s="153">
        <f t="shared" si="8"/>
        <v>0</v>
      </c>
    </row>
    <row r="32" spans="2:31">
      <c r="B32" s="253">
        <v>958</v>
      </c>
      <c r="C32" s="23" t="s">
        <v>304</v>
      </c>
      <c r="D32" s="4" t="s">
        <v>305</v>
      </c>
      <c r="E32" s="237">
        <v>16.09</v>
      </c>
      <c r="F32" s="24">
        <v>11066.92</v>
      </c>
      <c r="G32" s="35">
        <f t="shared" si="0"/>
        <v>1.4012364928378467</v>
      </c>
      <c r="H32" s="36">
        <v>15.84</v>
      </c>
      <c r="I32" s="24">
        <v>9828.7199999999993</v>
      </c>
      <c r="J32" s="35">
        <f t="shared" si="1"/>
        <v>1.4096494855249511</v>
      </c>
      <c r="K32" s="36">
        <v>15.63</v>
      </c>
      <c r="L32" s="24">
        <v>9537.08</v>
      </c>
      <c r="M32" s="155">
        <f t="shared" si="2"/>
        <v>1.3592106901558501</v>
      </c>
      <c r="N32" s="303" t="s">
        <v>0</v>
      </c>
      <c r="O32" s="145">
        <v>0</v>
      </c>
      <c r="P32" s="145">
        <f t="shared" si="3"/>
        <v>0</v>
      </c>
      <c r="Q32" s="25" t="s">
        <v>0</v>
      </c>
      <c r="R32" s="145">
        <v>0</v>
      </c>
      <c r="S32" s="190">
        <f t="shared" si="4"/>
        <v>0</v>
      </c>
      <c r="T32" s="304" t="s">
        <v>0</v>
      </c>
      <c r="U32" s="145">
        <v>0</v>
      </c>
      <c r="V32" s="153">
        <f t="shared" si="5"/>
        <v>0</v>
      </c>
      <c r="W32" s="303" t="s">
        <v>0</v>
      </c>
      <c r="X32" s="145">
        <v>0</v>
      </c>
      <c r="Y32" s="145">
        <f t="shared" si="6"/>
        <v>0</v>
      </c>
      <c r="Z32" s="305" t="s">
        <v>0</v>
      </c>
      <c r="AA32" s="145">
        <v>0</v>
      </c>
      <c r="AB32" s="190">
        <f t="shared" si="7"/>
        <v>0</v>
      </c>
      <c r="AC32" s="304" t="s">
        <v>0</v>
      </c>
      <c r="AD32" s="304">
        <v>0</v>
      </c>
      <c r="AE32" s="153">
        <f t="shared" si="8"/>
        <v>0</v>
      </c>
    </row>
    <row r="33" spans="2:31">
      <c r="B33" s="253">
        <v>974</v>
      </c>
      <c r="C33" s="23" t="s">
        <v>306</v>
      </c>
      <c r="D33" s="4" t="s">
        <v>307</v>
      </c>
      <c r="E33" s="237">
        <v>15.9</v>
      </c>
      <c r="F33" s="24">
        <v>21012.44</v>
      </c>
      <c r="G33" s="35">
        <f t="shared" si="0"/>
        <v>2.6604870850756743</v>
      </c>
      <c r="H33" s="36">
        <v>15.58</v>
      </c>
      <c r="I33" s="24">
        <v>18785.8</v>
      </c>
      <c r="J33" s="35">
        <f t="shared" si="1"/>
        <v>2.6942870796171454</v>
      </c>
      <c r="K33" s="36">
        <v>15.37</v>
      </c>
      <c r="L33" s="24">
        <v>16487.22</v>
      </c>
      <c r="M33" s="155">
        <f t="shared" si="2"/>
        <v>2.3497344758512391</v>
      </c>
      <c r="N33" s="303" t="s">
        <v>0</v>
      </c>
      <c r="O33" s="145">
        <v>0</v>
      </c>
      <c r="P33" s="145">
        <f t="shared" si="3"/>
        <v>0</v>
      </c>
      <c r="Q33" s="25" t="s">
        <v>0</v>
      </c>
      <c r="R33" s="145">
        <v>0</v>
      </c>
      <c r="S33" s="190">
        <f t="shared" si="4"/>
        <v>0</v>
      </c>
      <c r="T33" s="304" t="s">
        <v>0</v>
      </c>
      <c r="U33" s="145">
        <v>0</v>
      </c>
      <c r="V33" s="153">
        <f t="shared" si="5"/>
        <v>0</v>
      </c>
      <c r="W33" s="303" t="s">
        <v>0</v>
      </c>
      <c r="X33" s="145">
        <v>0</v>
      </c>
      <c r="Y33" s="145">
        <f t="shared" si="6"/>
        <v>0</v>
      </c>
      <c r="Z33" s="305" t="s">
        <v>0</v>
      </c>
      <c r="AA33" s="145">
        <v>0</v>
      </c>
      <c r="AB33" s="190">
        <f t="shared" si="7"/>
        <v>0</v>
      </c>
      <c r="AC33" s="304" t="s">
        <v>0</v>
      </c>
      <c r="AD33" s="304">
        <v>0</v>
      </c>
      <c r="AE33" s="153">
        <f t="shared" si="8"/>
        <v>0</v>
      </c>
    </row>
    <row r="34" spans="2:31">
      <c r="B34" s="253">
        <v>993</v>
      </c>
      <c r="C34" s="226" t="s">
        <v>308</v>
      </c>
      <c r="D34" s="24" t="s">
        <v>309</v>
      </c>
      <c r="E34" s="237" t="s">
        <v>0</v>
      </c>
      <c r="F34" s="24">
        <v>0</v>
      </c>
      <c r="G34" s="35">
        <f t="shared" si="0"/>
        <v>0</v>
      </c>
      <c r="H34" s="36" t="s">
        <v>0</v>
      </c>
      <c r="I34" s="24">
        <v>0</v>
      </c>
      <c r="J34" s="35">
        <f t="shared" si="1"/>
        <v>0</v>
      </c>
      <c r="K34" s="36" t="s">
        <v>0</v>
      </c>
      <c r="L34" s="24">
        <v>0</v>
      </c>
      <c r="M34" s="155">
        <f t="shared" si="2"/>
        <v>0</v>
      </c>
      <c r="N34" s="297">
        <v>21.44</v>
      </c>
      <c r="O34" s="142">
        <v>3637.28</v>
      </c>
      <c r="P34" s="142">
        <f t="shared" si="3"/>
        <v>2.34365521113213</v>
      </c>
      <c r="Q34" s="299">
        <v>20.38</v>
      </c>
      <c r="R34" s="142">
        <v>5499.09</v>
      </c>
      <c r="S34" s="187">
        <f t="shared" si="4"/>
        <v>2.7104322430384458</v>
      </c>
      <c r="T34" s="298">
        <v>19.61</v>
      </c>
      <c r="U34" s="142">
        <v>5484.01</v>
      </c>
      <c r="V34" s="143">
        <f t="shared" si="5"/>
        <v>2.8224955158739351</v>
      </c>
      <c r="W34" s="237" t="s">
        <v>0</v>
      </c>
      <c r="X34" s="22">
        <v>0</v>
      </c>
      <c r="Y34" s="22">
        <f t="shared" si="6"/>
        <v>0</v>
      </c>
      <c r="Z34" s="36" t="s">
        <v>0</v>
      </c>
      <c r="AA34" s="22">
        <v>0</v>
      </c>
      <c r="AB34" s="35">
        <f t="shared" si="7"/>
        <v>0</v>
      </c>
      <c r="AC34" s="24" t="s">
        <v>0</v>
      </c>
      <c r="AD34" s="22">
        <v>0</v>
      </c>
      <c r="AE34" s="155">
        <f t="shared" si="8"/>
        <v>0</v>
      </c>
    </row>
    <row r="35" spans="2:31">
      <c r="B35" s="253" t="s">
        <v>310</v>
      </c>
      <c r="C35" s="23" t="s">
        <v>311</v>
      </c>
      <c r="D35" s="4" t="s">
        <v>312</v>
      </c>
      <c r="E35" s="237" t="s">
        <v>313</v>
      </c>
      <c r="F35" s="24">
        <v>5738.1</v>
      </c>
      <c r="G35" s="35">
        <f t="shared" si="0"/>
        <v>0.72652871074814385</v>
      </c>
      <c r="H35" s="36" t="s">
        <v>314</v>
      </c>
      <c r="I35" s="24">
        <v>5447.6</v>
      </c>
      <c r="J35" s="35">
        <f t="shared" si="1"/>
        <v>0.78130280823400455</v>
      </c>
      <c r="K35" s="36" t="s">
        <v>315</v>
      </c>
      <c r="L35" s="24">
        <v>3776.9</v>
      </c>
      <c r="M35" s="155">
        <f t="shared" si="2"/>
        <v>0.53827826291167002</v>
      </c>
      <c r="N35" s="303" t="s">
        <v>0</v>
      </c>
      <c r="O35" s="145">
        <v>0</v>
      </c>
      <c r="P35" s="145">
        <f t="shared" si="3"/>
        <v>0</v>
      </c>
      <c r="Q35" s="25" t="s">
        <v>0</v>
      </c>
      <c r="R35" s="145">
        <v>0</v>
      </c>
      <c r="S35" s="190">
        <f t="shared" si="4"/>
        <v>0</v>
      </c>
      <c r="T35" s="304" t="s">
        <v>0</v>
      </c>
      <c r="U35" s="145">
        <v>0</v>
      </c>
      <c r="V35" s="153">
        <f t="shared" si="5"/>
        <v>0</v>
      </c>
      <c r="W35" s="303" t="s">
        <v>0</v>
      </c>
      <c r="X35" s="145">
        <v>0</v>
      </c>
      <c r="Y35" s="145">
        <f t="shared" si="6"/>
        <v>0</v>
      </c>
      <c r="Z35" s="305" t="s">
        <v>0</v>
      </c>
      <c r="AA35" s="145">
        <v>0</v>
      </c>
      <c r="AB35" s="190">
        <f t="shared" si="7"/>
        <v>0</v>
      </c>
      <c r="AC35" s="304" t="s">
        <v>0</v>
      </c>
      <c r="AD35" s="304">
        <v>0</v>
      </c>
      <c r="AE35" s="153">
        <f t="shared" si="8"/>
        <v>0</v>
      </c>
    </row>
    <row r="36" spans="2:31">
      <c r="B36" s="253" t="s">
        <v>316</v>
      </c>
      <c r="C36" s="23" t="s">
        <v>311</v>
      </c>
      <c r="D36" s="4" t="s">
        <v>317</v>
      </c>
      <c r="E36" s="237" t="s">
        <v>186</v>
      </c>
      <c r="F36" s="24">
        <v>5073.3</v>
      </c>
      <c r="G36" s="35">
        <f t="shared" si="0"/>
        <v>0.64235515383812736</v>
      </c>
      <c r="H36" s="36" t="s">
        <v>318</v>
      </c>
      <c r="I36" s="24">
        <v>4815.8999999999996</v>
      </c>
      <c r="J36" s="35">
        <f t="shared" si="1"/>
        <v>0.69070346467694799</v>
      </c>
      <c r="K36" s="36" t="s">
        <v>319</v>
      </c>
      <c r="L36" s="24">
        <v>3901.8</v>
      </c>
      <c r="M36" s="155">
        <f t="shared" si="2"/>
        <v>0.55607882820004617</v>
      </c>
      <c r="N36" s="303" t="s">
        <v>0</v>
      </c>
      <c r="O36" s="145">
        <v>0</v>
      </c>
      <c r="P36" s="145">
        <f t="shared" si="3"/>
        <v>0</v>
      </c>
      <c r="Q36" s="25" t="s">
        <v>0</v>
      </c>
      <c r="R36" s="145">
        <v>0</v>
      </c>
      <c r="S36" s="190">
        <f t="shared" si="4"/>
        <v>0</v>
      </c>
      <c r="T36" s="304" t="s">
        <v>0</v>
      </c>
      <c r="U36" s="145">
        <v>0</v>
      </c>
      <c r="V36" s="153">
        <f t="shared" si="5"/>
        <v>0</v>
      </c>
      <c r="W36" s="303" t="s">
        <v>0</v>
      </c>
      <c r="X36" s="145">
        <v>0</v>
      </c>
      <c r="Y36" s="145">
        <f t="shared" si="6"/>
        <v>0</v>
      </c>
      <c r="Z36" s="305" t="s">
        <v>0</v>
      </c>
      <c r="AA36" s="145">
        <v>0</v>
      </c>
      <c r="AB36" s="190">
        <f t="shared" si="7"/>
        <v>0</v>
      </c>
      <c r="AC36" s="304" t="s">
        <v>0</v>
      </c>
      <c r="AD36" s="304">
        <v>0</v>
      </c>
      <c r="AE36" s="153">
        <f t="shared" si="8"/>
        <v>0</v>
      </c>
    </row>
    <row r="37" spans="2:31">
      <c r="B37" s="253" t="s">
        <v>320</v>
      </c>
      <c r="C37" s="23" t="s">
        <v>311</v>
      </c>
      <c r="D37" s="4" t="s">
        <v>321</v>
      </c>
      <c r="E37" s="237" t="s">
        <v>322</v>
      </c>
      <c r="F37" s="24">
        <v>4989</v>
      </c>
      <c r="G37" s="35">
        <f t="shared" si="0"/>
        <v>0.63168152139601774</v>
      </c>
      <c r="H37" s="36">
        <v>19.12</v>
      </c>
      <c r="I37" s="24">
        <v>5119.79</v>
      </c>
      <c r="J37" s="35">
        <f t="shared" si="1"/>
        <v>0.73428781565613732</v>
      </c>
      <c r="K37" s="36">
        <v>20</v>
      </c>
      <c r="L37" s="24">
        <v>8007.55</v>
      </c>
      <c r="M37" s="155">
        <f t="shared" si="2"/>
        <v>1.1412243120491261</v>
      </c>
      <c r="N37" s="303" t="s">
        <v>0</v>
      </c>
      <c r="O37" s="145">
        <v>0</v>
      </c>
      <c r="P37" s="145">
        <f t="shared" si="3"/>
        <v>0</v>
      </c>
      <c r="Q37" s="25" t="s">
        <v>0</v>
      </c>
      <c r="R37" s="145">
        <v>0</v>
      </c>
      <c r="S37" s="190">
        <f t="shared" si="4"/>
        <v>0</v>
      </c>
      <c r="T37" s="304" t="s">
        <v>0</v>
      </c>
      <c r="U37" s="145">
        <v>0</v>
      </c>
      <c r="V37" s="153">
        <f t="shared" si="5"/>
        <v>0</v>
      </c>
      <c r="W37" s="303" t="s">
        <v>0</v>
      </c>
      <c r="X37" s="145">
        <v>0</v>
      </c>
      <c r="Y37" s="145">
        <f t="shared" si="6"/>
        <v>0</v>
      </c>
      <c r="Z37" s="305" t="s">
        <v>0</v>
      </c>
      <c r="AA37" s="145">
        <v>0</v>
      </c>
      <c r="AB37" s="190">
        <f t="shared" si="7"/>
        <v>0</v>
      </c>
      <c r="AC37" s="304" t="s">
        <v>0</v>
      </c>
      <c r="AD37" s="304">
        <v>0</v>
      </c>
      <c r="AE37" s="153">
        <f t="shared" si="8"/>
        <v>0</v>
      </c>
    </row>
    <row r="38" spans="2:31">
      <c r="B38" s="253" t="s">
        <v>151</v>
      </c>
      <c r="C38" s="23" t="s">
        <v>152</v>
      </c>
      <c r="D38" s="4" t="s">
        <v>323</v>
      </c>
      <c r="E38" s="237">
        <v>18.09</v>
      </c>
      <c r="F38" s="24">
        <v>15221.03</v>
      </c>
      <c r="G38" s="35">
        <f t="shared" si="0"/>
        <v>1.9272085363027518</v>
      </c>
      <c r="H38" s="36">
        <v>17.510000000000002</v>
      </c>
      <c r="I38" s="24">
        <v>8812.81</v>
      </c>
      <c r="J38" s="35">
        <f t="shared" si="1"/>
        <v>1.2639461783964896</v>
      </c>
      <c r="K38" s="36">
        <v>17.36</v>
      </c>
      <c r="L38" s="24">
        <v>11953.81</v>
      </c>
      <c r="M38" s="155">
        <f t="shared" si="2"/>
        <v>1.7036395144102705</v>
      </c>
      <c r="N38" s="303" t="s">
        <v>0</v>
      </c>
      <c r="O38" s="145">
        <v>0</v>
      </c>
      <c r="P38" s="145">
        <f t="shared" si="3"/>
        <v>0</v>
      </c>
      <c r="Q38" s="25" t="s">
        <v>0</v>
      </c>
      <c r="R38" s="145">
        <v>0</v>
      </c>
      <c r="S38" s="190">
        <f t="shared" si="4"/>
        <v>0</v>
      </c>
      <c r="T38" s="304" t="s">
        <v>0</v>
      </c>
      <c r="U38" s="145">
        <v>0</v>
      </c>
      <c r="V38" s="153">
        <f t="shared" si="5"/>
        <v>0</v>
      </c>
      <c r="W38" s="303" t="s">
        <v>0</v>
      </c>
      <c r="X38" s="145">
        <v>0</v>
      </c>
      <c r="Y38" s="145">
        <f t="shared" si="6"/>
        <v>0</v>
      </c>
      <c r="Z38" s="305" t="s">
        <v>0</v>
      </c>
      <c r="AA38" s="145">
        <v>0</v>
      </c>
      <c r="AB38" s="190">
        <f t="shared" si="7"/>
        <v>0</v>
      </c>
      <c r="AC38" s="304" t="s">
        <v>0</v>
      </c>
      <c r="AD38" s="304">
        <v>0</v>
      </c>
      <c r="AE38" s="153">
        <f t="shared" si="8"/>
        <v>0</v>
      </c>
    </row>
    <row r="39" spans="2:31">
      <c r="B39" s="253" t="s">
        <v>154</v>
      </c>
      <c r="C39" s="23" t="s">
        <v>152</v>
      </c>
      <c r="D39" s="227" t="s">
        <v>324</v>
      </c>
      <c r="E39" s="237">
        <v>19.75</v>
      </c>
      <c r="F39" s="24">
        <v>7792.43</v>
      </c>
      <c r="G39" s="35">
        <f t="shared" si="0"/>
        <v>0.98663740985607751</v>
      </c>
      <c r="H39" s="36">
        <v>19.559999999999999</v>
      </c>
      <c r="I39" s="24">
        <v>10595.45</v>
      </c>
      <c r="J39" s="35">
        <f t="shared" si="1"/>
        <v>1.5196150303808986</v>
      </c>
      <c r="K39" s="36">
        <v>19.09</v>
      </c>
      <c r="L39" s="24">
        <v>7153.25</v>
      </c>
      <c r="M39" s="155">
        <f t="shared" si="2"/>
        <v>1.0194707257732278</v>
      </c>
      <c r="N39" s="303" t="s">
        <v>0</v>
      </c>
      <c r="O39" s="145">
        <v>0</v>
      </c>
      <c r="P39" s="145">
        <f t="shared" si="3"/>
        <v>0</v>
      </c>
      <c r="Q39" s="25" t="s">
        <v>0</v>
      </c>
      <c r="R39" s="145">
        <v>0</v>
      </c>
      <c r="S39" s="190">
        <f t="shared" si="4"/>
        <v>0</v>
      </c>
      <c r="T39" s="304" t="s">
        <v>0</v>
      </c>
      <c r="U39" s="145">
        <v>0</v>
      </c>
      <c r="V39" s="153">
        <f t="shared" si="5"/>
        <v>0</v>
      </c>
      <c r="W39" s="303" t="s">
        <v>0</v>
      </c>
      <c r="X39" s="145">
        <v>0</v>
      </c>
      <c r="Y39" s="145">
        <f t="shared" si="6"/>
        <v>0</v>
      </c>
      <c r="Z39" s="305" t="s">
        <v>0</v>
      </c>
      <c r="AA39" s="145">
        <v>0</v>
      </c>
      <c r="AB39" s="190">
        <f t="shared" si="7"/>
        <v>0</v>
      </c>
      <c r="AC39" s="304" t="s">
        <v>0</v>
      </c>
      <c r="AD39" s="304">
        <v>0</v>
      </c>
      <c r="AE39" s="153">
        <f t="shared" si="8"/>
        <v>0</v>
      </c>
    </row>
    <row r="40" spans="2:31">
      <c r="B40" s="257">
        <v>1073</v>
      </c>
      <c r="C40" s="23" t="s">
        <v>158</v>
      </c>
      <c r="D40" s="3" t="s">
        <v>159</v>
      </c>
      <c r="E40" s="237" t="s">
        <v>0</v>
      </c>
      <c r="F40" s="24">
        <v>0</v>
      </c>
      <c r="G40" s="35">
        <f t="shared" ref="G40:G71" si="9">F40/$F$75*100</f>
        <v>0</v>
      </c>
      <c r="H40" s="36" t="s">
        <v>0</v>
      </c>
      <c r="I40" s="24">
        <v>0</v>
      </c>
      <c r="J40" s="35">
        <f t="shared" ref="J40:J71" si="10">I40/$I$75*100</f>
        <v>0</v>
      </c>
      <c r="K40" s="36" t="s">
        <v>0</v>
      </c>
      <c r="L40" s="24">
        <v>0</v>
      </c>
      <c r="M40" s="155">
        <f t="shared" ref="M40:M71" si="11">L40/$L$75*100</f>
        <v>0</v>
      </c>
      <c r="N40" s="297">
        <v>20.34</v>
      </c>
      <c r="O40" s="142">
        <v>11960.45</v>
      </c>
      <c r="P40" s="142">
        <f t="shared" ref="P40:P71" si="12">O40/$O$75*100</f>
        <v>7.7066299459995617</v>
      </c>
      <c r="Q40" s="299">
        <v>19.22</v>
      </c>
      <c r="R40" s="142">
        <v>14492.47</v>
      </c>
      <c r="S40" s="187">
        <f t="shared" ref="S40:S71" si="13">R40/$R$75*100</f>
        <v>7.1431560438667816</v>
      </c>
      <c r="T40" s="298">
        <v>18.32</v>
      </c>
      <c r="U40" s="142">
        <v>14713.85</v>
      </c>
      <c r="V40" s="143">
        <f t="shared" ref="V40:V71" si="14">U40/$U$75*100</f>
        <v>7.5728847405897692</v>
      </c>
      <c r="W40" s="237" t="s">
        <v>0</v>
      </c>
      <c r="X40" s="22">
        <v>0</v>
      </c>
      <c r="Y40" s="22">
        <f t="shared" ref="Y40:Y71" si="15">X40/$X$75*100</f>
        <v>0</v>
      </c>
      <c r="Z40" s="36" t="s">
        <v>0</v>
      </c>
      <c r="AA40" s="22">
        <v>0</v>
      </c>
      <c r="AB40" s="35">
        <f t="shared" ref="AB40:AB71" si="16">AA40/$AA$75*100</f>
        <v>0</v>
      </c>
      <c r="AC40" s="24" t="s">
        <v>0</v>
      </c>
      <c r="AD40" s="22">
        <v>0</v>
      </c>
      <c r="AE40" s="155">
        <f t="shared" ref="AE40:AE71" si="17">AD40/$AD$75*100</f>
        <v>0</v>
      </c>
    </row>
    <row r="41" spans="2:31">
      <c r="B41" s="258">
        <v>1096</v>
      </c>
      <c r="C41" s="23" t="s">
        <v>325</v>
      </c>
      <c r="D41" s="83" t="s">
        <v>166</v>
      </c>
      <c r="E41" s="237">
        <v>15.2</v>
      </c>
      <c r="F41" s="24">
        <v>3696.86</v>
      </c>
      <c r="G41" s="35">
        <f t="shared" si="9"/>
        <v>0.4680774001178758</v>
      </c>
      <c r="H41" s="36">
        <v>14.87</v>
      </c>
      <c r="I41" s="24">
        <v>3662.72</v>
      </c>
      <c r="J41" s="35">
        <f t="shared" si="10"/>
        <v>0.52531269215339826</v>
      </c>
      <c r="K41" s="36">
        <v>14.73</v>
      </c>
      <c r="L41" s="24">
        <v>3179.35</v>
      </c>
      <c r="M41" s="155">
        <f t="shared" si="11"/>
        <v>0.45311631104562428</v>
      </c>
      <c r="N41" s="303" t="s">
        <v>0</v>
      </c>
      <c r="O41" s="145">
        <v>0</v>
      </c>
      <c r="P41" s="145">
        <f t="shared" si="12"/>
        <v>0</v>
      </c>
      <c r="Q41" s="25" t="s">
        <v>0</v>
      </c>
      <c r="R41" s="145">
        <v>0</v>
      </c>
      <c r="S41" s="190">
        <f t="shared" si="13"/>
        <v>0</v>
      </c>
      <c r="T41" s="304" t="s">
        <v>0</v>
      </c>
      <c r="U41" s="145">
        <v>0</v>
      </c>
      <c r="V41" s="153">
        <f t="shared" si="14"/>
        <v>0</v>
      </c>
      <c r="W41" s="303" t="s">
        <v>0</v>
      </c>
      <c r="X41" s="145">
        <v>0</v>
      </c>
      <c r="Y41" s="145">
        <f t="shared" si="15"/>
        <v>0</v>
      </c>
      <c r="Z41" s="305" t="s">
        <v>0</v>
      </c>
      <c r="AA41" s="145">
        <v>0</v>
      </c>
      <c r="AB41" s="190">
        <f t="shared" si="16"/>
        <v>0</v>
      </c>
      <c r="AC41" s="304" t="s">
        <v>0</v>
      </c>
      <c r="AD41" s="304">
        <v>0</v>
      </c>
      <c r="AE41" s="153">
        <f t="shared" si="17"/>
        <v>0</v>
      </c>
    </row>
    <row r="42" spans="2:31">
      <c r="B42" s="258" t="s">
        <v>326</v>
      </c>
      <c r="C42" s="23" t="s">
        <v>167</v>
      </c>
      <c r="D42" s="14" t="s">
        <v>327</v>
      </c>
      <c r="E42" s="237">
        <v>18.89</v>
      </c>
      <c r="F42" s="24">
        <v>28981.4</v>
      </c>
      <c r="G42" s="35">
        <f t="shared" si="9"/>
        <v>3.6694758156316993</v>
      </c>
      <c r="H42" s="36">
        <v>18.670000000000002</v>
      </c>
      <c r="I42" s="24">
        <v>22886.53</v>
      </c>
      <c r="J42" s="35">
        <f t="shared" si="10"/>
        <v>3.2824198105095439</v>
      </c>
      <c r="K42" s="36">
        <v>18.329999999999998</v>
      </c>
      <c r="L42" s="24">
        <v>26899.01</v>
      </c>
      <c r="M42" s="155">
        <f t="shared" si="11"/>
        <v>3.8336075556259472</v>
      </c>
      <c r="N42" s="303" t="s">
        <v>0</v>
      </c>
      <c r="O42" s="145">
        <v>0</v>
      </c>
      <c r="P42" s="145">
        <f t="shared" si="12"/>
        <v>0</v>
      </c>
      <c r="Q42" s="25" t="s">
        <v>0</v>
      </c>
      <c r="R42" s="145">
        <v>0</v>
      </c>
      <c r="S42" s="190">
        <f t="shared" si="13"/>
        <v>0</v>
      </c>
      <c r="T42" s="304" t="s">
        <v>0</v>
      </c>
      <c r="U42" s="145">
        <v>0</v>
      </c>
      <c r="V42" s="153">
        <f t="shared" si="14"/>
        <v>0</v>
      </c>
      <c r="W42" s="303" t="s">
        <v>0</v>
      </c>
      <c r="X42" s="145">
        <v>0</v>
      </c>
      <c r="Y42" s="145">
        <f t="shared" si="15"/>
        <v>0</v>
      </c>
      <c r="Z42" s="305" t="s">
        <v>0</v>
      </c>
      <c r="AA42" s="145">
        <v>0</v>
      </c>
      <c r="AB42" s="190">
        <f t="shared" si="16"/>
        <v>0</v>
      </c>
      <c r="AC42" s="304" t="s">
        <v>0</v>
      </c>
      <c r="AD42" s="304">
        <v>0</v>
      </c>
      <c r="AE42" s="153">
        <f t="shared" si="17"/>
        <v>0</v>
      </c>
    </row>
    <row r="43" spans="2:31">
      <c r="B43" s="258" t="s">
        <v>328</v>
      </c>
      <c r="C43" s="23" t="s">
        <v>167</v>
      </c>
      <c r="D43" s="14" t="s">
        <v>329</v>
      </c>
      <c r="E43" s="237">
        <v>20.010000000000002</v>
      </c>
      <c r="F43" s="24">
        <v>9915.5499999999993</v>
      </c>
      <c r="G43" s="35">
        <f t="shared" si="9"/>
        <v>1.2554559449746008</v>
      </c>
      <c r="H43" s="36">
        <v>19.760000000000002</v>
      </c>
      <c r="I43" s="24">
        <v>9191.35</v>
      </c>
      <c r="J43" s="35">
        <f t="shared" si="10"/>
        <v>1.3182369422243956</v>
      </c>
      <c r="K43" s="36">
        <v>19.350000000000001</v>
      </c>
      <c r="L43" s="24">
        <v>6809.26</v>
      </c>
      <c r="M43" s="155">
        <f t="shared" si="11"/>
        <v>0.97044577418356814</v>
      </c>
      <c r="N43" s="303" t="s">
        <v>0</v>
      </c>
      <c r="O43" s="145">
        <v>0</v>
      </c>
      <c r="P43" s="145">
        <f t="shared" si="12"/>
        <v>0</v>
      </c>
      <c r="Q43" s="25" t="s">
        <v>0</v>
      </c>
      <c r="R43" s="145">
        <v>0</v>
      </c>
      <c r="S43" s="190">
        <f t="shared" si="13"/>
        <v>0</v>
      </c>
      <c r="T43" s="304" t="s">
        <v>0</v>
      </c>
      <c r="U43" s="145">
        <v>0</v>
      </c>
      <c r="V43" s="153">
        <f t="shared" si="14"/>
        <v>0</v>
      </c>
      <c r="W43" s="303" t="s">
        <v>0</v>
      </c>
      <c r="X43" s="145">
        <v>0</v>
      </c>
      <c r="Y43" s="145">
        <f t="shared" si="15"/>
        <v>0</v>
      </c>
      <c r="Z43" s="305" t="s">
        <v>0</v>
      </c>
      <c r="AA43" s="145">
        <v>0</v>
      </c>
      <c r="AB43" s="190">
        <f t="shared" si="16"/>
        <v>0</v>
      </c>
      <c r="AC43" s="304" t="s">
        <v>0</v>
      </c>
      <c r="AD43" s="304">
        <v>0</v>
      </c>
      <c r="AE43" s="153">
        <f t="shared" si="17"/>
        <v>0</v>
      </c>
    </row>
    <row r="44" spans="2:31">
      <c r="B44" s="258">
        <v>1162</v>
      </c>
      <c r="C44" s="23" t="s">
        <v>330</v>
      </c>
      <c r="D44" s="259" t="s">
        <v>331</v>
      </c>
      <c r="E44" s="237">
        <v>19.940000000000001</v>
      </c>
      <c r="F44" s="24">
        <v>16085.32</v>
      </c>
      <c r="G44" s="35">
        <f t="shared" si="9"/>
        <v>2.0366404910286215</v>
      </c>
      <c r="H44" s="36">
        <v>20.34</v>
      </c>
      <c r="I44" s="24">
        <f>29003.4/2</f>
        <v>14501.7</v>
      </c>
      <c r="J44" s="35">
        <f t="shared" si="10"/>
        <v>2.0798551534927423</v>
      </c>
      <c r="K44" s="36">
        <v>19.29</v>
      </c>
      <c r="L44" s="24">
        <v>17549.46</v>
      </c>
      <c r="M44" s="155">
        <f t="shared" si="11"/>
        <v>2.5011233667393462</v>
      </c>
      <c r="N44" s="303" t="s">
        <v>0</v>
      </c>
      <c r="O44" s="145">
        <v>0</v>
      </c>
      <c r="P44" s="145">
        <f t="shared" si="12"/>
        <v>0</v>
      </c>
      <c r="Q44" s="25" t="s">
        <v>0</v>
      </c>
      <c r="R44" s="145">
        <v>0</v>
      </c>
      <c r="S44" s="190">
        <f t="shared" si="13"/>
        <v>0</v>
      </c>
      <c r="T44" s="304" t="s">
        <v>0</v>
      </c>
      <c r="U44" s="145">
        <v>0</v>
      </c>
      <c r="V44" s="153">
        <f t="shared" si="14"/>
        <v>0</v>
      </c>
      <c r="W44" s="303" t="s">
        <v>0</v>
      </c>
      <c r="X44" s="145">
        <v>0</v>
      </c>
      <c r="Y44" s="145">
        <f t="shared" si="15"/>
        <v>0</v>
      </c>
      <c r="Z44" s="305" t="s">
        <v>0</v>
      </c>
      <c r="AA44" s="145">
        <v>0</v>
      </c>
      <c r="AB44" s="190">
        <f t="shared" si="16"/>
        <v>0</v>
      </c>
      <c r="AC44" s="304" t="s">
        <v>0</v>
      </c>
      <c r="AD44" s="304">
        <v>0</v>
      </c>
      <c r="AE44" s="153">
        <f t="shared" si="17"/>
        <v>0</v>
      </c>
    </row>
    <row r="45" spans="2:31">
      <c r="B45" s="258">
        <v>1258</v>
      </c>
      <c r="C45" s="23" t="s">
        <v>332</v>
      </c>
      <c r="D45" s="14"/>
      <c r="E45" s="237" t="s">
        <v>333</v>
      </c>
      <c r="F45" s="24">
        <v>4769.8</v>
      </c>
      <c r="G45" s="35">
        <f t="shared" si="9"/>
        <v>0.60392754474939381</v>
      </c>
      <c r="H45" s="36">
        <v>17.64</v>
      </c>
      <c r="I45" s="24">
        <v>12497.98</v>
      </c>
      <c r="J45" s="35">
        <f t="shared" si="10"/>
        <v>1.7924786825854362</v>
      </c>
      <c r="K45" s="36" t="s">
        <v>334</v>
      </c>
      <c r="L45" s="24">
        <v>5420</v>
      </c>
      <c r="M45" s="155">
        <f t="shared" si="11"/>
        <v>0.7724504712810113</v>
      </c>
      <c r="N45" s="303" t="s">
        <v>0</v>
      </c>
      <c r="O45" s="145">
        <v>0</v>
      </c>
      <c r="P45" s="145">
        <f t="shared" si="12"/>
        <v>0</v>
      </c>
      <c r="Q45" s="25" t="s">
        <v>0</v>
      </c>
      <c r="R45" s="145">
        <v>0</v>
      </c>
      <c r="S45" s="190">
        <f t="shared" si="13"/>
        <v>0</v>
      </c>
      <c r="T45" s="304" t="s">
        <v>0</v>
      </c>
      <c r="U45" s="145">
        <v>0</v>
      </c>
      <c r="V45" s="153">
        <f t="shared" si="14"/>
        <v>0</v>
      </c>
      <c r="W45" s="303" t="s">
        <v>0</v>
      </c>
      <c r="X45" s="145">
        <v>0</v>
      </c>
      <c r="Y45" s="145">
        <f t="shared" si="15"/>
        <v>0</v>
      </c>
      <c r="Z45" s="305" t="s">
        <v>0</v>
      </c>
      <c r="AA45" s="145">
        <v>0</v>
      </c>
      <c r="AB45" s="190">
        <f t="shared" si="16"/>
        <v>0</v>
      </c>
      <c r="AC45" s="304" t="s">
        <v>0</v>
      </c>
      <c r="AD45" s="304">
        <v>0</v>
      </c>
      <c r="AE45" s="153">
        <f t="shared" si="17"/>
        <v>0</v>
      </c>
    </row>
    <row r="46" spans="2:31">
      <c r="B46" s="253">
        <v>1339</v>
      </c>
      <c r="C46" s="23" t="s">
        <v>193</v>
      </c>
      <c r="D46" s="255"/>
      <c r="E46" s="237">
        <v>17.89</v>
      </c>
      <c r="F46" s="24">
        <v>15210.19</v>
      </c>
      <c r="G46" s="35">
        <f t="shared" si="9"/>
        <v>1.9258360312532565</v>
      </c>
      <c r="H46" s="36">
        <v>17.510000000000002</v>
      </c>
      <c r="I46" s="24">
        <v>14214.26</v>
      </c>
      <c r="J46" s="35">
        <f t="shared" si="10"/>
        <v>2.0386300857200017</v>
      </c>
      <c r="K46" s="36">
        <v>17.23</v>
      </c>
      <c r="L46" s="24">
        <v>15943.32</v>
      </c>
      <c r="M46" s="155">
        <f t="shared" si="11"/>
        <v>2.272218643502578</v>
      </c>
      <c r="N46" s="303" t="s">
        <v>0</v>
      </c>
      <c r="O46" s="145">
        <v>0</v>
      </c>
      <c r="P46" s="145">
        <f t="shared" si="12"/>
        <v>0</v>
      </c>
      <c r="Q46" s="25" t="s">
        <v>0</v>
      </c>
      <c r="R46" s="145">
        <v>0</v>
      </c>
      <c r="S46" s="190">
        <f t="shared" si="13"/>
        <v>0</v>
      </c>
      <c r="T46" s="304" t="s">
        <v>0</v>
      </c>
      <c r="U46" s="145">
        <v>0</v>
      </c>
      <c r="V46" s="153">
        <f t="shared" si="14"/>
        <v>0</v>
      </c>
      <c r="W46" s="303" t="s">
        <v>0</v>
      </c>
      <c r="X46" s="145">
        <v>0</v>
      </c>
      <c r="Y46" s="145">
        <f t="shared" si="15"/>
        <v>0</v>
      </c>
      <c r="Z46" s="305" t="s">
        <v>0</v>
      </c>
      <c r="AA46" s="145">
        <v>0</v>
      </c>
      <c r="AB46" s="190">
        <f t="shared" si="16"/>
        <v>0</v>
      </c>
      <c r="AC46" s="304" t="s">
        <v>0</v>
      </c>
      <c r="AD46" s="304">
        <v>0</v>
      </c>
      <c r="AE46" s="153">
        <f t="shared" si="17"/>
        <v>0</v>
      </c>
    </row>
    <row r="47" spans="2:31">
      <c r="B47" s="253" t="s">
        <v>335</v>
      </c>
      <c r="C47" s="23" t="s">
        <v>336</v>
      </c>
      <c r="D47" s="255"/>
      <c r="E47" s="237">
        <v>17.38</v>
      </c>
      <c r="F47" s="24">
        <v>14353.17</v>
      </c>
      <c r="G47" s="35">
        <f t="shared" si="9"/>
        <v>1.8173245665375186</v>
      </c>
      <c r="H47" s="36">
        <v>17.059999999999999</v>
      </c>
      <c r="I47" s="24">
        <v>11537.95</v>
      </c>
      <c r="J47" s="35">
        <f t="shared" si="10"/>
        <v>1.6547897672853245</v>
      </c>
      <c r="K47" s="36">
        <v>16.850000000000001</v>
      </c>
      <c r="L47" s="24">
        <v>13414.77</v>
      </c>
      <c r="M47" s="155">
        <f t="shared" si="11"/>
        <v>1.91185339642553</v>
      </c>
      <c r="N47" s="303" t="s">
        <v>0</v>
      </c>
      <c r="O47" s="145">
        <v>0</v>
      </c>
      <c r="P47" s="145">
        <f t="shared" si="12"/>
        <v>0</v>
      </c>
      <c r="Q47" s="25" t="s">
        <v>0</v>
      </c>
      <c r="R47" s="145">
        <v>0</v>
      </c>
      <c r="S47" s="190">
        <f t="shared" si="13"/>
        <v>0</v>
      </c>
      <c r="T47" s="304" t="s">
        <v>0</v>
      </c>
      <c r="U47" s="145">
        <v>0</v>
      </c>
      <c r="V47" s="153">
        <f t="shared" si="14"/>
        <v>0</v>
      </c>
      <c r="W47" s="303" t="s">
        <v>0</v>
      </c>
      <c r="X47" s="145">
        <v>0</v>
      </c>
      <c r="Y47" s="145">
        <f t="shared" si="15"/>
        <v>0</v>
      </c>
      <c r="Z47" s="305" t="s">
        <v>0</v>
      </c>
      <c r="AA47" s="145">
        <v>0</v>
      </c>
      <c r="AB47" s="190">
        <f t="shared" si="16"/>
        <v>0</v>
      </c>
      <c r="AC47" s="304" t="s">
        <v>0</v>
      </c>
      <c r="AD47" s="304">
        <v>0</v>
      </c>
      <c r="AE47" s="153">
        <f t="shared" si="17"/>
        <v>0</v>
      </c>
    </row>
    <row r="48" spans="2:31">
      <c r="B48" s="253" t="s">
        <v>337</v>
      </c>
      <c r="C48" s="23" t="s">
        <v>336</v>
      </c>
      <c r="D48" s="255"/>
      <c r="E48" s="237">
        <v>18.79</v>
      </c>
      <c r="F48" s="24">
        <v>10756.8</v>
      </c>
      <c r="G48" s="35">
        <f t="shared" si="9"/>
        <v>1.3619706933960078</v>
      </c>
      <c r="H48" s="36">
        <v>18.47</v>
      </c>
      <c r="I48" s="24">
        <v>8567.2800000000007</v>
      </c>
      <c r="J48" s="35">
        <f t="shared" si="10"/>
        <v>1.2287319044950111</v>
      </c>
      <c r="K48" s="36">
        <v>18.14</v>
      </c>
      <c r="L48" s="24">
        <v>5111.6099999999997</v>
      </c>
      <c r="M48" s="155">
        <f t="shared" si="11"/>
        <v>0.72849917961341881</v>
      </c>
      <c r="N48" s="303" t="s">
        <v>0</v>
      </c>
      <c r="O48" s="145">
        <v>0</v>
      </c>
      <c r="P48" s="145">
        <f t="shared" si="12"/>
        <v>0</v>
      </c>
      <c r="Q48" s="25" t="s">
        <v>0</v>
      </c>
      <c r="R48" s="145">
        <v>0</v>
      </c>
      <c r="S48" s="190">
        <f t="shared" si="13"/>
        <v>0</v>
      </c>
      <c r="T48" s="304" t="s">
        <v>0</v>
      </c>
      <c r="U48" s="145">
        <v>0</v>
      </c>
      <c r="V48" s="153">
        <f t="shared" si="14"/>
        <v>0</v>
      </c>
      <c r="W48" s="303" t="s">
        <v>0</v>
      </c>
      <c r="X48" s="145">
        <v>0</v>
      </c>
      <c r="Y48" s="145">
        <f t="shared" si="15"/>
        <v>0</v>
      </c>
      <c r="Z48" s="305" t="s">
        <v>0</v>
      </c>
      <c r="AA48" s="145">
        <v>0</v>
      </c>
      <c r="AB48" s="190">
        <f t="shared" si="16"/>
        <v>0</v>
      </c>
      <c r="AC48" s="304" t="s">
        <v>0</v>
      </c>
      <c r="AD48" s="304">
        <v>0</v>
      </c>
      <c r="AE48" s="153">
        <f t="shared" si="17"/>
        <v>0</v>
      </c>
    </row>
    <row r="49" spans="2:31">
      <c r="B49" s="253" t="s">
        <v>338</v>
      </c>
      <c r="C49" s="23" t="s">
        <v>336</v>
      </c>
      <c r="D49" s="255"/>
      <c r="E49" s="237">
        <v>19.75</v>
      </c>
      <c r="F49" s="24">
        <v>2956.05</v>
      </c>
      <c r="G49" s="35">
        <f t="shared" si="9"/>
        <v>0.37427984792998564</v>
      </c>
      <c r="H49" s="36">
        <v>19.5</v>
      </c>
      <c r="I49" s="24">
        <v>5865.88</v>
      </c>
      <c r="J49" s="35">
        <f t="shared" si="10"/>
        <v>0.84129314133998134</v>
      </c>
      <c r="K49" s="36" t="s">
        <v>339</v>
      </c>
      <c r="L49" s="24">
        <v>4441.6000000000004</v>
      </c>
      <c r="M49" s="155">
        <f t="shared" si="11"/>
        <v>0.63301033454644651</v>
      </c>
      <c r="N49" s="303" t="s">
        <v>0</v>
      </c>
      <c r="O49" s="145">
        <v>0</v>
      </c>
      <c r="P49" s="145">
        <f t="shared" si="12"/>
        <v>0</v>
      </c>
      <c r="Q49" s="25" t="s">
        <v>0</v>
      </c>
      <c r="R49" s="145">
        <v>0</v>
      </c>
      <c r="S49" s="190">
        <f t="shared" si="13"/>
        <v>0</v>
      </c>
      <c r="T49" s="304" t="s">
        <v>0</v>
      </c>
      <c r="U49" s="145">
        <v>0</v>
      </c>
      <c r="V49" s="153">
        <f t="shared" si="14"/>
        <v>0</v>
      </c>
      <c r="W49" s="303" t="s">
        <v>0</v>
      </c>
      <c r="X49" s="145">
        <v>0</v>
      </c>
      <c r="Y49" s="145">
        <f t="shared" si="15"/>
        <v>0</v>
      </c>
      <c r="Z49" s="305" t="s">
        <v>0</v>
      </c>
      <c r="AA49" s="145">
        <v>0</v>
      </c>
      <c r="AB49" s="190">
        <f t="shared" si="16"/>
        <v>0</v>
      </c>
      <c r="AC49" s="304" t="s">
        <v>0</v>
      </c>
      <c r="AD49" s="304">
        <v>0</v>
      </c>
      <c r="AE49" s="153">
        <f t="shared" si="17"/>
        <v>0</v>
      </c>
    </row>
    <row r="50" spans="2:31">
      <c r="B50" s="253">
        <v>1428</v>
      </c>
      <c r="C50" s="23" t="s">
        <v>210</v>
      </c>
      <c r="D50" s="4" t="s">
        <v>211</v>
      </c>
      <c r="E50" s="237">
        <v>15.51</v>
      </c>
      <c r="F50" s="24">
        <v>7321.77</v>
      </c>
      <c r="G50" s="35">
        <f t="shared" si="9"/>
        <v>0.92704486127715402</v>
      </c>
      <c r="H50" s="36">
        <v>15.13</v>
      </c>
      <c r="I50" s="24">
        <v>9453.1200000000008</v>
      </c>
      <c r="J50" s="35">
        <f t="shared" si="10"/>
        <v>1.3557803808233042</v>
      </c>
      <c r="K50" s="36">
        <v>14.98</v>
      </c>
      <c r="L50" s="24">
        <v>7788.26</v>
      </c>
      <c r="M50" s="155">
        <f t="shared" si="11"/>
        <v>1.1099714220404149</v>
      </c>
      <c r="N50" s="303" t="s">
        <v>0</v>
      </c>
      <c r="O50" s="145">
        <v>0</v>
      </c>
      <c r="P50" s="145">
        <f t="shared" si="12"/>
        <v>0</v>
      </c>
      <c r="Q50" s="25" t="s">
        <v>0</v>
      </c>
      <c r="R50" s="145">
        <v>0</v>
      </c>
      <c r="S50" s="190">
        <f t="shared" si="13"/>
        <v>0</v>
      </c>
      <c r="T50" s="304" t="s">
        <v>0</v>
      </c>
      <c r="U50" s="145">
        <v>0</v>
      </c>
      <c r="V50" s="153">
        <f t="shared" si="14"/>
        <v>0</v>
      </c>
      <c r="W50" s="303" t="s">
        <v>0</v>
      </c>
      <c r="X50" s="145">
        <v>0</v>
      </c>
      <c r="Y50" s="145">
        <f t="shared" si="15"/>
        <v>0</v>
      </c>
      <c r="Z50" s="305" t="s">
        <v>0</v>
      </c>
      <c r="AA50" s="145">
        <v>0</v>
      </c>
      <c r="AB50" s="190">
        <f t="shared" si="16"/>
        <v>0</v>
      </c>
      <c r="AC50" s="304" t="s">
        <v>0</v>
      </c>
      <c r="AD50" s="304">
        <v>0</v>
      </c>
      <c r="AE50" s="153">
        <f t="shared" si="17"/>
        <v>0</v>
      </c>
    </row>
    <row r="51" spans="2:31">
      <c r="B51" s="253">
        <v>1461</v>
      </c>
      <c r="C51" s="23" t="s">
        <v>340</v>
      </c>
      <c r="D51" s="4" t="s">
        <v>341</v>
      </c>
      <c r="E51" s="237">
        <v>17.829999999999998</v>
      </c>
      <c r="F51" s="24">
        <v>8017.5</v>
      </c>
      <c r="G51" s="35">
        <f t="shared" si="9"/>
        <v>1.0151346157130834</v>
      </c>
      <c r="H51" s="36">
        <v>17.510000000000002</v>
      </c>
      <c r="I51" s="24">
        <v>6198.33</v>
      </c>
      <c r="J51" s="35">
        <f t="shared" si="10"/>
        <v>0.88897360954568561</v>
      </c>
      <c r="K51" s="36" t="s">
        <v>342</v>
      </c>
      <c r="L51" s="24">
        <v>7698.3</v>
      </c>
      <c r="M51" s="155">
        <f t="shared" si="11"/>
        <v>1.0971504544395958</v>
      </c>
      <c r="N51" s="303" t="s">
        <v>0</v>
      </c>
      <c r="O51" s="145">
        <v>0</v>
      </c>
      <c r="P51" s="145">
        <f t="shared" si="12"/>
        <v>0</v>
      </c>
      <c r="Q51" s="25" t="s">
        <v>0</v>
      </c>
      <c r="R51" s="145">
        <v>0</v>
      </c>
      <c r="S51" s="190">
        <f t="shared" si="13"/>
        <v>0</v>
      </c>
      <c r="T51" s="304" t="s">
        <v>0</v>
      </c>
      <c r="U51" s="145">
        <v>0</v>
      </c>
      <c r="V51" s="153">
        <f t="shared" si="14"/>
        <v>0</v>
      </c>
      <c r="W51" s="303" t="s">
        <v>0</v>
      </c>
      <c r="X51" s="145">
        <v>0</v>
      </c>
      <c r="Y51" s="145">
        <f t="shared" si="15"/>
        <v>0</v>
      </c>
      <c r="Z51" s="305" t="s">
        <v>0</v>
      </c>
      <c r="AA51" s="145">
        <v>0</v>
      </c>
      <c r="AB51" s="190">
        <f t="shared" si="16"/>
        <v>0</v>
      </c>
      <c r="AC51" s="304" t="s">
        <v>0</v>
      </c>
      <c r="AD51" s="304">
        <v>0</v>
      </c>
      <c r="AE51" s="153">
        <f t="shared" si="17"/>
        <v>0</v>
      </c>
    </row>
    <row r="52" spans="2:31">
      <c r="B52" s="253">
        <v>1477</v>
      </c>
      <c r="C52" s="23" t="s">
        <v>215</v>
      </c>
      <c r="D52" s="4" t="s">
        <v>343</v>
      </c>
      <c r="E52" s="237">
        <v>19.940000000000001</v>
      </c>
      <c r="F52" s="24">
        <v>7908.44</v>
      </c>
      <c r="G52" s="35">
        <f t="shared" si="9"/>
        <v>1.0013259994125321</v>
      </c>
      <c r="H52" s="36" t="s">
        <v>344</v>
      </c>
      <c r="I52" s="24">
        <v>7434.2</v>
      </c>
      <c r="J52" s="35">
        <f t="shared" si="10"/>
        <v>1.0662239035489456</v>
      </c>
      <c r="K52" s="36" t="s">
        <v>339</v>
      </c>
      <c r="L52" s="24">
        <v>6499.1</v>
      </c>
      <c r="M52" s="155">
        <f t="shared" si="11"/>
        <v>0.92624222470524364</v>
      </c>
      <c r="N52" s="303" t="s">
        <v>0</v>
      </c>
      <c r="O52" s="145">
        <v>0</v>
      </c>
      <c r="P52" s="145">
        <f t="shared" si="12"/>
        <v>0</v>
      </c>
      <c r="Q52" s="25" t="s">
        <v>0</v>
      </c>
      <c r="R52" s="145">
        <v>0</v>
      </c>
      <c r="S52" s="190">
        <f t="shared" si="13"/>
        <v>0</v>
      </c>
      <c r="T52" s="304" t="s">
        <v>0</v>
      </c>
      <c r="U52" s="145">
        <v>0</v>
      </c>
      <c r="V52" s="153">
        <f t="shared" si="14"/>
        <v>0</v>
      </c>
      <c r="W52" s="303" t="s">
        <v>0</v>
      </c>
      <c r="X52" s="145">
        <v>0</v>
      </c>
      <c r="Y52" s="145">
        <f t="shared" si="15"/>
        <v>0</v>
      </c>
      <c r="Z52" s="305" t="s">
        <v>0</v>
      </c>
      <c r="AA52" s="145">
        <v>0</v>
      </c>
      <c r="AB52" s="190">
        <f t="shared" si="16"/>
        <v>0</v>
      </c>
      <c r="AC52" s="304" t="s">
        <v>0</v>
      </c>
      <c r="AD52" s="304">
        <v>0</v>
      </c>
      <c r="AE52" s="153">
        <f t="shared" si="17"/>
        <v>0</v>
      </c>
    </row>
    <row r="53" spans="2:31">
      <c r="B53" s="253">
        <v>1485</v>
      </c>
      <c r="C53" s="23" t="s">
        <v>216</v>
      </c>
      <c r="D53" s="4" t="s">
        <v>217</v>
      </c>
      <c r="E53" s="237">
        <v>15.13</v>
      </c>
      <c r="F53" s="24">
        <v>15877.15</v>
      </c>
      <c r="G53" s="35">
        <f t="shared" si="9"/>
        <v>2.0102830762543165</v>
      </c>
      <c r="H53" s="36">
        <v>14.81</v>
      </c>
      <c r="I53" s="24">
        <v>17318.8</v>
      </c>
      <c r="J53" s="35">
        <f t="shared" si="10"/>
        <v>2.4838877809022462</v>
      </c>
      <c r="K53" s="36">
        <v>14.73</v>
      </c>
      <c r="L53" s="24">
        <v>16837.599999999999</v>
      </c>
      <c r="M53" s="155">
        <f t="shared" si="11"/>
        <v>2.3996701208932021</v>
      </c>
      <c r="N53" s="303" t="s">
        <v>0</v>
      </c>
      <c r="O53" s="145">
        <v>0</v>
      </c>
      <c r="P53" s="145">
        <f t="shared" si="12"/>
        <v>0</v>
      </c>
      <c r="Q53" s="25" t="s">
        <v>0</v>
      </c>
      <c r="R53" s="145">
        <v>0</v>
      </c>
      <c r="S53" s="190">
        <f t="shared" si="13"/>
        <v>0</v>
      </c>
      <c r="T53" s="304" t="s">
        <v>0</v>
      </c>
      <c r="U53" s="145">
        <v>0</v>
      </c>
      <c r="V53" s="153">
        <f t="shared" si="14"/>
        <v>0</v>
      </c>
      <c r="W53" s="303" t="s">
        <v>0</v>
      </c>
      <c r="X53" s="145">
        <v>0</v>
      </c>
      <c r="Y53" s="145">
        <f t="shared" si="15"/>
        <v>0</v>
      </c>
      <c r="Z53" s="305" t="s">
        <v>0</v>
      </c>
      <c r="AA53" s="145">
        <v>0</v>
      </c>
      <c r="AB53" s="190">
        <f t="shared" si="16"/>
        <v>0</v>
      </c>
      <c r="AC53" s="304" t="s">
        <v>0</v>
      </c>
      <c r="AD53" s="304">
        <v>0</v>
      </c>
      <c r="AE53" s="153">
        <f t="shared" si="17"/>
        <v>0</v>
      </c>
    </row>
    <row r="54" spans="2:31">
      <c r="B54" s="253">
        <v>1501</v>
      </c>
      <c r="C54" s="23" t="s">
        <v>345</v>
      </c>
      <c r="D54" s="4" t="s">
        <v>346</v>
      </c>
      <c r="E54" s="237">
        <v>19.62</v>
      </c>
      <c r="F54" s="24">
        <v>5536.95</v>
      </c>
      <c r="G54" s="35">
        <f t="shared" si="9"/>
        <v>0.70106013226972952</v>
      </c>
      <c r="H54" s="36">
        <v>19.37</v>
      </c>
      <c r="I54" s="24">
        <v>6673.06</v>
      </c>
      <c r="J54" s="35">
        <f t="shared" si="10"/>
        <v>0.95706008471877646</v>
      </c>
      <c r="K54" s="36">
        <v>18.899999999999999</v>
      </c>
      <c r="L54" s="24">
        <v>10198.41</v>
      </c>
      <c r="M54" s="155">
        <f t="shared" si="11"/>
        <v>1.4534624743204758</v>
      </c>
      <c r="N54" s="303" t="s">
        <v>0</v>
      </c>
      <c r="O54" s="145">
        <v>0</v>
      </c>
      <c r="P54" s="145">
        <f t="shared" si="12"/>
        <v>0</v>
      </c>
      <c r="Q54" s="25" t="s">
        <v>0</v>
      </c>
      <c r="R54" s="145">
        <v>0</v>
      </c>
      <c r="S54" s="190">
        <f t="shared" si="13"/>
        <v>0</v>
      </c>
      <c r="T54" s="304" t="s">
        <v>0</v>
      </c>
      <c r="U54" s="145">
        <v>0</v>
      </c>
      <c r="V54" s="153">
        <f t="shared" si="14"/>
        <v>0</v>
      </c>
      <c r="W54" s="303" t="s">
        <v>0</v>
      </c>
      <c r="X54" s="145">
        <v>0</v>
      </c>
      <c r="Y54" s="145">
        <f t="shared" si="15"/>
        <v>0</v>
      </c>
      <c r="Z54" s="305" t="s">
        <v>0</v>
      </c>
      <c r="AA54" s="145">
        <v>0</v>
      </c>
      <c r="AB54" s="190">
        <f t="shared" si="16"/>
        <v>0</v>
      </c>
      <c r="AC54" s="304" t="s">
        <v>0</v>
      </c>
      <c r="AD54" s="304">
        <v>0</v>
      </c>
      <c r="AE54" s="153">
        <f t="shared" si="17"/>
        <v>0</v>
      </c>
    </row>
    <row r="55" spans="2:31">
      <c r="B55" s="253">
        <v>1550</v>
      </c>
      <c r="C55" s="23" t="s">
        <v>347</v>
      </c>
      <c r="E55" s="237">
        <v>14.82</v>
      </c>
      <c r="F55" s="24">
        <v>6939.68</v>
      </c>
      <c r="G55" s="35">
        <f t="shared" si="9"/>
        <v>0.87866659057957852</v>
      </c>
      <c r="H55" s="36">
        <v>14.5</v>
      </c>
      <c r="I55" s="24">
        <v>6284.76</v>
      </c>
      <c r="J55" s="35">
        <f t="shared" si="10"/>
        <v>0.90136952732886821</v>
      </c>
      <c r="K55" s="36">
        <v>14.79</v>
      </c>
      <c r="L55" s="24">
        <v>1839.95</v>
      </c>
      <c r="M55" s="155">
        <f t="shared" si="11"/>
        <v>0.26222698240470421</v>
      </c>
      <c r="N55" s="303" t="s">
        <v>0</v>
      </c>
      <c r="O55" s="145">
        <v>0</v>
      </c>
      <c r="P55" s="145">
        <f t="shared" si="12"/>
        <v>0</v>
      </c>
      <c r="Q55" s="25" t="s">
        <v>0</v>
      </c>
      <c r="R55" s="145">
        <v>0</v>
      </c>
      <c r="S55" s="190">
        <f t="shared" si="13"/>
        <v>0</v>
      </c>
      <c r="T55" s="304" t="s">
        <v>0</v>
      </c>
      <c r="U55" s="145">
        <v>0</v>
      </c>
      <c r="V55" s="153">
        <f t="shared" si="14"/>
        <v>0</v>
      </c>
      <c r="W55" s="303" t="s">
        <v>0</v>
      </c>
      <c r="X55" s="145">
        <v>0</v>
      </c>
      <c r="Y55" s="145">
        <f t="shared" si="15"/>
        <v>0</v>
      </c>
      <c r="Z55" s="305" t="s">
        <v>0</v>
      </c>
      <c r="AA55" s="145">
        <v>0</v>
      </c>
      <c r="AB55" s="190">
        <f t="shared" si="16"/>
        <v>0</v>
      </c>
      <c r="AC55" s="304" t="s">
        <v>0</v>
      </c>
      <c r="AD55" s="304">
        <v>0</v>
      </c>
      <c r="AE55" s="153">
        <f t="shared" si="17"/>
        <v>0</v>
      </c>
    </row>
    <row r="56" spans="2:31">
      <c r="B56" s="253">
        <v>1581</v>
      </c>
      <c r="C56" s="23" t="s">
        <v>348</v>
      </c>
      <c r="E56" s="237">
        <v>20.010000000000002</v>
      </c>
      <c r="F56" s="24">
        <v>13605.02</v>
      </c>
      <c r="G56" s="35">
        <f t="shared" si="9"/>
        <v>1.7225976612995089</v>
      </c>
      <c r="H56" s="36">
        <v>19.82</v>
      </c>
      <c r="I56" s="24">
        <v>10182.17</v>
      </c>
      <c r="J56" s="35">
        <f t="shared" si="10"/>
        <v>1.4603418046325047</v>
      </c>
      <c r="K56" s="36">
        <v>19.29</v>
      </c>
      <c r="L56" s="24">
        <v>7403.19</v>
      </c>
      <c r="M56" s="155">
        <f t="shared" si="11"/>
        <v>1.0550918089451788</v>
      </c>
      <c r="N56" s="303" t="s">
        <v>0</v>
      </c>
      <c r="O56" s="145">
        <v>0</v>
      </c>
      <c r="P56" s="145">
        <f t="shared" si="12"/>
        <v>0</v>
      </c>
      <c r="Q56" s="25" t="s">
        <v>0</v>
      </c>
      <c r="R56" s="145">
        <v>0</v>
      </c>
      <c r="S56" s="190">
        <f t="shared" si="13"/>
        <v>0</v>
      </c>
      <c r="T56" s="304" t="s">
        <v>0</v>
      </c>
      <c r="U56" s="145">
        <v>0</v>
      </c>
      <c r="V56" s="153">
        <f t="shared" si="14"/>
        <v>0</v>
      </c>
      <c r="W56" s="303" t="s">
        <v>0</v>
      </c>
      <c r="X56" s="145">
        <v>0</v>
      </c>
      <c r="Y56" s="145">
        <f t="shared" si="15"/>
        <v>0</v>
      </c>
      <c r="Z56" s="305" t="s">
        <v>0</v>
      </c>
      <c r="AA56" s="145">
        <v>0</v>
      </c>
      <c r="AB56" s="190">
        <f t="shared" si="16"/>
        <v>0</v>
      </c>
      <c r="AC56" s="304" t="s">
        <v>0</v>
      </c>
      <c r="AD56" s="304">
        <v>0</v>
      </c>
      <c r="AE56" s="153">
        <f t="shared" si="17"/>
        <v>0</v>
      </c>
    </row>
    <row r="57" spans="2:31">
      <c r="B57" s="253">
        <v>1623</v>
      </c>
      <c r="C57" s="23" t="s">
        <v>349</v>
      </c>
      <c r="D57" s="4" t="s">
        <v>350</v>
      </c>
      <c r="E57" s="237">
        <v>19.62</v>
      </c>
      <c r="F57" s="24">
        <v>13648.9</v>
      </c>
      <c r="G57" s="35">
        <f t="shared" si="9"/>
        <v>1.7281535212231123</v>
      </c>
      <c r="H57" s="36" t="s">
        <v>351</v>
      </c>
      <c r="I57" s="24">
        <v>14915</v>
      </c>
      <c r="J57" s="35">
        <f t="shared" si="10"/>
        <v>2.1391312476705662</v>
      </c>
      <c r="K57" s="36">
        <v>18.84</v>
      </c>
      <c r="L57" s="24">
        <v>12265.16</v>
      </c>
      <c r="M57" s="155">
        <f t="shared" si="11"/>
        <v>1.7480126609477877</v>
      </c>
      <c r="N57" s="303" t="s">
        <v>0</v>
      </c>
      <c r="O57" s="145">
        <v>0</v>
      </c>
      <c r="P57" s="145">
        <f t="shared" si="12"/>
        <v>0</v>
      </c>
      <c r="Q57" s="25" t="s">
        <v>0</v>
      </c>
      <c r="R57" s="145">
        <v>0</v>
      </c>
      <c r="S57" s="190">
        <f t="shared" si="13"/>
        <v>0</v>
      </c>
      <c r="T57" s="304" t="s">
        <v>0</v>
      </c>
      <c r="U57" s="145">
        <v>0</v>
      </c>
      <c r="V57" s="153">
        <f t="shared" si="14"/>
        <v>0</v>
      </c>
      <c r="W57" s="303" t="s">
        <v>0</v>
      </c>
      <c r="X57" s="145">
        <v>0</v>
      </c>
      <c r="Y57" s="145">
        <f t="shared" si="15"/>
        <v>0</v>
      </c>
      <c r="Z57" s="305" t="s">
        <v>0</v>
      </c>
      <c r="AA57" s="145">
        <v>0</v>
      </c>
      <c r="AB57" s="190">
        <f t="shared" si="16"/>
        <v>0</v>
      </c>
      <c r="AC57" s="304" t="s">
        <v>0</v>
      </c>
      <c r="AD57" s="304">
        <v>0</v>
      </c>
      <c r="AE57" s="153">
        <f t="shared" si="17"/>
        <v>0</v>
      </c>
    </row>
    <row r="58" spans="2:31">
      <c r="B58" s="253">
        <v>1631</v>
      </c>
      <c r="C58" s="23" t="s">
        <v>352</v>
      </c>
      <c r="E58" s="237">
        <v>15.13</v>
      </c>
      <c r="F58" s="24">
        <v>16110.62</v>
      </c>
      <c r="G58" s="35">
        <f t="shared" si="9"/>
        <v>2.0398438469098239</v>
      </c>
      <c r="H58" s="36">
        <v>14.81</v>
      </c>
      <c r="I58" s="24">
        <v>13165.27</v>
      </c>
      <c r="J58" s="35">
        <f t="shared" si="10"/>
        <v>1.8881823963137696</v>
      </c>
      <c r="K58" s="36">
        <v>14.6</v>
      </c>
      <c r="L58" s="24">
        <v>11230.62</v>
      </c>
      <c r="M58" s="155">
        <f t="shared" si="11"/>
        <v>1.6005715335383677</v>
      </c>
      <c r="N58" s="303" t="s">
        <v>0</v>
      </c>
      <c r="O58" s="145">
        <v>0</v>
      </c>
      <c r="P58" s="145">
        <f t="shared" si="12"/>
        <v>0</v>
      </c>
      <c r="Q58" s="25" t="s">
        <v>0</v>
      </c>
      <c r="R58" s="145">
        <v>0</v>
      </c>
      <c r="S58" s="190">
        <f t="shared" si="13"/>
        <v>0</v>
      </c>
      <c r="T58" s="304" t="s">
        <v>0</v>
      </c>
      <c r="U58" s="145">
        <v>0</v>
      </c>
      <c r="V58" s="153">
        <f t="shared" si="14"/>
        <v>0</v>
      </c>
      <c r="W58" s="303" t="s">
        <v>0</v>
      </c>
      <c r="X58" s="145">
        <v>0</v>
      </c>
      <c r="Y58" s="145">
        <f t="shared" si="15"/>
        <v>0</v>
      </c>
      <c r="Z58" s="305" t="s">
        <v>0</v>
      </c>
      <c r="AA58" s="145">
        <v>0</v>
      </c>
      <c r="AB58" s="190">
        <f t="shared" si="16"/>
        <v>0</v>
      </c>
      <c r="AC58" s="304" t="s">
        <v>0</v>
      </c>
      <c r="AD58" s="304">
        <v>0</v>
      </c>
      <c r="AE58" s="153">
        <f t="shared" si="17"/>
        <v>0</v>
      </c>
    </row>
    <row r="59" spans="2:31">
      <c r="B59" s="253">
        <v>1654</v>
      </c>
      <c r="C59" s="23" t="s">
        <v>353</v>
      </c>
      <c r="E59" s="237">
        <v>17.510000000000002</v>
      </c>
      <c r="F59" s="24">
        <v>11451.24</v>
      </c>
      <c r="G59" s="35">
        <f t="shared" si="9"/>
        <v>1.449897114666453</v>
      </c>
      <c r="H59" s="36">
        <v>17.190000000000001</v>
      </c>
      <c r="I59" s="24">
        <v>10168.69</v>
      </c>
      <c r="J59" s="35">
        <f t="shared" si="10"/>
        <v>1.4584084831964608</v>
      </c>
      <c r="K59" s="36">
        <v>17.04</v>
      </c>
      <c r="L59" s="24">
        <v>11400.27</v>
      </c>
      <c r="M59" s="155">
        <f t="shared" si="11"/>
        <v>1.6247498033636116</v>
      </c>
      <c r="N59" s="303" t="s">
        <v>0</v>
      </c>
      <c r="O59" s="145">
        <v>0</v>
      </c>
      <c r="P59" s="145">
        <f t="shared" si="12"/>
        <v>0</v>
      </c>
      <c r="Q59" s="25" t="s">
        <v>0</v>
      </c>
      <c r="R59" s="145">
        <v>0</v>
      </c>
      <c r="S59" s="190">
        <f t="shared" si="13"/>
        <v>0</v>
      </c>
      <c r="T59" s="304" t="s">
        <v>0</v>
      </c>
      <c r="U59" s="145">
        <v>0</v>
      </c>
      <c r="V59" s="153">
        <f t="shared" si="14"/>
        <v>0</v>
      </c>
      <c r="W59" s="303" t="s">
        <v>0</v>
      </c>
      <c r="X59" s="145">
        <v>0</v>
      </c>
      <c r="Y59" s="145">
        <f t="shared" si="15"/>
        <v>0</v>
      </c>
      <c r="Z59" s="305" t="s">
        <v>0</v>
      </c>
      <c r="AA59" s="145">
        <v>0</v>
      </c>
      <c r="AB59" s="190">
        <f t="shared" si="16"/>
        <v>0</v>
      </c>
      <c r="AC59" s="304" t="s">
        <v>0</v>
      </c>
      <c r="AD59" s="304">
        <v>0</v>
      </c>
      <c r="AE59" s="153">
        <f t="shared" si="17"/>
        <v>0</v>
      </c>
    </row>
    <row r="60" spans="2:31">
      <c r="B60" s="253">
        <v>1784</v>
      </c>
      <c r="C60" s="23" t="s">
        <v>354</v>
      </c>
      <c r="E60" s="237">
        <v>20.010000000000002</v>
      </c>
      <c r="F60" s="24">
        <v>17570.63</v>
      </c>
      <c r="G60" s="35">
        <f t="shared" si="9"/>
        <v>2.224702804226601</v>
      </c>
      <c r="H60" s="36">
        <v>20.34</v>
      </c>
      <c r="I60" s="24">
        <v>11155.85</v>
      </c>
      <c r="J60" s="35">
        <f t="shared" si="10"/>
        <v>1.5999884230188191</v>
      </c>
      <c r="K60" s="36">
        <v>19.54</v>
      </c>
      <c r="L60" s="24">
        <v>14654.92</v>
      </c>
      <c r="M60" s="155">
        <f t="shared" si="11"/>
        <v>2.0885977602556305</v>
      </c>
      <c r="N60" s="303" t="s">
        <v>0</v>
      </c>
      <c r="O60" s="145">
        <v>0</v>
      </c>
      <c r="P60" s="145">
        <f t="shared" si="12"/>
        <v>0</v>
      </c>
      <c r="Q60" s="25" t="s">
        <v>0</v>
      </c>
      <c r="R60" s="145">
        <v>0</v>
      </c>
      <c r="S60" s="190">
        <f t="shared" si="13"/>
        <v>0</v>
      </c>
      <c r="T60" s="304" t="s">
        <v>0</v>
      </c>
      <c r="U60" s="145">
        <v>0</v>
      </c>
      <c r="V60" s="153">
        <f t="shared" si="14"/>
        <v>0</v>
      </c>
      <c r="W60" s="303" t="s">
        <v>0</v>
      </c>
      <c r="X60" s="145">
        <v>0</v>
      </c>
      <c r="Y60" s="145">
        <f t="shared" si="15"/>
        <v>0</v>
      </c>
      <c r="Z60" s="305" t="s">
        <v>0</v>
      </c>
      <c r="AA60" s="145">
        <v>0</v>
      </c>
      <c r="AB60" s="190">
        <f t="shared" si="16"/>
        <v>0</v>
      </c>
      <c r="AC60" s="304" t="s">
        <v>0</v>
      </c>
      <c r="AD60" s="304">
        <v>0</v>
      </c>
      <c r="AE60" s="153">
        <f t="shared" si="17"/>
        <v>0</v>
      </c>
    </row>
    <row r="61" spans="2:31">
      <c r="B61" s="253">
        <v>1793</v>
      </c>
      <c r="C61" s="23" t="s">
        <v>355</v>
      </c>
      <c r="E61" s="237">
        <v>15.96</v>
      </c>
      <c r="F61" s="24">
        <v>11468.86</v>
      </c>
      <c r="G61" s="35">
        <f t="shared" si="9"/>
        <v>1.4521280684461682</v>
      </c>
      <c r="H61" s="36">
        <v>15.64</v>
      </c>
      <c r="I61" s="24">
        <v>9588.7999999999993</v>
      </c>
      <c r="J61" s="35">
        <f t="shared" si="10"/>
        <v>1.3752398060786808</v>
      </c>
      <c r="K61" s="36" t="s">
        <v>356</v>
      </c>
      <c r="L61" s="24">
        <v>8452.2000000000007</v>
      </c>
      <c r="M61" s="155">
        <f t="shared" si="11"/>
        <v>1.2045951795869676</v>
      </c>
      <c r="N61" s="303" t="s">
        <v>0</v>
      </c>
      <c r="O61" s="145">
        <v>0</v>
      </c>
      <c r="P61" s="145">
        <f t="shared" si="12"/>
        <v>0</v>
      </c>
      <c r="Q61" s="25" t="s">
        <v>0</v>
      </c>
      <c r="R61" s="145">
        <v>0</v>
      </c>
      <c r="S61" s="190">
        <f t="shared" si="13"/>
        <v>0</v>
      </c>
      <c r="T61" s="304" t="s">
        <v>0</v>
      </c>
      <c r="U61" s="145">
        <v>0</v>
      </c>
      <c r="V61" s="153">
        <f t="shared" si="14"/>
        <v>0</v>
      </c>
      <c r="W61" s="303" t="s">
        <v>0</v>
      </c>
      <c r="X61" s="145">
        <v>0</v>
      </c>
      <c r="Y61" s="145">
        <f t="shared" si="15"/>
        <v>0</v>
      </c>
      <c r="Z61" s="305" t="s">
        <v>0</v>
      </c>
      <c r="AA61" s="145">
        <v>0</v>
      </c>
      <c r="AB61" s="190">
        <f t="shared" si="16"/>
        <v>0</v>
      </c>
      <c r="AC61" s="304" t="s">
        <v>0</v>
      </c>
      <c r="AD61" s="304">
        <v>0</v>
      </c>
      <c r="AE61" s="153">
        <f t="shared" si="17"/>
        <v>0</v>
      </c>
    </row>
    <row r="62" spans="2:31">
      <c r="B62" s="253">
        <v>1834</v>
      </c>
      <c r="C62" s="23" t="s">
        <v>357</v>
      </c>
      <c r="D62" s="4" t="s">
        <v>358</v>
      </c>
      <c r="E62" s="237">
        <v>16.48</v>
      </c>
      <c r="F62" s="24">
        <v>50352.58</v>
      </c>
      <c r="G62" s="35">
        <f t="shared" si="9"/>
        <v>6.3753847144948281</v>
      </c>
      <c r="H62" s="36">
        <v>16.03</v>
      </c>
      <c r="I62" s="24">
        <v>47659.18</v>
      </c>
      <c r="J62" s="35">
        <f t="shared" si="10"/>
        <v>6.8353497268760375</v>
      </c>
      <c r="K62" s="36">
        <v>15.89</v>
      </c>
      <c r="L62" s="24">
        <v>47097.64</v>
      </c>
      <c r="M62" s="155">
        <f t="shared" si="11"/>
        <v>6.7122867553917738</v>
      </c>
      <c r="N62" s="303" t="s">
        <v>0</v>
      </c>
      <c r="O62" s="145">
        <v>0</v>
      </c>
      <c r="P62" s="145">
        <f t="shared" si="12"/>
        <v>0</v>
      </c>
      <c r="Q62" s="25" t="s">
        <v>0</v>
      </c>
      <c r="R62" s="145">
        <v>0</v>
      </c>
      <c r="S62" s="190">
        <f t="shared" si="13"/>
        <v>0</v>
      </c>
      <c r="T62" s="304" t="s">
        <v>0</v>
      </c>
      <c r="U62" s="145">
        <v>0</v>
      </c>
      <c r="V62" s="153">
        <f t="shared" si="14"/>
        <v>0</v>
      </c>
      <c r="W62" s="303" t="s">
        <v>0</v>
      </c>
      <c r="X62" s="145">
        <v>0</v>
      </c>
      <c r="Y62" s="145">
        <f t="shared" si="15"/>
        <v>0</v>
      </c>
      <c r="Z62" s="305" t="s">
        <v>0</v>
      </c>
      <c r="AA62" s="145">
        <v>0</v>
      </c>
      <c r="AB62" s="190">
        <f t="shared" si="16"/>
        <v>0</v>
      </c>
      <c r="AC62" s="304" t="s">
        <v>0</v>
      </c>
      <c r="AD62" s="304">
        <v>0</v>
      </c>
      <c r="AE62" s="153">
        <f t="shared" si="17"/>
        <v>0</v>
      </c>
    </row>
    <row r="63" spans="2:31">
      <c r="B63" s="253">
        <v>1850</v>
      </c>
      <c r="C63" s="23" t="s">
        <v>359</v>
      </c>
      <c r="E63" s="237">
        <v>18.670000000000002</v>
      </c>
      <c r="F63" s="24">
        <v>24585.03</v>
      </c>
      <c r="G63" s="35">
        <f t="shared" si="9"/>
        <v>3.1128300569185687</v>
      </c>
      <c r="H63" s="36">
        <v>18.54</v>
      </c>
      <c r="I63" s="24">
        <v>24736.400000000001</v>
      </c>
      <c r="J63" s="35">
        <f t="shared" si="10"/>
        <v>3.5477308880240157</v>
      </c>
      <c r="K63" s="36">
        <v>18.07</v>
      </c>
      <c r="L63" s="24">
        <v>34208.400000000001</v>
      </c>
      <c r="M63" s="155">
        <f t="shared" si="11"/>
        <v>4.875331125787703</v>
      </c>
      <c r="N63" s="303" t="s">
        <v>0</v>
      </c>
      <c r="O63" s="145">
        <v>0</v>
      </c>
      <c r="P63" s="145">
        <f t="shared" si="12"/>
        <v>0</v>
      </c>
      <c r="Q63" s="25" t="s">
        <v>0</v>
      </c>
      <c r="R63" s="145">
        <v>0</v>
      </c>
      <c r="S63" s="190">
        <f t="shared" si="13"/>
        <v>0</v>
      </c>
      <c r="T63" s="304" t="s">
        <v>0</v>
      </c>
      <c r="U63" s="145">
        <v>0</v>
      </c>
      <c r="V63" s="153">
        <f t="shared" si="14"/>
        <v>0</v>
      </c>
      <c r="W63" s="303" t="s">
        <v>0</v>
      </c>
      <c r="X63" s="145">
        <v>0</v>
      </c>
      <c r="Y63" s="145">
        <f t="shared" si="15"/>
        <v>0</v>
      </c>
      <c r="Z63" s="305" t="s">
        <v>0</v>
      </c>
      <c r="AA63" s="145">
        <v>0</v>
      </c>
      <c r="AB63" s="190">
        <f t="shared" si="16"/>
        <v>0</v>
      </c>
      <c r="AC63" s="304" t="s">
        <v>0</v>
      </c>
      <c r="AD63" s="304">
        <v>0</v>
      </c>
      <c r="AE63" s="153">
        <f t="shared" si="17"/>
        <v>0</v>
      </c>
    </row>
    <row r="64" spans="2:31">
      <c r="B64" s="253">
        <v>1898</v>
      </c>
      <c r="C64" s="23" t="s">
        <v>360</v>
      </c>
      <c r="D64" s="3"/>
      <c r="E64" s="237">
        <v>17.059999999999999</v>
      </c>
      <c r="F64" s="24">
        <v>19899.400000000001</v>
      </c>
      <c r="G64" s="35">
        <f t="shared" si="9"/>
        <v>2.5195596846798791</v>
      </c>
      <c r="H64" s="36">
        <v>16.68</v>
      </c>
      <c r="I64" s="24">
        <v>13963.93</v>
      </c>
      <c r="J64" s="35">
        <f t="shared" si="10"/>
        <v>2.0027273887552433</v>
      </c>
      <c r="K64" s="36">
        <v>16.399999999999999</v>
      </c>
      <c r="L64" s="24">
        <v>17187.689999999999</v>
      </c>
      <c r="M64" s="155">
        <f t="shared" si="11"/>
        <v>2.4495644355593957</v>
      </c>
      <c r="N64" s="303" t="s">
        <v>0</v>
      </c>
      <c r="O64" s="145">
        <v>0</v>
      </c>
      <c r="P64" s="145">
        <f t="shared" si="12"/>
        <v>0</v>
      </c>
      <c r="Q64" s="25" t="s">
        <v>0</v>
      </c>
      <c r="R64" s="145">
        <v>0</v>
      </c>
      <c r="S64" s="190">
        <f t="shared" si="13"/>
        <v>0</v>
      </c>
      <c r="T64" s="304" t="s">
        <v>0</v>
      </c>
      <c r="U64" s="145">
        <v>0</v>
      </c>
      <c r="V64" s="153">
        <f t="shared" si="14"/>
        <v>0</v>
      </c>
      <c r="W64" s="303" t="s">
        <v>0</v>
      </c>
      <c r="X64" s="145">
        <v>0</v>
      </c>
      <c r="Y64" s="145">
        <f t="shared" si="15"/>
        <v>0</v>
      </c>
      <c r="Z64" s="305" t="s">
        <v>0</v>
      </c>
      <c r="AA64" s="145">
        <v>0</v>
      </c>
      <c r="AB64" s="190">
        <f t="shared" si="16"/>
        <v>0</v>
      </c>
      <c r="AC64" s="304" t="s">
        <v>0</v>
      </c>
      <c r="AD64" s="304">
        <v>0</v>
      </c>
      <c r="AE64" s="153">
        <f t="shared" si="17"/>
        <v>0</v>
      </c>
    </row>
    <row r="65" spans="1:31">
      <c r="B65" s="258" t="s">
        <v>361</v>
      </c>
      <c r="C65" s="23" t="s">
        <v>362</v>
      </c>
      <c r="D65" s="3"/>
      <c r="E65" s="237">
        <v>17.059999999999999</v>
      </c>
      <c r="F65" s="24">
        <v>40010.29</v>
      </c>
      <c r="G65" s="35">
        <f t="shared" si="9"/>
        <v>5.0658971454591857</v>
      </c>
      <c r="H65" s="36">
        <v>16.739999999999998</v>
      </c>
      <c r="I65" s="24">
        <v>37015.839999999997</v>
      </c>
      <c r="J65" s="35">
        <f t="shared" si="10"/>
        <v>5.308866242224207</v>
      </c>
      <c r="K65" s="36">
        <v>16.399999999999999</v>
      </c>
      <c r="L65" s="24">
        <v>40839.75</v>
      </c>
      <c r="M65" s="155">
        <f t="shared" si="11"/>
        <v>5.8204214270292773</v>
      </c>
      <c r="N65" s="303" t="s">
        <v>0</v>
      </c>
      <c r="O65" s="145">
        <v>0</v>
      </c>
      <c r="P65" s="145">
        <f t="shared" si="12"/>
        <v>0</v>
      </c>
      <c r="Q65" s="25" t="s">
        <v>0</v>
      </c>
      <c r="R65" s="145">
        <v>0</v>
      </c>
      <c r="S65" s="190">
        <f t="shared" si="13"/>
        <v>0</v>
      </c>
      <c r="T65" s="304" t="s">
        <v>0</v>
      </c>
      <c r="U65" s="145">
        <v>0</v>
      </c>
      <c r="V65" s="153">
        <f t="shared" si="14"/>
        <v>0</v>
      </c>
      <c r="W65" s="303" t="s">
        <v>0</v>
      </c>
      <c r="X65" s="145">
        <v>0</v>
      </c>
      <c r="Y65" s="145">
        <f t="shared" si="15"/>
        <v>0</v>
      </c>
      <c r="Z65" s="305" t="s">
        <v>0</v>
      </c>
      <c r="AA65" s="145">
        <v>0</v>
      </c>
      <c r="AB65" s="190">
        <f t="shared" si="16"/>
        <v>0</v>
      </c>
      <c r="AC65" s="304" t="s">
        <v>0</v>
      </c>
      <c r="AD65" s="304">
        <v>0</v>
      </c>
      <c r="AE65" s="153">
        <f t="shared" si="17"/>
        <v>0</v>
      </c>
    </row>
    <row r="66" spans="1:31">
      <c r="B66" s="258" t="s">
        <v>363</v>
      </c>
      <c r="C66" s="23" t="s">
        <v>362</v>
      </c>
      <c r="D66" s="3"/>
      <c r="E66" s="237">
        <v>21.62</v>
      </c>
      <c r="F66" s="24">
        <v>5577.91</v>
      </c>
      <c r="G66" s="35">
        <f t="shared" si="9"/>
        <v>0.7062462768109965</v>
      </c>
      <c r="H66" s="36">
        <v>18.989999999999998</v>
      </c>
      <c r="I66" s="24">
        <v>6068.32</v>
      </c>
      <c r="J66" s="35">
        <f t="shared" si="10"/>
        <v>0.87032738403380827</v>
      </c>
      <c r="K66" s="36">
        <v>20.77</v>
      </c>
      <c r="L66" s="24">
        <v>7965.94</v>
      </c>
      <c r="M66" s="155">
        <f t="shared" si="11"/>
        <v>1.135294115718867</v>
      </c>
      <c r="N66" s="303" t="s">
        <v>0</v>
      </c>
      <c r="O66" s="145">
        <v>0</v>
      </c>
      <c r="P66" s="145">
        <f t="shared" si="12"/>
        <v>0</v>
      </c>
      <c r="Q66" s="25" t="s">
        <v>0</v>
      </c>
      <c r="R66" s="145">
        <v>0</v>
      </c>
      <c r="S66" s="190">
        <f t="shared" si="13"/>
        <v>0</v>
      </c>
      <c r="T66" s="304" t="s">
        <v>0</v>
      </c>
      <c r="U66" s="145">
        <v>0</v>
      </c>
      <c r="V66" s="153">
        <f t="shared" si="14"/>
        <v>0</v>
      </c>
      <c r="W66" s="303" t="s">
        <v>0</v>
      </c>
      <c r="X66" s="145">
        <v>0</v>
      </c>
      <c r="Y66" s="145">
        <f t="shared" si="15"/>
        <v>0</v>
      </c>
      <c r="Z66" s="305" t="s">
        <v>0</v>
      </c>
      <c r="AA66" s="145">
        <v>0</v>
      </c>
      <c r="AB66" s="190">
        <f t="shared" si="16"/>
        <v>0</v>
      </c>
      <c r="AC66" s="304" t="s">
        <v>0</v>
      </c>
      <c r="AD66" s="304">
        <v>0</v>
      </c>
      <c r="AE66" s="153">
        <f t="shared" si="17"/>
        <v>0</v>
      </c>
    </row>
    <row r="67" spans="1:31">
      <c r="B67" s="258" t="s">
        <v>364</v>
      </c>
      <c r="C67" s="23" t="s">
        <v>365</v>
      </c>
      <c r="D67" s="3"/>
      <c r="E67" s="237">
        <v>18.989999999999998</v>
      </c>
      <c r="F67" s="24">
        <v>31927.79</v>
      </c>
      <c r="G67" s="35">
        <f t="shared" si="9"/>
        <v>4.042532564043408</v>
      </c>
      <c r="H67" s="36">
        <v>18.670000000000002</v>
      </c>
      <c r="I67" s="24">
        <v>27682.36</v>
      </c>
      <c r="J67" s="35">
        <f t="shared" si="10"/>
        <v>3.9702448062531528</v>
      </c>
      <c r="K67" s="36">
        <v>18.52</v>
      </c>
      <c r="L67" s="24">
        <v>29074.13</v>
      </c>
      <c r="M67" s="155">
        <f t="shared" si="11"/>
        <v>4.1436024761227657</v>
      </c>
      <c r="N67" s="303" t="s">
        <v>0</v>
      </c>
      <c r="O67" s="145">
        <v>0</v>
      </c>
      <c r="P67" s="145">
        <f t="shared" si="12"/>
        <v>0</v>
      </c>
      <c r="Q67" s="25" t="s">
        <v>0</v>
      </c>
      <c r="R67" s="145">
        <v>0</v>
      </c>
      <c r="S67" s="190">
        <f t="shared" si="13"/>
        <v>0</v>
      </c>
      <c r="T67" s="304" t="s">
        <v>0</v>
      </c>
      <c r="U67" s="145">
        <v>0</v>
      </c>
      <c r="V67" s="153">
        <f t="shared" si="14"/>
        <v>0</v>
      </c>
      <c r="W67" s="303" t="s">
        <v>0</v>
      </c>
      <c r="X67" s="145">
        <v>0</v>
      </c>
      <c r="Y67" s="145">
        <f t="shared" si="15"/>
        <v>0</v>
      </c>
      <c r="Z67" s="305" t="s">
        <v>0</v>
      </c>
      <c r="AA67" s="145">
        <v>0</v>
      </c>
      <c r="AB67" s="190">
        <f t="shared" si="16"/>
        <v>0</v>
      </c>
      <c r="AC67" s="304" t="s">
        <v>0</v>
      </c>
      <c r="AD67" s="304">
        <v>0</v>
      </c>
      <c r="AE67" s="153">
        <f t="shared" si="17"/>
        <v>0</v>
      </c>
    </row>
    <row r="68" spans="1:31">
      <c r="B68" s="258" t="s">
        <v>366</v>
      </c>
      <c r="C68" s="23" t="s">
        <v>365</v>
      </c>
      <c r="D68" s="3"/>
      <c r="E68" s="237">
        <v>21.49</v>
      </c>
      <c r="F68" s="24">
        <v>16232.01</v>
      </c>
      <c r="G68" s="35">
        <f t="shared" si="9"/>
        <v>2.0552136243967478</v>
      </c>
      <c r="H68" s="36">
        <v>21.3</v>
      </c>
      <c r="I68" s="24">
        <v>9593.5</v>
      </c>
      <c r="J68" s="35">
        <f t="shared" si="10"/>
        <v>1.3759138869948091</v>
      </c>
      <c r="K68" s="36">
        <v>20.77</v>
      </c>
      <c r="L68" s="24">
        <v>14182.71</v>
      </c>
      <c r="M68" s="155">
        <f t="shared" si="11"/>
        <v>2.0212990818343011</v>
      </c>
      <c r="N68" s="303" t="s">
        <v>0</v>
      </c>
      <c r="O68" s="145">
        <v>0</v>
      </c>
      <c r="P68" s="145">
        <f t="shared" si="12"/>
        <v>0</v>
      </c>
      <c r="Q68" s="25" t="s">
        <v>0</v>
      </c>
      <c r="R68" s="145">
        <v>0</v>
      </c>
      <c r="S68" s="190">
        <f t="shared" si="13"/>
        <v>0</v>
      </c>
      <c r="T68" s="304" t="s">
        <v>0</v>
      </c>
      <c r="U68" s="145">
        <v>0</v>
      </c>
      <c r="V68" s="153">
        <f t="shared" si="14"/>
        <v>0</v>
      </c>
      <c r="W68" s="303" t="s">
        <v>0</v>
      </c>
      <c r="X68" s="145">
        <v>0</v>
      </c>
      <c r="Y68" s="145">
        <f t="shared" si="15"/>
        <v>0</v>
      </c>
      <c r="Z68" s="305" t="s">
        <v>0</v>
      </c>
      <c r="AA68" s="145">
        <v>0</v>
      </c>
      <c r="AB68" s="190">
        <f t="shared" si="16"/>
        <v>0</v>
      </c>
      <c r="AC68" s="304" t="s">
        <v>0</v>
      </c>
      <c r="AD68" s="304">
        <v>0</v>
      </c>
      <c r="AE68" s="153">
        <f t="shared" si="17"/>
        <v>0</v>
      </c>
    </row>
    <row r="69" spans="1:31">
      <c r="B69" s="258">
        <v>1971</v>
      </c>
      <c r="C69" s="23" t="s">
        <v>367</v>
      </c>
      <c r="D69" s="3"/>
      <c r="E69" s="237">
        <v>18.28</v>
      </c>
      <c r="F69" s="24">
        <v>3421.76</v>
      </c>
      <c r="G69" s="35">
        <f t="shared" si="9"/>
        <v>0.43324565296693485</v>
      </c>
      <c r="H69" s="36" t="s">
        <v>368</v>
      </c>
      <c r="I69" s="24">
        <v>8372.9</v>
      </c>
      <c r="J69" s="35">
        <f t="shared" si="10"/>
        <v>1.200853638861608</v>
      </c>
      <c r="K69" s="36" t="s">
        <v>0</v>
      </c>
      <c r="L69" s="24">
        <v>0</v>
      </c>
      <c r="M69" s="155">
        <f t="shared" si="11"/>
        <v>0</v>
      </c>
      <c r="N69" s="303" t="s">
        <v>0</v>
      </c>
      <c r="O69" s="145">
        <v>0</v>
      </c>
      <c r="P69" s="145">
        <f t="shared" si="12"/>
        <v>0</v>
      </c>
      <c r="Q69" s="25" t="s">
        <v>0</v>
      </c>
      <c r="R69" s="145">
        <v>0</v>
      </c>
      <c r="S69" s="190">
        <f t="shared" si="13"/>
        <v>0</v>
      </c>
      <c r="T69" s="304" t="s">
        <v>0</v>
      </c>
      <c r="U69" s="145">
        <v>0</v>
      </c>
      <c r="V69" s="153">
        <f t="shared" si="14"/>
        <v>0</v>
      </c>
      <c r="W69" s="303" t="s">
        <v>0</v>
      </c>
      <c r="X69" s="145">
        <v>0</v>
      </c>
      <c r="Y69" s="145">
        <f t="shared" si="15"/>
        <v>0</v>
      </c>
      <c r="Z69" s="305" t="s">
        <v>0</v>
      </c>
      <c r="AA69" s="145">
        <v>0</v>
      </c>
      <c r="AB69" s="190">
        <f t="shared" si="16"/>
        <v>0</v>
      </c>
      <c r="AC69" s="304" t="s">
        <v>0</v>
      </c>
      <c r="AD69" s="304">
        <v>0</v>
      </c>
      <c r="AE69" s="153">
        <f t="shared" si="17"/>
        <v>0</v>
      </c>
    </row>
    <row r="70" spans="1:31">
      <c r="B70" s="258">
        <v>2019</v>
      </c>
      <c r="C70" s="23" t="s">
        <v>369</v>
      </c>
      <c r="D70" s="3"/>
      <c r="E70" s="237">
        <v>23.1</v>
      </c>
      <c r="F70" s="24">
        <v>8323.9500000000007</v>
      </c>
      <c r="G70" s="35">
        <f t="shared" si="9"/>
        <v>1.0539357386298622</v>
      </c>
      <c r="H70" s="36">
        <v>22.53</v>
      </c>
      <c r="I70" s="24">
        <v>12658.17</v>
      </c>
      <c r="J70" s="35">
        <f t="shared" si="10"/>
        <v>1.8154533681076854</v>
      </c>
      <c r="K70" s="36">
        <v>22.51</v>
      </c>
      <c r="L70" s="24">
        <v>8560.0499999999993</v>
      </c>
      <c r="M70" s="155">
        <f t="shared" si="11"/>
        <v>1.2199658038171624</v>
      </c>
      <c r="N70" s="303" t="s">
        <v>0</v>
      </c>
      <c r="O70" s="145">
        <v>0</v>
      </c>
      <c r="P70" s="145">
        <f t="shared" si="12"/>
        <v>0</v>
      </c>
      <c r="Q70" s="25" t="s">
        <v>0</v>
      </c>
      <c r="R70" s="145">
        <v>0</v>
      </c>
      <c r="S70" s="190">
        <f t="shared" si="13"/>
        <v>0</v>
      </c>
      <c r="T70" s="304" t="s">
        <v>0</v>
      </c>
      <c r="U70" s="145">
        <v>0</v>
      </c>
      <c r="V70" s="153">
        <f t="shared" si="14"/>
        <v>0</v>
      </c>
      <c r="W70" s="303" t="s">
        <v>0</v>
      </c>
      <c r="X70" s="145">
        <v>0</v>
      </c>
      <c r="Y70" s="145">
        <f t="shared" si="15"/>
        <v>0</v>
      </c>
      <c r="Z70" s="305" t="s">
        <v>0</v>
      </c>
      <c r="AA70" s="145">
        <v>0</v>
      </c>
      <c r="AB70" s="190">
        <f t="shared" si="16"/>
        <v>0</v>
      </c>
      <c r="AC70" s="304" t="s">
        <v>0</v>
      </c>
      <c r="AD70" s="304">
        <v>0</v>
      </c>
      <c r="AE70" s="153">
        <f t="shared" si="17"/>
        <v>0</v>
      </c>
    </row>
    <row r="71" spans="1:31">
      <c r="B71" s="258">
        <v>2060</v>
      </c>
      <c r="C71" s="23" t="s">
        <v>370</v>
      </c>
      <c r="D71" s="3"/>
      <c r="E71" s="237">
        <v>18.73</v>
      </c>
      <c r="F71" s="24">
        <v>6598.91</v>
      </c>
      <c r="G71" s="35">
        <f t="shared" si="9"/>
        <v>0.83552004577177696</v>
      </c>
      <c r="H71" s="36">
        <v>18.47</v>
      </c>
      <c r="I71" s="24">
        <v>3797.03</v>
      </c>
      <c r="J71" s="35">
        <f t="shared" si="10"/>
        <v>0.54457562999279729</v>
      </c>
      <c r="K71" s="36" t="s">
        <v>0</v>
      </c>
      <c r="L71" s="24">
        <v>0</v>
      </c>
      <c r="M71" s="155">
        <f t="shared" si="11"/>
        <v>0</v>
      </c>
      <c r="N71" s="303" t="s">
        <v>0</v>
      </c>
      <c r="O71" s="145">
        <v>0</v>
      </c>
      <c r="P71" s="145">
        <f t="shared" si="12"/>
        <v>0</v>
      </c>
      <c r="Q71" s="25" t="s">
        <v>0</v>
      </c>
      <c r="R71" s="145">
        <v>0</v>
      </c>
      <c r="S71" s="190">
        <f t="shared" si="13"/>
        <v>0</v>
      </c>
      <c r="T71" s="304" t="s">
        <v>0</v>
      </c>
      <c r="U71" s="145">
        <v>0</v>
      </c>
      <c r="V71" s="153">
        <f t="shared" si="14"/>
        <v>0</v>
      </c>
      <c r="W71" s="303" t="s">
        <v>0</v>
      </c>
      <c r="X71" s="145">
        <v>0</v>
      </c>
      <c r="Y71" s="145">
        <f t="shared" si="15"/>
        <v>0</v>
      </c>
      <c r="Z71" s="305" t="s">
        <v>0</v>
      </c>
      <c r="AA71" s="145">
        <v>0</v>
      </c>
      <c r="AB71" s="190">
        <f t="shared" si="16"/>
        <v>0</v>
      </c>
      <c r="AC71" s="304" t="s">
        <v>0</v>
      </c>
      <c r="AD71" s="304">
        <v>0</v>
      </c>
      <c r="AE71" s="153">
        <f t="shared" si="17"/>
        <v>0</v>
      </c>
    </row>
    <row r="72" spans="1:31">
      <c r="B72" s="258">
        <v>2076</v>
      </c>
      <c r="C72" s="23" t="s">
        <v>371</v>
      </c>
      <c r="D72" s="3"/>
      <c r="E72" s="237">
        <v>18.670000000000002</v>
      </c>
      <c r="F72" s="24">
        <v>69411.600000000006</v>
      </c>
      <c r="G72" s="35">
        <f t="shared" ref="G72:G74" si="18">F72/$F$75*100</f>
        <v>8.7885398056788588</v>
      </c>
      <c r="H72" s="36">
        <v>18.28</v>
      </c>
      <c r="I72" s="24">
        <v>41382.81</v>
      </c>
      <c r="J72" s="35">
        <f t="shared" ref="J72:J74" si="19">I72/$I$75*100</f>
        <v>5.9351835056931934</v>
      </c>
      <c r="K72" s="36">
        <v>17.809999999999999</v>
      </c>
      <c r="L72" s="24">
        <v>64895.78</v>
      </c>
      <c r="M72" s="155">
        <f t="shared" ref="M72:M74" si="20">L72/$L$75*100</f>
        <v>9.2488516319462786</v>
      </c>
      <c r="N72" s="303" t="s">
        <v>0</v>
      </c>
      <c r="O72" s="145">
        <v>0</v>
      </c>
      <c r="P72" s="145">
        <f t="shared" ref="P72:P74" si="21">O72/$O$75*100</f>
        <v>0</v>
      </c>
      <c r="Q72" s="25" t="s">
        <v>0</v>
      </c>
      <c r="R72" s="145">
        <v>0</v>
      </c>
      <c r="S72" s="190">
        <f t="shared" ref="S72:S74" si="22">R72/$R$75*100</f>
        <v>0</v>
      </c>
      <c r="T72" s="304" t="s">
        <v>0</v>
      </c>
      <c r="U72" s="145">
        <v>0</v>
      </c>
      <c r="V72" s="153">
        <f t="shared" ref="V72:V74" si="23">U72/$U$75*100</f>
        <v>0</v>
      </c>
      <c r="W72" s="303" t="s">
        <v>0</v>
      </c>
      <c r="X72" s="145">
        <v>0</v>
      </c>
      <c r="Y72" s="145">
        <f t="shared" ref="Y72:Y74" si="24">X72/$X$75*100</f>
        <v>0</v>
      </c>
      <c r="Z72" s="305" t="s">
        <v>0</v>
      </c>
      <c r="AA72" s="145">
        <v>0</v>
      </c>
      <c r="AB72" s="190">
        <f t="shared" ref="AB72:AB74" si="25">AA72/$AA$75*100</f>
        <v>0</v>
      </c>
      <c r="AC72" s="304" t="s">
        <v>0</v>
      </c>
      <c r="AD72" s="304">
        <v>0</v>
      </c>
      <c r="AE72" s="153">
        <f t="shared" ref="AE72:AE74" si="26">AD72/$AD$75*100</f>
        <v>0</v>
      </c>
    </row>
    <row r="73" spans="1:31">
      <c r="B73" s="258">
        <v>2279</v>
      </c>
      <c r="C73" s="23" t="s">
        <v>372</v>
      </c>
      <c r="D73" s="3"/>
      <c r="E73" s="237">
        <v>18.989999999999998</v>
      </c>
      <c r="F73" s="24">
        <v>6259.66</v>
      </c>
      <c r="G73" s="35">
        <f t="shared" si="18"/>
        <v>0.79256595554656173</v>
      </c>
      <c r="H73" s="36">
        <v>18.670000000000002</v>
      </c>
      <c r="I73" s="24">
        <v>6850.53</v>
      </c>
      <c r="J73" s="35">
        <f t="shared" si="19"/>
        <v>0.98251309326883285</v>
      </c>
      <c r="K73" s="36" t="s">
        <v>0</v>
      </c>
      <c r="L73" s="24">
        <v>0</v>
      </c>
      <c r="M73" s="155">
        <f t="shared" si="20"/>
        <v>0</v>
      </c>
      <c r="N73" s="303" t="s">
        <v>0</v>
      </c>
      <c r="O73" s="145">
        <v>0</v>
      </c>
      <c r="P73" s="145">
        <f t="shared" si="21"/>
        <v>0</v>
      </c>
      <c r="Q73" s="25" t="s">
        <v>0</v>
      </c>
      <c r="R73" s="145">
        <v>0</v>
      </c>
      <c r="S73" s="190">
        <f t="shared" si="22"/>
        <v>0</v>
      </c>
      <c r="T73" s="304" t="s">
        <v>0</v>
      </c>
      <c r="U73" s="145">
        <v>0</v>
      </c>
      <c r="V73" s="153">
        <f t="shared" si="23"/>
        <v>0</v>
      </c>
      <c r="W73" s="303" t="s">
        <v>0</v>
      </c>
      <c r="X73" s="145">
        <v>0</v>
      </c>
      <c r="Y73" s="145">
        <f t="shared" si="24"/>
        <v>0</v>
      </c>
      <c r="Z73" s="305" t="s">
        <v>0</v>
      </c>
      <c r="AA73" s="145">
        <v>0</v>
      </c>
      <c r="AB73" s="190">
        <f t="shared" si="25"/>
        <v>0</v>
      </c>
      <c r="AC73" s="304" t="s">
        <v>0</v>
      </c>
      <c r="AD73" s="304">
        <v>0</v>
      </c>
      <c r="AE73" s="153">
        <f t="shared" si="26"/>
        <v>0</v>
      </c>
    </row>
    <row r="74" spans="1:31">
      <c r="B74" s="258">
        <v>2425</v>
      </c>
      <c r="C74" s="23" t="s">
        <v>373</v>
      </c>
      <c r="D74" s="3"/>
      <c r="E74" s="237">
        <v>17.510000000000002</v>
      </c>
      <c r="F74" s="24">
        <v>48690.93</v>
      </c>
      <c r="G74" s="35">
        <f t="shared" si="18"/>
        <v>6.1649951374197247</v>
      </c>
      <c r="H74" s="36">
        <v>17.059999999999999</v>
      </c>
      <c r="I74" s="24">
        <v>39524.58</v>
      </c>
      <c r="J74" s="35">
        <f t="shared" si="19"/>
        <v>5.6686734246768431</v>
      </c>
      <c r="K74" s="36">
        <v>16.72</v>
      </c>
      <c r="L74" s="24">
        <v>47436.35</v>
      </c>
      <c r="M74" s="155">
        <f t="shared" si="20"/>
        <v>6.7605592091053506</v>
      </c>
      <c r="N74" s="303" t="s">
        <v>0</v>
      </c>
      <c r="O74" s="145">
        <v>0</v>
      </c>
      <c r="P74" s="145">
        <f t="shared" si="21"/>
        <v>0</v>
      </c>
      <c r="Q74" s="25" t="s">
        <v>0</v>
      </c>
      <c r="R74" s="145">
        <v>0</v>
      </c>
      <c r="S74" s="190">
        <f t="shared" si="22"/>
        <v>0</v>
      </c>
      <c r="T74" s="304" t="s">
        <v>0</v>
      </c>
      <c r="U74" s="145">
        <v>0</v>
      </c>
      <c r="V74" s="153">
        <f t="shared" si="23"/>
        <v>0</v>
      </c>
      <c r="W74" s="303" t="s">
        <v>0</v>
      </c>
      <c r="X74" s="145">
        <v>0</v>
      </c>
      <c r="Y74" s="145">
        <f t="shared" si="24"/>
        <v>0</v>
      </c>
      <c r="Z74" s="305" t="s">
        <v>0</v>
      </c>
      <c r="AA74" s="145">
        <v>0</v>
      </c>
      <c r="AB74" s="190">
        <f t="shared" si="25"/>
        <v>0</v>
      </c>
      <c r="AC74" s="304" t="s">
        <v>0</v>
      </c>
      <c r="AD74" s="304">
        <v>0</v>
      </c>
      <c r="AE74" s="153">
        <f t="shared" si="26"/>
        <v>0</v>
      </c>
    </row>
    <row r="75" spans="1:31" ht="14.7" thickBot="1">
      <c r="B75" s="260" t="s">
        <v>374</v>
      </c>
      <c r="C75" s="228"/>
      <c r="D75" s="229"/>
      <c r="E75" s="238"/>
      <c r="F75" s="229">
        <f>SUM(F8:F74)</f>
        <v>789796.73000000021</v>
      </c>
      <c r="G75" s="239"/>
      <c r="H75" s="240"/>
      <c r="I75" s="229">
        <f>SUM(I8:I74)</f>
        <v>697245.67</v>
      </c>
      <c r="J75" s="239"/>
      <c r="K75" s="240"/>
      <c r="L75" s="241">
        <f>SUM(L8:L74)</f>
        <v>701663.10999999987</v>
      </c>
      <c r="M75" s="242"/>
      <c r="N75" s="231"/>
      <c r="O75" s="229">
        <f>SUM(O8:O74)</f>
        <v>155196.89000000001</v>
      </c>
      <c r="P75" s="232"/>
      <c r="Q75" s="233"/>
      <c r="R75" s="232">
        <f>SUM(R8:R74)</f>
        <v>202886.09000000003</v>
      </c>
      <c r="S75" s="234">
        <v>100</v>
      </c>
      <c r="T75" s="229"/>
      <c r="U75" s="232">
        <f>SUM(U8:U74)</f>
        <v>194296.5</v>
      </c>
      <c r="V75" s="230">
        <v>100</v>
      </c>
      <c r="W75" s="231"/>
      <c r="X75" s="232">
        <f>SUM(X8:X74)</f>
        <v>8468.4</v>
      </c>
      <c r="Y75" s="232">
        <v>100</v>
      </c>
      <c r="Z75" s="233"/>
      <c r="AA75" s="232">
        <f>SUM(AA8:AA74)</f>
        <v>17456.09</v>
      </c>
      <c r="AB75" s="234">
        <v>100</v>
      </c>
      <c r="AC75" s="229"/>
      <c r="AD75" s="232">
        <f>SUM(AD8:AD74)</f>
        <v>11093.4</v>
      </c>
      <c r="AE75" s="243"/>
    </row>
    <row r="76" spans="1:31">
      <c r="B76" s="37"/>
      <c r="C76" s="24"/>
      <c r="D76" s="24"/>
      <c r="F76" s="24"/>
      <c r="I76" s="24"/>
      <c r="L76" s="38"/>
      <c r="N76" s="24"/>
      <c r="O76" s="24"/>
      <c r="P76" s="22"/>
      <c r="Q76" s="24"/>
      <c r="R76" s="24"/>
      <c r="S76" s="22"/>
      <c r="T76" s="24"/>
      <c r="U76" s="24"/>
      <c r="V76" s="22"/>
      <c r="W76" s="24"/>
      <c r="X76" s="24"/>
      <c r="Y76" s="22"/>
      <c r="Z76" s="24"/>
      <c r="AA76" s="24"/>
      <c r="AB76" s="22"/>
      <c r="AC76" s="24"/>
      <c r="AD76" s="24"/>
    </row>
    <row r="77" spans="1:31" ht="21" thickBot="1">
      <c r="A77" s="378" t="s">
        <v>452</v>
      </c>
      <c r="B77" s="378"/>
      <c r="C77" s="378"/>
      <c r="D77" s="378"/>
      <c r="E77" s="378"/>
      <c r="F77" s="378"/>
      <c r="G77" s="378"/>
      <c r="H77" s="378"/>
      <c r="I77" s="378"/>
      <c r="J77" s="378"/>
      <c r="K77" s="378"/>
      <c r="L77" s="378"/>
      <c r="M77" s="378"/>
      <c r="N77" s="378"/>
      <c r="O77" s="378"/>
      <c r="P77" s="378"/>
      <c r="Q77" s="378"/>
      <c r="R77" s="378"/>
      <c r="S77" s="378"/>
      <c r="T77" s="378"/>
      <c r="U77" s="378"/>
      <c r="V77" s="378"/>
      <c r="W77" s="378"/>
      <c r="X77" s="378"/>
      <c r="Y77" s="378"/>
      <c r="Z77" s="378"/>
      <c r="AA77" s="378"/>
      <c r="AB77" s="378"/>
      <c r="AC77" s="378"/>
      <c r="AD77" s="378"/>
      <c r="AE77" s="378"/>
    </row>
    <row r="78" spans="1:31" ht="63.7" customHeight="1">
      <c r="E78" s="359" t="s">
        <v>444</v>
      </c>
      <c r="F78" s="360"/>
      <c r="G78" s="360"/>
      <c r="H78" s="360"/>
      <c r="I78" s="360"/>
      <c r="J78" s="360"/>
      <c r="K78" s="360"/>
      <c r="L78" s="360"/>
      <c r="M78" s="361"/>
      <c r="N78" s="353" t="s">
        <v>450</v>
      </c>
      <c r="O78" s="354"/>
      <c r="P78" s="354"/>
      <c r="Q78" s="354"/>
      <c r="R78" s="354"/>
      <c r="S78" s="354"/>
      <c r="T78" s="354"/>
      <c r="U78" s="354"/>
      <c r="V78" s="355"/>
      <c r="W78" s="356" t="s">
        <v>451</v>
      </c>
      <c r="X78" s="357"/>
      <c r="Y78" s="357"/>
      <c r="Z78" s="357"/>
      <c r="AA78" s="357"/>
      <c r="AB78" s="357"/>
      <c r="AC78" s="357"/>
      <c r="AD78" s="357"/>
      <c r="AE78" s="358"/>
    </row>
    <row r="79" spans="1:31" ht="14.7" thickBot="1">
      <c r="E79" s="362" t="s">
        <v>435</v>
      </c>
      <c r="F79" s="363"/>
      <c r="G79" s="363"/>
      <c r="H79" s="364" t="s">
        <v>440</v>
      </c>
      <c r="I79" s="363"/>
      <c r="J79" s="365"/>
      <c r="K79" s="363" t="s">
        <v>441</v>
      </c>
      <c r="L79" s="363"/>
      <c r="M79" s="366"/>
      <c r="N79" s="367" t="s">
        <v>435</v>
      </c>
      <c r="O79" s="368"/>
      <c r="P79" s="368"/>
      <c r="Q79" s="369" t="s">
        <v>440</v>
      </c>
      <c r="R79" s="368"/>
      <c r="S79" s="370"/>
      <c r="T79" s="368" t="s">
        <v>441</v>
      </c>
      <c r="U79" s="368"/>
      <c r="V79" s="371"/>
      <c r="W79" s="372" t="s">
        <v>435</v>
      </c>
      <c r="X79" s="373"/>
      <c r="Y79" s="373"/>
      <c r="Z79" s="374" t="s">
        <v>440</v>
      </c>
      <c r="AA79" s="373"/>
      <c r="AB79" s="375"/>
      <c r="AC79" s="373" t="s">
        <v>441</v>
      </c>
      <c r="AD79" s="373"/>
      <c r="AE79" s="376"/>
    </row>
    <row r="80" spans="1:31" ht="16.7" thickBot="1">
      <c r="B80" s="268" t="s">
        <v>11</v>
      </c>
      <c r="C80" s="269" t="s">
        <v>10</v>
      </c>
      <c r="D80" s="270" t="s">
        <v>9</v>
      </c>
      <c r="E80" s="271" t="s">
        <v>251</v>
      </c>
      <c r="F80" s="272" t="s">
        <v>252</v>
      </c>
      <c r="G80" s="273" t="s">
        <v>253</v>
      </c>
      <c r="H80" s="272" t="s">
        <v>254</v>
      </c>
      <c r="I80" s="272" t="s">
        <v>255</v>
      </c>
      <c r="J80" s="273" t="s">
        <v>256</v>
      </c>
      <c r="K80" s="272" t="s">
        <v>257</v>
      </c>
      <c r="L80" s="272" t="s">
        <v>258</v>
      </c>
      <c r="M80" s="274" t="s">
        <v>259</v>
      </c>
      <c r="N80" s="271" t="s">
        <v>243</v>
      </c>
      <c r="O80" s="272" t="s">
        <v>244</v>
      </c>
      <c r="P80" s="275" t="s">
        <v>14</v>
      </c>
      <c r="Q80" s="272" t="s">
        <v>2</v>
      </c>
      <c r="R80" s="272" t="s">
        <v>1</v>
      </c>
      <c r="S80" s="272" t="s">
        <v>245</v>
      </c>
      <c r="T80" s="272" t="s">
        <v>12</v>
      </c>
      <c r="U80" s="272" t="s">
        <v>20</v>
      </c>
      <c r="V80" s="276" t="s">
        <v>246</v>
      </c>
      <c r="W80" s="271" t="s">
        <v>19</v>
      </c>
      <c r="X80" s="272" t="s">
        <v>13</v>
      </c>
      <c r="Y80" s="272" t="s">
        <v>17</v>
      </c>
      <c r="Z80" s="272" t="s">
        <v>15</v>
      </c>
      <c r="AA80" s="272" t="s">
        <v>16</v>
      </c>
      <c r="AB80" s="272" t="s">
        <v>247</v>
      </c>
      <c r="AC80" s="272" t="s">
        <v>248</v>
      </c>
      <c r="AD80" s="272" t="s">
        <v>249</v>
      </c>
      <c r="AE80" s="276" t="s">
        <v>250</v>
      </c>
    </row>
    <row r="81" spans="1:31" ht="14.7" thickBot="1">
      <c r="B81" s="277">
        <v>544</v>
      </c>
      <c r="C81" s="228" t="s">
        <v>37</v>
      </c>
      <c r="D81" s="278" t="s">
        <v>375</v>
      </c>
      <c r="E81" s="231">
        <v>11.75</v>
      </c>
      <c r="F81" s="229">
        <v>94003.13</v>
      </c>
      <c r="G81" s="234"/>
      <c r="H81" s="233">
        <v>11.53</v>
      </c>
      <c r="I81" s="229">
        <v>91212.81</v>
      </c>
      <c r="J81" s="234"/>
      <c r="K81" s="233">
        <v>11.56</v>
      </c>
      <c r="L81" s="229">
        <v>92460.17</v>
      </c>
      <c r="M81" s="230"/>
      <c r="N81" s="231">
        <v>13.54</v>
      </c>
      <c r="O81" s="229">
        <v>82763.58</v>
      </c>
      <c r="P81" s="234"/>
      <c r="Q81" s="229">
        <v>13.04</v>
      </c>
      <c r="R81" s="232">
        <v>98022.7</v>
      </c>
      <c r="S81" s="234"/>
      <c r="T81" s="229">
        <v>12.58</v>
      </c>
      <c r="U81" s="232">
        <v>98512.6</v>
      </c>
      <c r="V81" s="230"/>
      <c r="W81" s="231">
        <v>12.35</v>
      </c>
      <c r="X81" s="232">
        <v>99695.37</v>
      </c>
      <c r="Y81" s="232"/>
      <c r="Z81" s="233">
        <v>12.12</v>
      </c>
      <c r="AA81" s="232">
        <v>95493.18</v>
      </c>
      <c r="AB81" s="234"/>
      <c r="AC81" s="229">
        <v>11.98</v>
      </c>
      <c r="AD81" s="232">
        <v>83826.259999999995</v>
      </c>
      <c r="AE81" s="230"/>
    </row>
    <row r="82" spans="1:31">
      <c r="B82" s="263"/>
      <c r="C82" s="24"/>
      <c r="E82" s="24"/>
      <c r="F82" s="24"/>
      <c r="G82" s="22"/>
      <c r="H82" s="24"/>
      <c r="I82" s="24"/>
      <c r="J82" s="22"/>
      <c r="K82" s="24"/>
      <c r="L82" s="24"/>
      <c r="M82" s="22"/>
      <c r="N82" s="24"/>
      <c r="O82" s="24"/>
      <c r="P82" s="22"/>
      <c r="Q82" s="24"/>
      <c r="R82" s="22"/>
      <c r="S82" s="22"/>
      <c r="T82" s="24"/>
      <c r="U82" s="22"/>
      <c r="V82" s="22"/>
      <c r="W82" s="24"/>
      <c r="X82" s="22"/>
      <c r="Y82" s="22"/>
      <c r="Z82" s="24"/>
      <c r="AA82" s="22"/>
      <c r="AB82" s="22"/>
      <c r="AC82" s="24"/>
      <c r="AD82" s="22"/>
      <c r="AE82" s="22"/>
    </row>
    <row r="84" spans="1:31" ht="30.7">
      <c r="A84" s="279"/>
      <c r="B84" s="377" t="s">
        <v>454</v>
      </c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  <c r="AA84" s="377"/>
      <c r="AB84" s="377"/>
      <c r="AC84" s="377"/>
      <c r="AD84" s="377"/>
      <c r="AE84" s="377"/>
    </row>
    <row r="85" spans="1:31" ht="14.7" thickBot="1"/>
    <row r="86" spans="1:31" ht="60.35" customHeight="1">
      <c r="E86" s="359" t="s">
        <v>444</v>
      </c>
      <c r="F86" s="360"/>
      <c r="G86" s="360"/>
      <c r="H86" s="360"/>
      <c r="I86" s="360"/>
      <c r="J86" s="360"/>
      <c r="K86" s="360"/>
      <c r="L86" s="360"/>
      <c r="M86" s="361"/>
      <c r="N86" s="353" t="s">
        <v>450</v>
      </c>
      <c r="O86" s="354"/>
      <c r="P86" s="354"/>
      <c r="Q86" s="354"/>
      <c r="R86" s="354"/>
      <c r="S86" s="354"/>
      <c r="T86" s="354"/>
      <c r="U86" s="354"/>
      <c r="V86" s="355"/>
      <c r="W86" s="356" t="s">
        <v>451</v>
      </c>
      <c r="X86" s="357"/>
      <c r="Y86" s="357"/>
      <c r="Z86" s="357"/>
      <c r="AA86" s="357"/>
      <c r="AB86" s="357"/>
      <c r="AC86" s="357"/>
      <c r="AD86" s="357"/>
      <c r="AE86" s="358"/>
    </row>
    <row r="87" spans="1:31" ht="23.7" customHeight="1" thickBot="1">
      <c r="E87" s="362" t="s">
        <v>435</v>
      </c>
      <c r="F87" s="363"/>
      <c r="G87" s="363"/>
      <c r="H87" s="364" t="s">
        <v>440</v>
      </c>
      <c r="I87" s="363"/>
      <c r="J87" s="365"/>
      <c r="K87" s="363" t="s">
        <v>441</v>
      </c>
      <c r="L87" s="363"/>
      <c r="M87" s="366"/>
      <c r="N87" s="367" t="s">
        <v>435</v>
      </c>
      <c r="O87" s="368"/>
      <c r="P87" s="368"/>
      <c r="Q87" s="369" t="s">
        <v>440</v>
      </c>
      <c r="R87" s="368"/>
      <c r="S87" s="370"/>
      <c r="T87" s="368" t="s">
        <v>441</v>
      </c>
      <c r="U87" s="368"/>
      <c r="V87" s="371"/>
      <c r="W87" s="372" t="s">
        <v>435</v>
      </c>
      <c r="X87" s="373"/>
      <c r="Y87" s="373"/>
      <c r="Z87" s="374" t="s">
        <v>440</v>
      </c>
      <c r="AA87" s="373"/>
      <c r="AB87" s="375"/>
      <c r="AC87" s="373" t="s">
        <v>441</v>
      </c>
      <c r="AD87" s="373"/>
      <c r="AE87" s="376"/>
    </row>
    <row r="88" spans="1:31" ht="16.7" thickBot="1">
      <c r="B88" s="268" t="s">
        <v>11</v>
      </c>
      <c r="C88" s="269" t="s">
        <v>10</v>
      </c>
      <c r="D88" s="294" t="s">
        <v>9</v>
      </c>
      <c r="E88" s="265" t="s">
        <v>251</v>
      </c>
      <c r="F88" s="39" t="s">
        <v>252</v>
      </c>
      <c r="G88" s="40" t="s">
        <v>253</v>
      </c>
      <c r="H88" s="39" t="s">
        <v>254</v>
      </c>
      <c r="I88" s="39" t="s">
        <v>255</v>
      </c>
      <c r="J88" s="40" t="s">
        <v>256</v>
      </c>
      <c r="K88" s="39" t="s">
        <v>257</v>
      </c>
      <c r="L88" s="39" t="s">
        <v>258</v>
      </c>
      <c r="M88" s="266" t="s">
        <v>259</v>
      </c>
      <c r="N88" s="265" t="s">
        <v>243</v>
      </c>
      <c r="O88" s="39" t="s">
        <v>244</v>
      </c>
      <c r="P88" s="292" t="s">
        <v>14</v>
      </c>
      <c r="Q88" s="39" t="s">
        <v>2</v>
      </c>
      <c r="R88" s="39" t="s">
        <v>1</v>
      </c>
      <c r="S88" s="39" t="s">
        <v>245</v>
      </c>
      <c r="T88" s="264" t="s">
        <v>12</v>
      </c>
      <c r="U88" s="39" t="s">
        <v>20</v>
      </c>
      <c r="V88" s="267" t="s">
        <v>246</v>
      </c>
      <c r="W88" s="265" t="s">
        <v>19</v>
      </c>
      <c r="X88" s="39" t="s">
        <v>13</v>
      </c>
      <c r="Y88" s="293" t="s">
        <v>17</v>
      </c>
      <c r="Z88" s="39" t="s">
        <v>15</v>
      </c>
      <c r="AA88" s="39" t="s">
        <v>16</v>
      </c>
      <c r="AB88" s="39" t="s">
        <v>247</v>
      </c>
      <c r="AC88" s="264" t="s">
        <v>248</v>
      </c>
      <c r="AD88" s="39" t="s">
        <v>249</v>
      </c>
      <c r="AE88" s="267" t="s">
        <v>250</v>
      </c>
    </row>
    <row r="89" spans="1:31">
      <c r="B89" s="253">
        <v>1057</v>
      </c>
      <c r="C89" s="23" t="s">
        <v>49</v>
      </c>
      <c r="D89" s="306" t="s">
        <v>376</v>
      </c>
      <c r="E89" s="237" t="s">
        <v>0</v>
      </c>
      <c r="F89" s="24">
        <v>0</v>
      </c>
      <c r="G89" s="35">
        <f t="shared" ref="G89:G100" si="27">F89/$F$101*100</f>
        <v>0</v>
      </c>
      <c r="H89" s="36" t="s">
        <v>0</v>
      </c>
      <c r="I89" s="24">
        <v>0</v>
      </c>
      <c r="J89" s="35">
        <f t="shared" ref="J89:J100" si="28">I89/$I$101*100</f>
        <v>0</v>
      </c>
      <c r="K89" s="36" t="s">
        <v>0</v>
      </c>
      <c r="L89" s="24">
        <v>0</v>
      </c>
      <c r="M89" s="155">
        <f t="shared" ref="M89:M100" si="29">L89/$L$101*100</f>
        <v>0</v>
      </c>
      <c r="N89" s="237" t="s">
        <v>0</v>
      </c>
      <c r="O89" s="22">
        <v>0</v>
      </c>
      <c r="P89" s="22">
        <f t="shared" ref="P89:P100" si="30">O89/$O$101*100</f>
        <v>0</v>
      </c>
      <c r="Q89" s="21" t="s">
        <v>0</v>
      </c>
      <c r="R89" s="22">
        <v>0</v>
      </c>
      <c r="S89" s="35">
        <f t="shared" ref="S89:S100" si="31">R89/$R$101*100</f>
        <v>0</v>
      </c>
      <c r="T89" s="24" t="s">
        <v>0</v>
      </c>
      <c r="U89" s="22">
        <v>0</v>
      </c>
      <c r="V89" s="155">
        <f t="shared" ref="V89:V100" si="32">U89/$U$101*100</f>
        <v>0</v>
      </c>
      <c r="W89" s="297">
        <v>24.51</v>
      </c>
      <c r="X89" s="142">
        <v>21866.2</v>
      </c>
      <c r="Y89" s="142">
        <f t="shared" ref="Y89:Y100" si="33">X89/$X$101*100</f>
        <v>23.622846862995438</v>
      </c>
      <c r="Z89" s="299">
        <v>23.72</v>
      </c>
      <c r="AA89" s="142">
        <v>16673.43</v>
      </c>
      <c r="AB89" s="187">
        <f t="shared" ref="AB89:AB100" si="34">AA89/$AA$101*100</f>
        <v>22.0754316037408</v>
      </c>
      <c r="AC89" s="298">
        <v>23.19</v>
      </c>
      <c r="AD89" s="298">
        <v>13974.9</v>
      </c>
      <c r="AE89" s="143">
        <f t="shared" ref="AE89:AE100" si="35">AD89/$AD$101*100</f>
        <v>17.800606307637437</v>
      </c>
    </row>
    <row r="90" spans="1:31">
      <c r="B90" s="253">
        <v>1317</v>
      </c>
      <c r="C90" s="23" t="s">
        <v>377</v>
      </c>
      <c r="D90" s="307" t="s">
        <v>378</v>
      </c>
      <c r="E90" s="237" t="s">
        <v>0</v>
      </c>
      <c r="F90" s="24">
        <v>0</v>
      </c>
      <c r="G90" s="35">
        <f t="shared" si="27"/>
        <v>0</v>
      </c>
      <c r="H90" s="36" t="s">
        <v>0</v>
      </c>
      <c r="I90" s="24">
        <v>0</v>
      </c>
      <c r="J90" s="35">
        <f t="shared" si="28"/>
        <v>0</v>
      </c>
      <c r="K90" s="36" t="s">
        <v>0</v>
      </c>
      <c r="L90" s="24">
        <v>0</v>
      </c>
      <c r="M90" s="155">
        <f t="shared" si="29"/>
        <v>0</v>
      </c>
      <c r="N90" s="297">
        <v>22.69</v>
      </c>
      <c r="O90" s="142">
        <v>3155.13</v>
      </c>
      <c r="P90" s="142">
        <f t="shared" si="30"/>
        <v>3.5133775106112437</v>
      </c>
      <c r="Q90" s="299">
        <v>21.61</v>
      </c>
      <c r="R90" s="142">
        <v>4347.71</v>
      </c>
      <c r="S90" s="187">
        <f t="shared" si="31"/>
        <v>3.4626864673121065</v>
      </c>
      <c r="T90" s="298">
        <v>20.71</v>
      </c>
      <c r="U90" s="142">
        <v>4674.71</v>
      </c>
      <c r="V90" s="143">
        <f t="shared" si="32"/>
        <v>3.8268455749506574</v>
      </c>
      <c r="W90" s="237" t="s">
        <v>0</v>
      </c>
      <c r="X90" s="22">
        <v>0</v>
      </c>
      <c r="Y90" s="22">
        <f t="shared" si="33"/>
        <v>0</v>
      </c>
      <c r="Z90" s="36" t="s">
        <v>0</v>
      </c>
      <c r="AA90" s="22">
        <v>0</v>
      </c>
      <c r="AB90" s="35">
        <f t="shared" si="34"/>
        <v>0</v>
      </c>
      <c r="AC90" s="24" t="s">
        <v>0</v>
      </c>
      <c r="AD90" s="22">
        <v>0</v>
      </c>
      <c r="AE90" s="155">
        <f t="shared" si="35"/>
        <v>0</v>
      </c>
    </row>
    <row r="91" spans="1:31">
      <c r="B91" s="253">
        <v>1438</v>
      </c>
      <c r="C91" s="23" t="s">
        <v>379</v>
      </c>
      <c r="D91" s="308" t="s">
        <v>380</v>
      </c>
      <c r="E91" s="237" t="s">
        <v>0</v>
      </c>
      <c r="F91" s="24">
        <v>0</v>
      </c>
      <c r="G91" s="35">
        <f t="shared" si="27"/>
        <v>0</v>
      </c>
      <c r="H91" s="36" t="s">
        <v>0</v>
      </c>
      <c r="I91" s="24">
        <v>0</v>
      </c>
      <c r="J91" s="35">
        <f t="shared" si="28"/>
        <v>0</v>
      </c>
      <c r="K91" s="36" t="s">
        <v>0</v>
      </c>
      <c r="L91" s="24">
        <v>0</v>
      </c>
      <c r="M91" s="155">
        <f t="shared" si="29"/>
        <v>0</v>
      </c>
      <c r="N91" s="297">
        <v>21.77</v>
      </c>
      <c r="O91" s="142">
        <v>2610.52</v>
      </c>
      <c r="P91" s="142">
        <f t="shared" si="30"/>
        <v>2.9069300659563515</v>
      </c>
      <c r="Q91" s="299">
        <v>20.77</v>
      </c>
      <c r="R91" s="142">
        <v>3232.69</v>
      </c>
      <c r="S91" s="187">
        <f t="shared" si="31"/>
        <v>2.5746408835950816</v>
      </c>
      <c r="T91" s="298">
        <v>19.87</v>
      </c>
      <c r="U91" s="142">
        <v>3739.29</v>
      </c>
      <c r="V91" s="143">
        <f t="shared" si="32"/>
        <v>3.0610851560754022</v>
      </c>
      <c r="W91" s="237" t="s">
        <v>0</v>
      </c>
      <c r="X91" s="22">
        <v>0</v>
      </c>
      <c r="Y91" s="22">
        <f t="shared" si="33"/>
        <v>0</v>
      </c>
      <c r="Z91" s="36" t="s">
        <v>0</v>
      </c>
      <c r="AA91" s="22">
        <v>0</v>
      </c>
      <c r="AB91" s="35">
        <f t="shared" si="34"/>
        <v>0</v>
      </c>
      <c r="AC91" s="24" t="s">
        <v>0</v>
      </c>
      <c r="AD91" s="22">
        <v>0</v>
      </c>
      <c r="AE91" s="155">
        <f t="shared" si="35"/>
        <v>0</v>
      </c>
    </row>
    <row r="92" spans="1:31">
      <c r="B92" s="253" t="s">
        <v>381</v>
      </c>
      <c r="C92" s="23" t="s">
        <v>382</v>
      </c>
      <c r="D92" s="308" t="s">
        <v>383</v>
      </c>
      <c r="E92" s="237" t="s">
        <v>0</v>
      </c>
      <c r="F92" s="24">
        <v>0</v>
      </c>
      <c r="G92" s="35">
        <f t="shared" si="27"/>
        <v>0</v>
      </c>
      <c r="H92" s="36" t="s">
        <v>0</v>
      </c>
      <c r="I92" s="24">
        <v>0</v>
      </c>
      <c r="J92" s="35">
        <f t="shared" si="28"/>
        <v>0</v>
      </c>
      <c r="K92" s="36" t="s">
        <v>0</v>
      </c>
      <c r="L92" s="24">
        <v>0</v>
      </c>
      <c r="M92" s="155">
        <f t="shared" si="29"/>
        <v>0</v>
      </c>
      <c r="N92" s="237" t="s">
        <v>0</v>
      </c>
      <c r="O92" s="22">
        <v>0</v>
      </c>
      <c r="P92" s="22">
        <f t="shared" si="30"/>
        <v>0</v>
      </c>
      <c r="Q92" s="36" t="s">
        <v>0</v>
      </c>
      <c r="R92" s="22">
        <v>0</v>
      </c>
      <c r="S92" s="35">
        <f t="shared" si="31"/>
        <v>0</v>
      </c>
      <c r="T92" s="24" t="s">
        <v>0</v>
      </c>
      <c r="U92" s="22">
        <v>0</v>
      </c>
      <c r="V92" s="155">
        <f t="shared" si="32"/>
        <v>0</v>
      </c>
      <c r="W92" s="297">
        <v>18.03</v>
      </c>
      <c r="X92" s="142">
        <v>6328.82</v>
      </c>
      <c r="Y92" s="142">
        <f t="shared" si="33"/>
        <v>6.8372531890983694</v>
      </c>
      <c r="Z92" s="299">
        <v>17.559999999999999</v>
      </c>
      <c r="AA92" s="142">
        <v>4510.17</v>
      </c>
      <c r="AB92" s="187">
        <f t="shared" si="34"/>
        <v>5.9714137616701333</v>
      </c>
      <c r="AC92" s="298">
        <v>17.04</v>
      </c>
      <c r="AD92" s="142">
        <v>6831.88</v>
      </c>
      <c r="AE92" s="143">
        <f t="shared" si="35"/>
        <v>8.7021450043307684</v>
      </c>
    </row>
    <row r="93" spans="1:31">
      <c r="B93" s="253" t="s">
        <v>384</v>
      </c>
      <c r="C93" s="23" t="s">
        <v>382</v>
      </c>
      <c r="D93" s="309" t="s">
        <v>385</v>
      </c>
      <c r="E93" s="237" t="s">
        <v>0</v>
      </c>
      <c r="F93" s="24">
        <v>0</v>
      </c>
      <c r="G93" s="35">
        <f t="shared" si="27"/>
        <v>0</v>
      </c>
      <c r="H93" s="36" t="s">
        <v>0</v>
      </c>
      <c r="I93" s="24">
        <v>0</v>
      </c>
      <c r="J93" s="35">
        <f t="shared" si="28"/>
        <v>0</v>
      </c>
      <c r="K93" s="36" t="s">
        <v>0</v>
      </c>
      <c r="L93" s="24">
        <v>0</v>
      </c>
      <c r="M93" s="155">
        <f t="shared" si="29"/>
        <v>0</v>
      </c>
      <c r="N93" s="297">
        <v>25.61</v>
      </c>
      <c r="O93" s="142">
        <v>22251.279999999999</v>
      </c>
      <c r="P93" s="142">
        <f t="shared" si="30"/>
        <v>24.77778942050367</v>
      </c>
      <c r="Q93" s="299">
        <v>24.24</v>
      </c>
      <c r="R93" s="142">
        <v>39633.800000000003</v>
      </c>
      <c r="S93" s="187">
        <f t="shared" si="31"/>
        <v>31.565910078674651</v>
      </c>
      <c r="T93" s="298">
        <v>23.15</v>
      </c>
      <c r="U93" s="142">
        <v>30140.04</v>
      </c>
      <c r="V93" s="143">
        <f t="shared" si="32"/>
        <v>24.673461819628557</v>
      </c>
      <c r="W93" s="237" t="s">
        <v>0</v>
      </c>
      <c r="X93" s="22">
        <v>0</v>
      </c>
      <c r="Y93" s="22">
        <f t="shared" si="33"/>
        <v>0</v>
      </c>
      <c r="Z93" s="36" t="s">
        <v>0</v>
      </c>
      <c r="AA93" s="22">
        <v>0</v>
      </c>
      <c r="AB93" s="35">
        <f t="shared" si="34"/>
        <v>0</v>
      </c>
      <c r="AC93" s="24" t="s">
        <v>0</v>
      </c>
      <c r="AD93" s="22">
        <v>0</v>
      </c>
      <c r="AE93" s="155">
        <f t="shared" si="35"/>
        <v>0</v>
      </c>
    </row>
    <row r="94" spans="1:31">
      <c r="B94" s="253" t="s">
        <v>386</v>
      </c>
      <c r="C94" s="23" t="s">
        <v>382</v>
      </c>
      <c r="D94" s="308" t="s">
        <v>387</v>
      </c>
      <c r="E94" s="237" t="s">
        <v>0</v>
      </c>
      <c r="F94" s="24">
        <v>0</v>
      </c>
      <c r="G94" s="35">
        <f t="shared" si="27"/>
        <v>0</v>
      </c>
      <c r="H94" s="36" t="s">
        <v>0</v>
      </c>
      <c r="I94" s="24">
        <v>0</v>
      </c>
      <c r="J94" s="35">
        <f t="shared" si="28"/>
        <v>0</v>
      </c>
      <c r="K94" s="36" t="s">
        <v>0</v>
      </c>
      <c r="L94" s="24">
        <v>0</v>
      </c>
      <c r="M94" s="155">
        <f t="shared" si="29"/>
        <v>0</v>
      </c>
      <c r="N94" s="237" t="s">
        <v>0</v>
      </c>
      <c r="O94" s="22">
        <v>0</v>
      </c>
      <c r="P94" s="22">
        <f t="shared" si="30"/>
        <v>0</v>
      </c>
      <c r="Q94" s="21" t="s">
        <v>0</v>
      </c>
      <c r="R94" s="22">
        <v>0</v>
      </c>
      <c r="S94" s="35">
        <f t="shared" si="31"/>
        <v>0</v>
      </c>
      <c r="T94" s="24" t="s">
        <v>0</v>
      </c>
      <c r="U94" s="22">
        <v>0</v>
      </c>
      <c r="V94" s="155">
        <f t="shared" si="32"/>
        <v>0</v>
      </c>
      <c r="W94" s="297">
        <v>23.05</v>
      </c>
      <c r="X94" s="142">
        <v>41830.61</v>
      </c>
      <c r="Y94" s="142">
        <f t="shared" si="33"/>
        <v>45.19112119232814</v>
      </c>
      <c r="Z94" s="299">
        <v>22.39</v>
      </c>
      <c r="AA94" s="142">
        <v>34090.28</v>
      </c>
      <c r="AB94" s="187">
        <f t="shared" si="34"/>
        <v>45.135142828582538</v>
      </c>
      <c r="AC94" s="298">
        <v>21.73</v>
      </c>
      <c r="AD94" s="142">
        <v>35903.129999999997</v>
      </c>
      <c r="AE94" s="143">
        <f t="shared" si="35"/>
        <v>45.731810770876855</v>
      </c>
    </row>
    <row r="95" spans="1:31">
      <c r="B95" s="253" t="s">
        <v>388</v>
      </c>
      <c r="C95" s="23" t="s">
        <v>389</v>
      </c>
      <c r="D95" s="307" t="s">
        <v>390</v>
      </c>
      <c r="E95" s="237" t="s">
        <v>0</v>
      </c>
      <c r="F95" s="24">
        <v>0</v>
      </c>
      <c r="G95" s="35">
        <f t="shared" si="27"/>
        <v>0</v>
      </c>
      <c r="H95" s="36" t="s">
        <v>0</v>
      </c>
      <c r="I95" s="24">
        <v>0</v>
      </c>
      <c r="J95" s="35">
        <f t="shared" si="28"/>
        <v>0</v>
      </c>
      <c r="K95" s="36" t="s">
        <v>0</v>
      </c>
      <c r="L95" s="24">
        <v>0</v>
      </c>
      <c r="M95" s="155">
        <f t="shared" si="29"/>
        <v>0</v>
      </c>
      <c r="N95" s="297">
        <v>21.84</v>
      </c>
      <c r="O95" s="142">
        <v>3887.17</v>
      </c>
      <c r="P95" s="142">
        <f t="shared" si="30"/>
        <v>4.3285365921285992</v>
      </c>
      <c r="Q95" s="299">
        <v>20.84</v>
      </c>
      <c r="R95" s="142">
        <v>6057.07</v>
      </c>
      <c r="S95" s="187">
        <f t="shared" si="31"/>
        <v>4.824087696870798</v>
      </c>
      <c r="T95" s="298">
        <v>20</v>
      </c>
      <c r="U95" s="142">
        <v>5824.85</v>
      </c>
      <c r="V95" s="143">
        <f t="shared" si="32"/>
        <v>4.7683816637291594</v>
      </c>
      <c r="W95" s="237" t="s">
        <v>0</v>
      </c>
      <c r="X95" s="22">
        <v>0</v>
      </c>
      <c r="Y95" s="22">
        <f t="shared" si="33"/>
        <v>0</v>
      </c>
      <c r="Z95" s="36" t="s">
        <v>0</v>
      </c>
      <c r="AA95" s="22">
        <v>0</v>
      </c>
      <c r="AB95" s="35">
        <f t="shared" si="34"/>
        <v>0</v>
      </c>
      <c r="AC95" s="24" t="s">
        <v>0</v>
      </c>
      <c r="AD95" s="22">
        <v>0</v>
      </c>
      <c r="AE95" s="155">
        <f t="shared" si="35"/>
        <v>0</v>
      </c>
    </row>
    <row r="96" spans="1:31">
      <c r="B96" s="253" t="s">
        <v>391</v>
      </c>
      <c r="C96" s="23" t="s">
        <v>389</v>
      </c>
      <c r="D96" s="308" t="s">
        <v>392</v>
      </c>
      <c r="E96" s="237" t="s">
        <v>0</v>
      </c>
      <c r="F96" s="24">
        <v>0</v>
      </c>
      <c r="G96" s="35">
        <f t="shared" si="27"/>
        <v>0</v>
      </c>
      <c r="H96" s="36" t="s">
        <v>0</v>
      </c>
      <c r="I96" s="24">
        <v>0</v>
      </c>
      <c r="J96" s="35">
        <f t="shared" si="28"/>
        <v>0</v>
      </c>
      <c r="K96" s="36" t="s">
        <v>0</v>
      </c>
      <c r="L96" s="24">
        <v>0</v>
      </c>
      <c r="M96" s="155">
        <f t="shared" si="29"/>
        <v>0</v>
      </c>
      <c r="N96" s="237" t="s">
        <v>0</v>
      </c>
      <c r="O96" s="22">
        <v>0</v>
      </c>
      <c r="P96" s="22">
        <f t="shared" si="30"/>
        <v>0</v>
      </c>
      <c r="Q96" s="21" t="s">
        <v>0</v>
      </c>
      <c r="R96" s="22">
        <v>0</v>
      </c>
      <c r="S96" s="35">
        <f t="shared" si="31"/>
        <v>0</v>
      </c>
      <c r="T96" s="24" t="s">
        <v>0</v>
      </c>
      <c r="U96" s="22">
        <v>0</v>
      </c>
      <c r="V96" s="155">
        <f t="shared" si="32"/>
        <v>0</v>
      </c>
      <c r="W96" s="297">
        <v>19.13</v>
      </c>
      <c r="X96" s="142">
        <v>8375.39</v>
      </c>
      <c r="Y96" s="142">
        <f t="shared" si="33"/>
        <v>9.0482367941326505</v>
      </c>
      <c r="Z96" s="299">
        <v>18.59</v>
      </c>
      <c r="AA96" s="142">
        <v>8529.7999999999993</v>
      </c>
      <c r="AB96" s="187">
        <f t="shared" si="34"/>
        <v>11.293358144880102</v>
      </c>
      <c r="AC96" s="298">
        <v>18.07</v>
      </c>
      <c r="AD96" s="298">
        <v>9846.74</v>
      </c>
      <c r="AE96" s="143">
        <f t="shared" si="35"/>
        <v>12.542339634177408</v>
      </c>
    </row>
    <row r="97" spans="2:31">
      <c r="B97" s="253" t="s">
        <v>393</v>
      </c>
      <c r="C97" s="23" t="s">
        <v>389</v>
      </c>
      <c r="D97" s="308" t="s">
        <v>394</v>
      </c>
      <c r="E97" s="237" t="s">
        <v>0</v>
      </c>
      <c r="F97" s="24">
        <v>0</v>
      </c>
      <c r="G97" s="35">
        <f t="shared" si="27"/>
        <v>0</v>
      </c>
      <c r="H97" s="36" t="s">
        <v>0</v>
      </c>
      <c r="I97" s="24">
        <v>0</v>
      </c>
      <c r="J97" s="35">
        <f t="shared" si="28"/>
        <v>0</v>
      </c>
      <c r="K97" s="36" t="s">
        <v>0</v>
      </c>
      <c r="L97" s="24">
        <v>0</v>
      </c>
      <c r="M97" s="155">
        <f t="shared" si="29"/>
        <v>0</v>
      </c>
      <c r="N97" s="297">
        <v>27.13</v>
      </c>
      <c r="O97" s="142">
        <v>36969.68</v>
      </c>
      <c r="P97" s="142">
        <f t="shared" si="30"/>
        <v>41.16738210041877</v>
      </c>
      <c r="Q97" s="299">
        <v>25.58</v>
      </c>
      <c r="R97" s="142">
        <v>47415.1</v>
      </c>
      <c r="S97" s="187">
        <f t="shared" si="31"/>
        <v>37.763242055300431</v>
      </c>
      <c r="T97" s="298">
        <v>24.36</v>
      </c>
      <c r="U97" s="142">
        <v>52491.22</v>
      </c>
      <c r="V97" s="143">
        <f t="shared" si="32"/>
        <v>42.970749625273321</v>
      </c>
      <c r="W97" s="297">
        <v>23.75</v>
      </c>
      <c r="X97" s="142">
        <v>8807.74</v>
      </c>
      <c r="Y97" s="142">
        <f t="shared" si="33"/>
        <v>9.5153201392596536</v>
      </c>
      <c r="Z97" s="299">
        <v>23.02</v>
      </c>
      <c r="AA97" s="142">
        <v>6825.83</v>
      </c>
      <c r="AB97" s="187">
        <f t="shared" si="34"/>
        <v>9.0373212532611511</v>
      </c>
      <c r="AC97" s="298">
        <v>22.61</v>
      </c>
      <c r="AD97" s="142">
        <v>7727.64</v>
      </c>
      <c r="AE97" s="143">
        <f t="shared" si="35"/>
        <v>9.8431242675905644</v>
      </c>
    </row>
    <row r="98" spans="2:31">
      <c r="B98" s="253">
        <v>1753</v>
      </c>
      <c r="C98" s="23" t="s">
        <v>395</v>
      </c>
      <c r="D98" s="308" t="s">
        <v>396</v>
      </c>
      <c r="E98" s="237">
        <v>14.63</v>
      </c>
      <c r="F98" s="24">
        <v>3342.72</v>
      </c>
      <c r="G98" s="35">
        <f t="shared" si="27"/>
        <v>100</v>
      </c>
      <c r="H98" s="36">
        <v>14.25</v>
      </c>
      <c r="I98" s="24">
        <v>3477.65</v>
      </c>
      <c r="J98" s="35">
        <f t="shared" si="28"/>
        <v>100</v>
      </c>
      <c r="K98" s="36">
        <v>14.23</v>
      </c>
      <c r="L98" s="24">
        <v>2999.42</v>
      </c>
      <c r="M98" s="155">
        <f t="shared" si="29"/>
        <v>100</v>
      </c>
      <c r="N98" s="303" t="s">
        <v>0</v>
      </c>
      <c r="O98" s="145">
        <v>0</v>
      </c>
      <c r="P98" s="145">
        <f t="shared" si="30"/>
        <v>0</v>
      </c>
      <c r="Q98" s="25" t="s">
        <v>0</v>
      </c>
      <c r="R98" s="145">
        <v>0</v>
      </c>
      <c r="S98" s="190">
        <f t="shared" si="31"/>
        <v>0</v>
      </c>
      <c r="T98" s="304" t="s">
        <v>0</v>
      </c>
      <c r="U98" s="145">
        <v>0</v>
      </c>
      <c r="V98" s="153">
        <f t="shared" si="32"/>
        <v>0</v>
      </c>
      <c r="W98" s="303" t="s">
        <v>0</v>
      </c>
      <c r="X98" s="145">
        <v>0</v>
      </c>
      <c r="Y98" s="145">
        <f t="shared" si="33"/>
        <v>0</v>
      </c>
      <c r="Z98" s="305" t="s">
        <v>0</v>
      </c>
      <c r="AA98" s="145">
        <v>0</v>
      </c>
      <c r="AB98" s="190">
        <f t="shared" si="34"/>
        <v>0</v>
      </c>
      <c r="AC98" s="304" t="s">
        <v>0</v>
      </c>
      <c r="AD98" s="304">
        <v>0</v>
      </c>
      <c r="AE98" s="153">
        <f t="shared" si="35"/>
        <v>0</v>
      </c>
    </row>
    <row r="99" spans="2:31">
      <c r="B99" s="253" t="s">
        <v>397</v>
      </c>
      <c r="C99" s="23" t="s">
        <v>223</v>
      </c>
      <c r="D99" s="310" t="s">
        <v>398</v>
      </c>
      <c r="E99" s="237" t="s">
        <v>0</v>
      </c>
      <c r="F99" s="24">
        <v>0</v>
      </c>
      <c r="G99" s="35">
        <f t="shared" si="27"/>
        <v>0</v>
      </c>
      <c r="H99" s="36" t="s">
        <v>0</v>
      </c>
      <c r="I99" s="24">
        <v>0</v>
      </c>
      <c r="J99" s="35">
        <f t="shared" si="28"/>
        <v>0</v>
      </c>
      <c r="K99" s="36" t="s">
        <v>0</v>
      </c>
      <c r="L99" s="24">
        <v>0</v>
      </c>
      <c r="M99" s="155">
        <f t="shared" si="29"/>
        <v>0</v>
      </c>
      <c r="N99" s="297">
        <v>22.76</v>
      </c>
      <c r="O99" s="142">
        <v>9203.0499999999993</v>
      </c>
      <c r="P99" s="142">
        <f t="shared" si="30"/>
        <v>10.248005279982378</v>
      </c>
      <c r="Q99" s="299">
        <v>21.61</v>
      </c>
      <c r="R99" s="142">
        <v>11954.75</v>
      </c>
      <c r="S99" s="187">
        <f t="shared" si="31"/>
        <v>9.5212309572394211</v>
      </c>
      <c r="T99" s="298">
        <v>20.84</v>
      </c>
      <c r="U99" s="142">
        <v>10962.45</v>
      </c>
      <c r="V99" s="143">
        <f t="shared" si="32"/>
        <v>8.9741616641712181</v>
      </c>
      <c r="W99" s="297">
        <v>20.100000000000001</v>
      </c>
      <c r="X99" s="142">
        <v>5355.02</v>
      </c>
      <c r="Y99" s="142">
        <f t="shared" si="33"/>
        <v>5.7852218221857408</v>
      </c>
      <c r="Z99" s="299">
        <v>19.37</v>
      </c>
      <c r="AA99" s="142">
        <v>4899.84</v>
      </c>
      <c r="AB99" s="187">
        <f t="shared" si="34"/>
        <v>6.4873324078652868</v>
      </c>
      <c r="AC99" s="298">
        <v>18.84</v>
      </c>
      <c r="AD99" s="142">
        <v>4223.71</v>
      </c>
      <c r="AE99" s="143">
        <f t="shared" si="35"/>
        <v>5.3799740153869671</v>
      </c>
    </row>
    <row r="100" spans="2:31">
      <c r="B100" s="295" t="s">
        <v>399</v>
      </c>
      <c r="C100" s="23" t="s">
        <v>223</v>
      </c>
      <c r="D100" s="311" t="s">
        <v>400</v>
      </c>
      <c r="E100" s="237" t="s">
        <v>0</v>
      </c>
      <c r="F100" s="24">
        <v>0</v>
      </c>
      <c r="G100" s="35">
        <f t="shared" si="27"/>
        <v>0</v>
      </c>
      <c r="H100" s="36" t="s">
        <v>0</v>
      </c>
      <c r="I100" s="24">
        <v>0</v>
      </c>
      <c r="J100" s="35">
        <f t="shared" si="28"/>
        <v>0</v>
      </c>
      <c r="K100" s="36" t="s">
        <v>0</v>
      </c>
      <c r="L100" s="24">
        <v>0</v>
      </c>
      <c r="M100" s="155">
        <f t="shared" si="29"/>
        <v>0</v>
      </c>
      <c r="N100" s="297">
        <v>26.43</v>
      </c>
      <c r="O100" s="142">
        <v>11726.5</v>
      </c>
      <c r="P100" s="142">
        <f t="shared" si="30"/>
        <v>13.057979030398984</v>
      </c>
      <c r="Q100" s="299">
        <v>24.88</v>
      </c>
      <c r="R100" s="142">
        <v>12917.75</v>
      </c>
      <c r="S100" s="187">
        <f t="shared" si="31"/>
        <v>10.288201861007511</v>
      </c>
      <c r="T100" s="298">
        <v>23.86</v>
      </c>
      <c r="U100" s="142">
        <v>14323.14</v>
      </c>
      <c r="V100" s="143">
        <f t="shared" si="32"/>
        <v>11.72531449617169</v>
      </c>
      <c r="W100" s="237" t="s">
        <v>0</v>
      </c>
      <c r="X100" s="22">
        <v>0</v>
      </c>
      <c r="Y100" s="22">
        <f t="shared" si="33"/>
        <v>0</v>
      </c>
      <c r="Z100" s="36" t="s">
        <v>0</v>
      </c>
      <c r="AA100" s="22">
        <v>0</v>
      </c>
      <c r="AB100" s="35">
        <f t="shared" si="34"/>
        <v>0</v>
      </c>
      <c r="AC100" s="24" t="s">
        <v>0</v>
      </c>
      <c r="AD100" s="22">
        <v>0</v>
      </c>
      <c r="AE100" s="155">
        <f t="shared" si="35"/>
        <v>0</v>
      </c>
    </row>
    <row r="101" spans="2:31" ht="14.7" thickBot="1">
      <c r="B101" s="260" t="s">
        <v>374</v>
      </c>
      <c r="C101" s="280"/>
      <c r="D101" s="296"/>
      <c r="E101" s="282"/>
      <c r="F101" s="281">
        <f>SUM(F89:F100)</f>
        <v>3342.72</v>
      </c>
      <c r="G101" s="283">
        <f>SUM(G89:G100)</f>
        <v>100</v>
      </c>
      <c r="H101" s="284"/>
      <c r="I101" s="281">
        <f>SUM(I89:I100)</f>
        <v>3477.65</v>
      </c>
      <c r="J101" s="283">
        <f>SUM(J89:J100)</f>
        <v>100</v>
      </c>
      <c r="K101" s="284"/>
      <c r="L101" s="285">
        <f>SUM(L89:L100)</f>
        <v>2999.42</v>
      </c>
      <c r="M101" s="286">
        <f>SUM(M89:M100)</f>
        <v>100</v>
      </c>
      <c r="N101" s="287"/>
      <c r="O101" s="288">
        <f>SUM(O89:O100)</f>
        <v>89803.33</v>
      </c>
      <c r="P101" s="288">
        <f>SUM(P89:P100)</f>
        <v>99.999999999999986</v>
      </c>
      <c r="Q101" s="290"/>
      <c r="R101" s="288">
        <f>SUM(R89:R100)</f>
        <v>125558.87</v>
      </c>
      <c r="S101" s="291">
        <f>SUM(S89:S100)</f>
        <v>100</v>
      </c>
      <c r="T101" s="281"/>
      <c r="U101" s="288">
        <f>SUM(U89:U100)</f>
        <v>122155.7</v>
      </c>
      <c r="V101" s="289">
        <f>SUM(V89:V100)</f>
        <v>100.00000000000001</v>
      </c>
      <c r="W101" s="287"/>
      <c r="X101" s="288">
        <f>SUM(X89:X100)</f>
        <v>92563.780000000013</v>
      </c>
      <c r="Y101" s="288">
        <f>SUM(Y89:Y100)</f>
        <v>100</v>
      </c>
      <c r="Z101" s="290"/>
      <c r="AA101" s="288">
        <f>SUM(AA89:AA100)</f>
        <v>75529.349999999991</v>
      </c>
      <c r="AB101" s="291">
        <f>SUM(AB89:AB100)</f>
        <v>100.00000000000001</v>
      </c>
      <c r="AC101" s="281"/>
      <c r="AD101" s="281">
        <f>SUM(AD89:AD100)</f>
        <v>78508</v>
      </c>
      <c r="AE101" s="289">
        <f>SUM(AE89:AE100)</f>
        <v>100</v>
      </c>
    </row>
    <row r="103" spans="2:31">
      <c r="D103" t="s">
        <v>445</v>
      </c>
    </row>
    <row r="104" spans="2:31">
      <c r="D104" t="s">
        <v>446</v>
      </c>
    </row>
    <row r="106" spans="2:31" ht="20.7">
      <c r="B106" s="216" t="s">
        <v>426</v>
      </c>
      <c r="F106" s="4"/>
      <c r="G106" s="4"/>
      <c r="H106" s="4"/>
      <c r="I106" s="4"/>
      <c r="J106" s="4"/>
      <c r="K106" s="4"/>
      <c r="L106" s="4"/>
      <c r="M106" s="4"/>
      <c r="N106" s="4"/>
    </row>
    <row r="107" spans="2:31">
      <c r="B107" s="4" t="s">
        <v>225</v>
      </c>
      <c r="C107" t="s">
        <v>427</v>
      </c>
      <c r="F107" s="4"/>
      <c r="G107" s="4"/>
      <c r="H107" s="4"/>
      <c r="I107" s="4"/>
      <c r="J107" s="4"/>
      <c r="K107" s="4"/>
      <c r="L107" s="4"/>
      <c r="M107" s="4"/>
      <c r="N107" s="4"/>
    </row>
    <row r="108" spans="2:31">
      <c r="B108" s="4" t="s">
        <v>226</v>
      </c>
      <c r="C108" t="s">
        <v>447</v>
      </c>
      <c r="F108" s="4"/>
      <c r="G108" s="4"/>
      <c r="H108" s="4"/>
      <c r="I108" s="4"/>
      <c r="J108" s="4"/>
      <c r="K108" s="4"/>
      <c r="L108" s="4"/>
      <c r="M108" s="4"/>
      <c r="N108" s="4"/>
    </row>
    <row r="109" spans="2:31">
      <c r="B109" s="4" t="s">
        <v>227</v>
      </c>
      <c r="C109" t="s">
        <v>429</v>
      </c>
      <c r="F109" s="4"/>
      <c r="G109" s="4"/>
      <c r="H109" s="4"/>
      <c r="I109" s="4"/>
      <c r="J109" s="4"/>
      <c r="K109" s="4"/>
      <c r="L109" s="4"/>
      <c r="M109" s="4"/>
      <c r="N109" s="4"/>
    </row>
    <row r="110" spans="2:31">
      <c r="C110" t="s">
        <v>430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T110" s="4"/>
      <c r="U110" s="4"/>
      <c r="V110" s="4"/>
      <c r="W110" s="4"/>
      <c r="X110" s="4"/>
      <c r="Y110" s="4"/>
    </row>
    <row r="111" spans="2:31">
      <c r="B111" s="4" t="s">
        <v>431</v>
      </c>
      <c r="C111" t="s">
        <v>228</v>
      </c>
      <c r="F111" s="4"/>
      <c r="G111" s="4"/>
      <c r="H111" s="4"/>
      <c r="I111" s="4"/>
      <c r="J111" s="4"/>
      <c r="K111" s="4"/>
      <c r="L111" s="4"/>
      <c r="M111" s="4"/>
      <c r="N111" s="4"/>
    </row>
    <row r="112" spans="2:31">
      <c r="B112" s="4" t="s">
        <v>432</v>
      </c>
      <c r="C112" t="s">
        <v>229</v>
      </c>
      <c r="F112" s="4"/>
      <c r="G112" s="4"/>
      <c r="H112" s="4"/>
      <c r="I112" s="4"/>
      <c r="J112" s="4"/>
      <c r="K112" s="4"/>
      <c r="L112" s="4"/>
      <c r="M112" s="4"/>
      <c r="N112" s="4"/>
    </row>
    <row r="113" spans="2:25">
      <c r="B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2:25">
      <c r="B114" s="104"/>
      <c r="C114" s="351" t="s">
        <v>449</v>
      </c>
      <c r="D114" s="35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T114" s="4"/>
      <c r="U114" s="4"/>
      <c r="V114" s="4"/>
      <c r="W114" s="4"/>
      <c r="X114" s="4"/>
      <c r="Y114" s="4"/>
    </row>
    <row r="115" spans="2:25">
      <c r="B115" s="107"/>
      <c r="C115" s="351" t="s">
        <v>448</v>
      </c>
      <c r="D115" s="35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T115" s="4"/>
      <c r="U115" s="4"/>
      <c r="V115" s="4"/>
      <c r="W115" s="4"/>
      <c r="X115" s="4"/>
      <c r="Y115" s="4"/>
    </row>
  </sheetData>
  <mergeCells count="42">
    <mergeCell ref="A1:I1"/>
    <mergeCell ref="T87:V87"/>
    <mergeCell ref="W87:Y87"/>
    <mergeCell ref="Z87:AB87"/>
    <mergeCell ref="AC87:AE87"/>
    <mergeCell ref="A77:AE77"/>
    <mergeCell ref="E87:G87"/>
    <mergeCell ref="H87:J87"/>
    <mergeCell ref="K87:M87"/>
    <mergeCell ref="N87:P87"/>
    <mergeCell ref="Q87:S87"/>
    <mergeCell ref="W79:Y79"/>
    <mergeCell ref="Z79:AB79"/>
    <mergeCell ref="AC79:AE79"/>
    <mergeCell ref="B84:AE84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W78:AE78"/>
    <mergeCell ref="N78:V78"/>
    <mergeCell ref="C115:D115"/>
    <mergeCell ref="N5:V5"/>
    <mergeCell ref="W5:AE5"/>
    <mergeCell ref="E5:M5"/>
    <mergeCell ref="A3:AE3"/>
    <mergeCell ref="C114:D114"/>
    <mergeCell ref="E78:M78"/>
    <mergeCell ref="N86:V86"/>
    <mergeCell ref="W86:AE86"/>
    <mergeCell ref="E86:M86"/>
    <mergeCell ref="E79:G79"/>
    <mergeCell ref="H79:J79"/>
    <mergeCell ref="K79:M79"/>
    <mergeCell ref="N79:P79"/>
    <mergeCell ref="Q79:S79"/>
    <mergeCell ref="T79:V7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11A</vt:lpstr>
      <vt:lpstr>Table 11B</vt:lpstr>
      <vt:lpstr>Table 11C</vt:lpstr>
    </vt:vector>
  </TitlesOfParts>
  <Company>Gothenburg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de Jesus Vaz Luis</dc:creator>
  <cp:lastModifiedBy>Ana Sofia de Jesus Vaz Luis</cp:lastModifiedBy>
  <dcterms:created xsi:type="dcterms:W3CDTF">2023-08-10T10:03:13Z</dcterms:created>
  <dcterms:modified xsi:type="dcterms:W3CDTF">2025-11-20T15:57:44Z</dcterms:modified>
</cp:coreProperties>
</file>